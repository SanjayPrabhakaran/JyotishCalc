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JyotishCalc\"/>
    </mc:Choice>
  </mc:AlternateContent>
  <xr:revisionPtr revIDLastSave="0" documentId="13_ncr:1_{1E94BA19-5986-488E-8AB7-EB29A024019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anchanga" sheetId="2" r:id="rId1"/>
    <sheet name="Calendar" sheetId="3" r:id="rId2"/>
  </sheets>
  <functionGroups builtInGroupCount="19"/>
  <externalReferences>
    <externalReference r:id="rId3"/>
  </externalReferences>
  <definedNames>
    <definedName name="CalLatitude">Calendar!$B$64</definedName>
    <definedName name="CalLongitude">Calendar!$D$64</definedName>
    <definedName name="CalMonth">Calendar!$A$1</definedName>
    <definedName name="CalTimeZone">Calendar!$F$64</definedName>
    <definedName name="Lat" localSheetId="1">Panchanga!$C$1</definedName>
    <definedName name="Lat">Panchanga!$C$1</definedName>
    <definedName name="Long" localSheetId="1">Panchanga!$H$1</definedName>
    <definedName name="Long">Panchanga!$H$1</definedName>
    <definedName name="_xlnm.Print_Area" localSheetId="1">Calendar!$A$1:$H$130</definedName>
    <definedName name="StarDeg">[1]DATA!$F$44</definedName>
    <definedName name="TimeZone" localSheetId="1">Panchanga!$J$1</definedName>
    <definedName name="TimeZone">Panchanga!$J$1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F129" i="3"/>
  <c r="D129" i="3"/>
  <c r="B129" i="3"/>
  <c r="F9" i="2"/>
  <c r="E9" i="2"/>
  <c r="C9" i="2"/>
  <c r="G9" i="2" l="1"/>
  <c r="A1" i="3"/>
  <c r="A66" i="3" s="1"/>
  <c r="A68" i="3" s="1"/>
  <c r="B64" i="3"/>
  <c r="D64" i="3"/>
  <c r="F64" i="3"/>
  <c r="A10" i="2"/>
  <c r="A11" i="2" s="1"/>
  <c r="A12" i="2" s="1"/>
  <c r="A8" i="2"/>
  <c r="B8" i="2" s="1"/>
  <c r="M1" i="2"/>
  <c r="N1" i="2" s="1"/>
  <c r="O1" i="2" s="1"/>
  <c r="P1" i="2" s="1"/>
  <c r="Q1" i="2" s="1"/>
  <c r="R1" i="2" s="1"/>
  <c r="S1" i="2" s="1"/>
  <c r="T1" i="2" s="1"/>
  <c r="E8" i="2"/>
  <c r="F8" i="2"/>
  <c r="D9" i="2"/>
  <c r="D8" i="2"/>
  <c r="C8" i="2"/>
  <c r="U1" i="2" l="1"/>
  <c r="V1" i="2" s="1"/>
  <c r="W1" i="2" s="1"/>
  <c r="X1" i="2" s="1"/>
  <c r="Y1" i="2" s="1"/>
  <c r="Z1" i="2" s="1"/>
  <c r="AA1" i="2" s="1"/>
  <c r="AB1" i="2" s="1"/>
  <c r="AC1" i="2" s="1"/>
  <c r="AD1" i="2" s="1"/>
  <c r="B10" i="2"/>
  <c r="A3" i="3"/>
  <c r="B3" i="3" s="1"/>
  <c r="G8" i="2"/>
  <c r="A13" i="2"/>
  <c r="B12" i="2"/>
  <c r="A7" i="2"/>
  <c r="B11" i="2"/>
  <c r="F10" i="2"/>
  <c r="E10" i="2"/>
  <c r="E11" i="2"/>
  <c r="F11" i="2"/>
  <c r="E12" i="2"/>
  <c r="F12" i="2"/>
  <c r="C12" i="2"/>
  <c r="U9" i="2"/>
  <c r="AB9" i="2"/>
  <c r="X9" i="2"/>
  <c r="Y9" i="2"/>
  <c r="W8" i="2"/>
  <c r="C10" i="2"/>
  <c r="C11" i="2"/>
  <c r="X8" i="2"/>
  <c r="D11" i="2"/>
  <c r="AB8" i="2"/>
  <c r="W9" i="2"/>
  <c r="Z8" i="2"/>
  <c r="Y8" i="2"/>
  <c r="AA9" i="2"/>
  <c r="Z9" i="2"/>
  <c r="D10" i="2"/>
  <c r="D12" i="2"/>
  <c r="U8" i="2"/>
  <c r="AA8" i="2"/>
  <c r="V9" i="2"/>
  <c r="V8" i="2"/>
  <c r="L8" i="2" l="1"/>
  <c r="H8" i="2"/>
  <c r="H9" i="2"/>
  <c r="G10" i="2"/>
  <c r="J10" i="2" s="1"/>
  <c r="B68" i="3"/>
  <c r="T8" i="2"/>
  <c r="S9" i="2"/>
  <c r="P9" i="2" s="1"/>
  <c r="I9" i="2"/>
  <c r="R9" i="2"/>
  <c r="N9" i="2" s="1"/>
  <c r="O9" i="2" s="1"/>
  <c r="R8" i="2"/>
  <c r="Q8" i="2" s="1"/>
  <c r="I8" i="2"/>
  <c r="S8" i="2"/>
  <c r="P8" i="2" s="1"/>
  <c r="J9" i="2"/>
  <c r="G11" i="2"/>
  <c r="G12" i="2"/>
  <c r="J8" i="2"/>
  <c r="C3" i="3"/>
  <c r="B7" i="2"/>
  <c r="A6" i="2"/>
  <c r="A14" i="2"/>
  <c r="B13" i="2"/>
  <c r="E7" i="2"/>
  <c r="F7" i="2"/>
  <c r="E13" i="2"/>
  <c r="F13" i="2"/>
  <c r="D13" i="2"/>
  <c r="Y11" i="2"/>
  <c r="X10" i="2"/>
  <c r="C13" i="2"/>
  <c r="U10" i="2"/>
  <c r="AA12" i="2"/>
  <c r="X11" i="2"/>
  <c r="W10" i="2"/>
  <c r="AA10" i="2"/>
  <c r="Y10" i="2"/>
  <c r="W12" i="2"/>
  <c r="V11" i="2"/>
  <c r="U12" i="2"/>
  <c r="V10" i="2"/>
  <c r="AB12" i="2"/>
  <c r="AB10" i="2"/>
  <c r="Y12" i="2"/>
  <c r="K9" i="2"/>
  <c r="AB11" i="2"/>
  <c r="Z11" i="2"/>
  <c r="D7" i="2"/>
  <c r="C7" i="2"/>
  <c r="U11" i="2"/>
  <c r="AA11" i="2"/>
  <c r="W11" i="2"/>
  <c r="Z10" i="2"/>
  <c r="K8" i="2"/>
  <c r="V12" i="2"/>
  <c r="Z12" i="2"/>
  <c r="X12" i="2"/>
  <c r="L11" i="2" l="1"/>
  <c r="L9" i="2"/>
  <c r="L10" i="2"/>
  <c r="AC8" i="2"/>
  <c r="Q9" i="2"/>
  <c r="I10" i="2"/>
  <c r="R10" i="2"/>
  <c r="AC9" i="2" s="1"/>
  <c r="T9" i="2"/>
  <c r="H10" i="2"/>
  <c r="S10" i="2"/>
  <c r="P10" i="2" s="1"/>
  <c r="C68" i="3"/>
  <c r="T10" i="2"/>
  <c r="T11" i="2"/>
  <c r="I11" i="2"/>
  <c r="R11" i="2"/>
  <c r="AC10" i="2" s="1"/>
  <c r="S11" i="2"/>
  <c r="P11" i="2" s="1"/>
  <c r="H11" i="2"/>
  <c r="R12" i="2"/>
  <c r="I12" i="2"/>
  <c r="S12" i="2"/>
  <c r="P12" i="2" s="1"/>
  <c r="H12" i="2"/>
  <c r="G13" i="2"/>
  <c r="G7" i="2"/>
  <c r="J12" i="2"/>
  <c r="J11" i="2"/>
  <c r="M9" i="2"/>
  <c r="M8" i="2"/>
  <c r="N8" i="2"/>
  <c r="O8" i="2" s="1"/>
  <c r="D3" i="3"/>
  <c r="B6" i="2"/>
  <c r="A5" i="2"/>
  <c r="A15" i="2"/>
  <c r="B14" i="2"/>
  <c r="E14" i="2"/>
  <c r="F14" i="2"/>
  <c r="E6" i="2"/>
  <c r="F6" i="2"/>
  <c r="K11" i="2"/>
  <c r="V7" i="2"/>
  <c r="Y13" i="2"/>
  <c r="AB7" i="2"/>
  <c r="W13" i="2"/>
  <c r="AA13" i="2"/>
  <c r="C14" i="2"/>
  <c r="W7" i="2"/>
  <c r="D14" i="2"/>
  <c r="AB13" i="2"/>
  <c r="V13" i="2"/>
  <c r="AA7" i="2"/>
  <c r="X7" i="2"/>
  <c r="Z7" i="2"/>
  <c r="U7" i="2"/>
  <c r="D6" i="2"/>
  <c r="Z13" i="2"/>
  <c r="U13" i="2"/>
  <c r="Y7" i="2"/>
  <c r="X13" i="2"/>
  <c r="K10" i="2"/>
  <c r="K12" i="2"/>
  <c r="C6" i="2"/>
  <c r="L12" i="2" l="1"/>
  <c r="L7" i="2"/>
  <c r="AC11" i="2"/>
  <c r="Q12" i="2"/>
  <c r="M11" i="2"/>
  <c r="M10" i="2"/>
  <c r="N11" i="2"/>
  <c r="O11" i="2" s="1"/>
  <c r="N10" i="2"/>
  <c r="O10" i="2" s="1"/>
  <c r="Q10" i="2"/>
  <c r="D68" i="3"/>
  <c r="T7" i="2"/>
  <c r="T12" i="2"/>
  <c r="I13" i="2"/>
  <c r="R13" i="2"/>
  <c r="AC12" i="2" s="1"/>
  <c r="S13" i="2"/>
  <c r="P13" i="2" s="1"/>
  <c r="H13" i="2"/>
  <c r="I7" i="2"/>
  <c r="R7" i="2"/>
  <c r="AC7" i="2" s="1"/>
  <c r="S7" i="2"/>
  <c r="P7" i="2" s="1"/>
  <c r="H7" i="2"/>
  <c r="G14" i="2"/>
  <c r="G6" i="2"/>
  <c r="Q11" i="2"/>
  <c r="M12" i="2"/>
  <c r="N12" i="2"/>
  <c r="O12" i="2" s="1"/>
  <c r="J7" i="2"/>
  <c r="J13" i="2"/>
  <c r="E3" i="3"/>
  <c r="B5" i="2"/>
  <c r="A4" i="2"/>
  <c r="A16" i="2"/>
  <c r="B15" i="2"/>
  <c r="W6" i="2"/>
  <c r="Y6" i="2"/>
  <c r="AB14" i="2"/>
  <c r="K13" i="2"/>
  <c r="V14" i="2"/>
  <c r="V6" i="2"/>
  <c r="W14" i="2"/>
  <c r="AB6" i="2"/>
  <c r="D15" i="2"/>
  <c r="D5" i="2"/>
  <c r="Z14" i="2"/>
  <c r="Y14" i="2"/>
  <c r="AA6" i="2"/>
  <c r="X6" i="2"/>
  <c r="U14" i="2"/>
  <c r="U6" i="2"/>
  <c r="AA14" i="2"/>
  <c r="C15" i="2"/>
  <c r="Z6" i="2"/>
  <c r="X14" i="2"/>
  <c r="C5" i="2"/>
  <c r="K7" i="2"/>
  <c r="E5" i="2"/>
  <c r="F5" i="2"/>
  <c r="E15" i="2"/>
  <c r="F15" i="2"/>
  <c r="L6" i="2" l="1"/>
  <c r="L13" i="2"/>
  <c r="E68" i="3"/>
  <c r="T6" i="2"/>
  <c r="T13" i="2"/>
  <c r="I6" i="2"/>
  <c r="R6" i="2"/>
  <c r="S6" i="2"/>
  <c r="P6" i="2" s="1"/>
  <c r="H6" i="2"/>
  <c r="I14" i="2"/>
  <c r="R14" i="2"/>
  <c r="AC13" i="2" s="1"/>
  <c r="S14" i="2"/>
  <c r="P14" i="2" s="1"/>
  <c r="H14" i="2"/>
  <c r="G15" i="2"/>
  <c r="G5" i="2"/>
  <c r="Q13" i="2"/>
  <c r="N13" i="2"/>
  <c r="O13" i="2" s="1"/>
  <c r="M13" i="2"/>
  <c r="M7" i="2"/>
  <c r="Q7" i="2"/>
  <c r="N7" i="2"/>
  <c r="O7" i="2" s="1"/>
  <c r="J6" i="2"/>
  <c r="J14" i="2"/>
  <c r="F3" i="3"/>
  <c r="A17" i="2"/>
  <c r="B16" i="2"/>
  <c r="B4" i="2"/>
  <c r="A3" i="2"/>
  <c r="B3" i="2" s="1"/>
  <c r="Z15" i="2"/>
  <c r="V5" i="2"/>
  <c r="Y15" i="2"/>
  <c r="K14" i="2"/>
  <c r="D3" i="2"/>
  <c r="D16" i="2"/>
  <c r="D4" i="2"/>
  <c r="U5" i="2"/>
  <c r="AB15" i="2"/>
  <c r="X15" i="2"/>
  <c r="V15" i="2"/>
  <c r="Z5" i="2"/>
  <c r="U15" i="2"/>
  <c r="AB5" i="2"/>
  <c r="Y5" i="2"/>
  <c r="W15" i="2"/>
  <c r="AA15" i="2"/>
  <c r="C3" i="2"/>
  <c r="W5" i="2"/>
  <c r="X5" i="2"/>
  <c r="K6" i="2"/>
  <c r="AA5" i="2"/>
  <c r="C16" i="2"/>
  <c r="C4" i="2"/>
  <c r="E16" i="2"/>
  <c r="F16" i="2"/>
  <c r="E4" i="2"/>
  <c r="F4" i="2"/>
  <c r="E3" i="2"/>
  <c r="F3" i="2"/>
  <c r="L14" i="2" l="1"/>
  <c r="L5" i="2"/>
  <c r="G3" i="2"/>
  <c r="AC6" i="2"/>
  <c r="F68" i="3"/>
  <c r="T5" i="2"/>
  <c r="T14" i="2"/>
  <c r="I5" i="2"/>
  <c r="R5" i="2"/>
  <c r="AC5" i="2" s="1"/>
  <c r="S5" i="2"/>
  <c r="P5" i="2" s="1"/>
  <c r="H5" i="2"/>
  <c r="I15" i="2"/>
  <c r="R15" i="2"/>
  <c r="AC14" i="2" s="1"/>
  <c r="S15" i="2"/>
  <c r="P15" i="2" s="1"/>
  <c r="H15" i="2"/>
  <c r="G4" i="2"/>
  <c r="G16" i="2"/>
  <c r="Q14" i="2"/>
  <c r="N14" i="2"/>
  <c r="O14" i="2" s="1"/>
  <c r="M14" i="2"/>
  <c r="J5" i="2"/>
  <c r="Q6" i="2"/>
  <c r="N6" i="2"/>
  <c r="O6" i="2" s="1"/>
  <c r="M6" i="2"/>
  <c r="J15" i="2"/>
  <c r="G3" i="3"/>
  <c r="A18" i="2"/>
  <c r="B17" i="2"/>
  <c r="AA4" i="2"/>
  <c r="V16" i="2"/>
  <c r="D17" i="2"/>
  <c r="K5" i="2"/>
  <c r="W4" i="2"/>
  <c r="AB4" i="2"/>
  <c r="Y16" i="2"/>
  <c r="K15" i="2"/>
  <c r="X3" i="2"/>
  <c r="AB16" i="2"/>
  <c r="AB3" i="2"/>
  <c r="X16" i="2"/>
  <c r="C17" i="2"/>
  <c r="W3" i="2"/>
  <c r="W16" i="2"/>
  <c r="X4" i="2"/>
  <c r="U4" i="2"/>
  <c r="Y4" i="2"/>
  <c r="V3" i="2"/>
  <c r="Z16" i="2"/>
  <c r="U3" i="2"/>
  <c r="U16" i="2"/>
  <c r="AA3" i="2"/>
  <c r="AA16" i="2"/>
  <c r="Z4" i="2"/>
  <c r="V4" i="2"/>
  <c r="Z3" i="2"/>
  <c r="Y3" i="2"/>
  <c r="E17" i="2"/>
  <c r="F17" i="2"/>
  <c r="L3" i="2" l="1"/>
  <c r="L4" i="2"/>
  <c r="L15" i="2"/>
  <c r="H3" i="2"/>
  <c r="G68" i="3"/>
  <c r="T3" i="2"/>
  <c r="T4" i="2"/>
  <c r="T15" i="2"/>
  <c r="I3" i="2"/>
  <c r="R3" i="2"/>
  <c r="S3" i="2"/>
  <c r="P3" i="2" s="1"/>
  <c r="R16" i="2"/>
  <c r="AC15" i="2" s="1"/>
  <c r="I16" i="2"/>
  <c r="S16" i="2"/>
  <c r="P16" i="2" s="1"/>
  <c r="H16" i="2"/>
  <c r="R4" i="2"/>
  <c r="I4" i="2"/>
  <c r="S4" i="2"/>
  <c r="P4" i="2" s="1"/>
  <c r="H4" i="2"/>
  <c r="G17" i="2"/>
  <c r="N15" i="2"/>
  <c r="O15" i="2" s="1"/>
  <c r="M15" i="2"/>
  <c r="Q15" i="2"/>
  <c r="J3" i="2"/>
  <c r="M5" i="2"/>
  <c r="Q5" i="2"/>
  <c r="N5" i="2"/>
  <c r="O5" i="2" s="1"/>
  <c r="J16" i="2"/>
  <c r="J4" i="2"/>
  <c r="A13" i="3"/>
  <c r="A19" i="2"/>
  <c r="B18" i="2"/>
  <c r="AA17" i="2"/>
  <c r="V17" i="2"/>
  <c r="K16" i="2"/>
  <c r="Y17" i="2"/>
  <c r="X17" i="2"/>
  <c r="W17" i="2"/>
  <c r="D18" i="2"/>
  <c r="Z17" i="2"/>
  <c r="K4" i="2"/>
  <c r="K3" i="2"/>
  <c r="AB17" i="2"/>
  <c r="C18" i="2"/>
  <c r="U17" i="2"/>
  <c r="E18" i="2"/>
  <c r="F18" i="2"/>
  <c r="L16" i="2" l="1"/>
  <c r="AC3" i="2"/>
  <c r="AC4" i="2"/>
  <c r="A78" i="3"/>
  <c r="T16" i="2"/>
  <c r="I17" i="2"/>
  <c r="R17" i="2"/>
  <c r="AC16" i="2" s="1"/>
  <c r="S17" i="2"/>
  <c r="P17" i="2" s="1"/>
  <c r="H17" i="2"/>
  <c r="G18" i="2"/>
  <c r="M4" i="2"/>
  <c r="Q4" i="2"/>
  <c r="N4" i="2"/>
  <c r="O4" i="2" s="1"/>
  <c r="Q3" i="2"/>
  <c r="N3" i="2"/>
  <c r="O3" i="2" s="1"/>
  <c r="M3" i="2"/>
  <c r="Q16" i="2"/>
  <c r="M16" i="2"/>
  <c r="N16" i="2"/>
  <c r="O16" i="2" s="1"/>
  <c r="J17" i="2"/>
  <c r="B13" i="3"/>
  <c r="A20" i="2"/>
  <c r="B19" i="2"/>
  <c r="Y18" i="2"/>
  <c r="V18" i="2"/>
  <c r="AB18" i="2"/>
  <c r="X18" i="2"/>
  <c r="Z18" i="2"/>
  <c r="U18" i="2"/>
  <c r="K17" i="2"/>
  <c r="C19" i="2"/>
  <c r="D19" i="2"/>
  <c r="W18" i="2"/>
  <c r="AA18" i="2"/>
  <c r="E19" i="2"/>
  <c r="F19" i="2"/>
  <c r="L17" i="2" l="1"/>
  <c r="B78" i="3"/>
  <c r="T17" i="2"/>
  <c r="I18" i="2"/>
  <c r="R18" i="2"/>
  <c r="AC17" i="2" s="1"/>
  <c r="S18" i="2"/>
  <c r="P18" i="2" s="1"/>
  <c r="H18" i="2"/>
  <c r="G19" i="2"/>
  <c r="Q17" i="2"/>
  <c r="N17" i="2"/>
  <c r="O17" i="2" s="1"/>
  <c r="M17" i="2"/>
  <c r="J18" i="2"/>
  <c r="C13" i="3"/>
  <c r="D13" i="3" s="1"/>
  <c r="A21" i="2"/>
  <c r="B20" i="2"/>
  <c r="X19" i="2"/>
  <c r="AB19" i="2"/>
  <c r="K18" i="2"/>
  <c r="Y19" i="2"/>
  <c r="D20" i="2"/>
  <c r="W19" i="2"/>
  <c r="Z19" i="2"/>
  <c r="U19" i="2"/>
  <c r="C20" i="2"/>
  <c r="V19" i="2"/>
  <c r="AA19" i="2"/>
  <c r="E20" i="2"/>
  <c r="F20" i="2"/>
  <c r="L18" i="2" l="1"/>
  <c r="C78" i="3"/>
  <c r="T18" i="2"/>
  <c r="I19" i="2"/>
  <c r="R19" i="2"/>
  <c r="AC18" i="2" s="1"/>
  <c r="S19" i="2"/>
  <c r="P19" i="2" s="1"/>
  <c r="H19" i="2"/>
  <c r="G20" i="2"/>
  <c r="N18" i="2"/>
  <c r="O18" i="2" s="1"/>
  <c r="M18" i="2"/>
  <c r="Q18" i="2"/>
  <c r="J19" i="2"/>
  <c r="A22" i="2"/>
  <c r="B21" i="2"/>
  <c r="W20" i="2"/>
  <c r="D21" i="2"/>
  <c r="AA20" i="2"/>
  <c r="U20" i="2"/>
  <c r="C21" i="2"/>
  <c r="AB20" i="2"/>
  <c r="Z20" i="2"/>
  <c r="X20" i="2"/>
  <c r="V20" i="2"/>
  <c r="Y20" i="2"/>
  <c r="K19" i="2"/>
  <c r="E21" i="2"/>
  <c r="F21" i="2"/>
  <c r="L19" i="2" l="1"/>
  <c r="D78" i="3"/>
  <c r="T19" i="2"/>
  <c r="R20" i="2"/>
  <c r="AC19" i="2" s="1"/>
  <c r="I20" i="2"/>
  <c r="S20" i="2"/>
  <c r="P20" i="2" s="1"/>
  <c r="H20" i="2"/>
  <c r="G21" i="2"/>
  <c r="Q19" i="2"/>
  <c r="N19" i="2"/>
  <c r="O19" i="2" s="1"/>
  <c r="M19" i="2"/>
  <c r="J20" i="2"/>
  <c r="E13" i="3"/>
  <c r="A23" i="2"/>
  <c r="B22" i="2"/>
  <c r="X21" i="2"/>
  <c r="V21" i="2"/>
  <c r="AB21" i="2"/>
  <c r="AA21" i="2"/>
  <c r="C22" i="2"/>
  <c r="K20" i="2"/>
  <c r="Y21" i="2"/>
  <c r="D22" i="2"/>
  <c r="U21" i="2"/>
  <c r="W21" i="2"/>
  <c r="Z21" i="2"/>
  <c r="E22" i="2"/>
  <c r="F22" i="2"/>
  <c r="L20" i="2" l="1"/>
  <c r="E78" i="3"/>
  <c r="T20" i="2"/>
  <c r="I21" i="2"/>
  <c r="R21" i="2"/>
  <c r="AC20" i="2" s="1"/>
  <c r="S21" i="2"/>
  <c r="P21" i="2" s="1"/>
  <c r="H21" i="2"/>
  <c r="G22" i="2"/>
  <c r="N20" i="2"/>
  <c r="O20" i="2" s="1"/>
  <c r="M20" i="2"/>
  <c r="Q20" i="2"/>
  <c r="J21" i="2"/>
  <c r="F13" i="3"/>
  <c r="A24" i="2"/>
  <c r="B23" i="2"/>
  <c r="Z22" i="2"/>
  <c r="V22" i="2"/>
  <c r="W22" i="2"/>
  <c r="Y22" i="2"/>
  <c r="C23" i="2"/>
  <c r="AB22" i="2"/>
  <c r="D23" i="2"/>
  <c r="AA22" i="2"/>
  <c r="X22" i="2"/>
  <c r="K21" i="2"/>
  <c r="U22" i="2"/>
  <c r="E23" i="2"/>
  <c r="F23" i="2"/>
  <c r="L21" i="2" l="1"/>
  <c r="F78" i="3"/>
  <c r="T21" i="2"/>
  <c r="I22" i="2"/>
  <c r="R22" i="2"/>
  <c r="AC21" i="2" s="1"/>
  <c r="S22" i="2"/>
  <c r="P22" i="2" s="1"/>
  <c r="H22" i="2"/>
  <c r="G23" i="2"/>
  <c r="Q21" i="2"/>
  <c r="N21" i="2"/>
  <c r="O21" i="2" s="1"/>
  <c r="M21" i="2"/>
  <c r="J22" i="2"/>
  <c r="G13" i="3"/>
  <c r="A25" i="2"/>
  <c r="B24" i="2"/>
  <c r="U23" i="2"/>
  <c r="AA23" i="2"/>
  <c r="X23" i="2"/>
  <c r="AB23" i="2"/>
  <c r="Y23" i="2"/>
  <c r="Z23" i="2"/>
  <c r="K22" i="2"/>
  <c r="V23" i="2"/>
  <c r="D24" i="2"/>
  <c r="W23" i="2"/>
  <c r="C24" i="2"/>
  <c r="E24" i="2"/>
  <c r="F24" i="2"/>
  <c r="L22" i="2" l="1"/>
  <c r="G78" i="3"/>
  <c r="T22" i="2"/>
  <c r="I23" i="2"/>
  <c r="R23" i="2"/>
  <c r="AC22" i="2" s="1"/>
  <c r="S23" i="2"/>
  <c r="P23" i="2" s="1"/>
  <c r="H23" i="2"/>
  <c r="G24" i="2"/>
  <c r="Q22" i="2"/>
  <c r="N22" i="2"/>
  <c r="O22" i="2" s="1"/>
  <c r="M22" i="2"/>
  <c r="J23" i="2"/>
  <c r="A23" i="3"/>
  <c r="A26" i="2"/>
  <c r="B25" i="2"/>
  <c r="Y24" i="2"/>
  <c r="AA24" i="2"/>
  <c r="X24" i="2"/>
  <c r="AB24" i="2"/>
  <c r="Z24" i="2"/>
  <c r="V24" i="2"/>
  <c r="K23" i="2"/>
  <c r="U24" i="2"/>
  <c r="D25" i="2"/>
  <c r="W24" i="2"/>
  <c r="C25" i="2"/>
  <c r="E25" i="2"/>
  <c r="F25" i="2"/>
  <c r="L23" i="2" l="1"/>
  <c r="A88" i="3"/>
  <c r="T23" i="2"/>
  <c r="R24" i="2"/>
  <c r="AC23" i="2" s="1"/>
  <c r="I24" i="2"/>
  <c r="S24" i="2"/>
  <c r="P24" i="2" s="1"/>
  <c r="H24" i="2"/>
  <c r="G25" i="2"/>
  <c r="Q23" i="2"/>
  <c r="M23" i="2"/>
  <c r="N23" i="2"/>
  <c r="O23" i="2" s="1"/>
  <c r="J24" i="2"/>
  <c r="B23" i="3"/>
  <c r="A27" i="2"/>
  <c r="B26" i="2"/>
  <c r="Z25" i="2"/>
  <c r="C26" i="2"/>
  <c r="Y25" i="2"/>
  <c r="X25" i="2"/>
  <c r="AA25" i="2"/>
  <c r="K24" i="2"/>
  <c r="U25" i="2"/>
  <c r="D26" i="2"/>
  <c r="AB25" i="2"/>
  <c r="V25" i="2"/>
  <c r="W25" i="2"/>
  <c r="E26" i="2"/>
  <c r="F26" i="2"/>
  <c r="L24" i="2" l="1"/>
  <c r="B88" i="3"/>
  <c r="T24" i="2"/>
  <c r="I25" i="2"/>
  <c r="R25" i="2"/>
  <c r="AC24" i="2" s="1"/>
  <c r="S25" i="2"/>
  <c r="P25" i="2" s="1"/>
  <c r="H25" i="2"/>
  <c r="G26" i="2"/>
  <c r="Q24" i="2"/>
  <c r="N24" i="2"/>
  <c r="O24" i="2" s="1"/>
  <c r="M24" i="2"/>
  <c r="J25" i="2"/>
  <c r="C23" i="3"/>
  <c r="A28" i="2"/>
  <c r="B27" i="2"/>
  <c r="V26" i="2"/>
  <c r="U26" i="2"/>
  <c r="W26" i="2"/>
  <c r="Z26" i="2"/>
  <c r="K25" i="2"/>
  <c r="Y26" i="2"/>
  <c r="D27" i="2"/>
  <c r="X26" i="2"/>
  <c r="AA26" i="2"/>
  <c r="AB26" i="2"/>
  <c r="C27" i="2"/>
  <c r="E27" i="2"/>
  <c r="F27" i="2"/>
  <c r="L25" i="2" l="1"/>
  <c r="C88" i="3"/>
  <c r="T25" i="2"/>
  <c r="I26" i="2"/>
  <c r="R26" i="2"/>
  <c r="AC25" i="2" s="1"/>
  <c r="S26" i="2"/>
  <c r="P26" i="2" s="1"/>
  <c r="H26" i="2"/>
  <c r="G27" i="2"/>
  <c r="N25" i="2"/>
  <c r="O25" i="2" s="1"/>
  <c r="Q25" i="2"/>
  <c r="M25" i="2"/>
  <c r="J26" i="2"/>
  <c r="D23" i="3"/>
  <c r="B28" i="2"/>
  <c r="A29" i="2"/>
  <c r="X27" i="2"/>
  <c r="K26" i="2"/>
  <c r="Z27" i="2"/>
  <c r="D28" i="2"/>
  <c r="U27" i="2"/>
  <c r="AB27" i="2"/>
  <c r="V27" i="2"/>
  <c r="AA27" i="2"/>
  <c r="C28" i="2"/>
  <c r="W27" i="2"/>
  <c r="Y27" i="2"/>
  <c r="E28" i="2"/>
  <c r="F28" i="2"/>
  <c r="L26" i="2" l="1"/>
  <c r="D88" i="3"/>
  <c r="T26" i="2"/>
  <c r="I27" i="2"/>
  <c r="R27" i="2"/>
  <c r="AC26" i="2" s="1"/>
  <c r="S27" i="2"/>
  <c r="P27" i="2" s="1"/>
  <c r="H27" i="2"/>
  <c r="G28" i="2"/>
  <c r="N26" i="2"/>
  <c r="O26" i="2" s="1"/>
  <c r="M26" i="2"/>
  <c r="Q26" i="2"/>
  <c r="J27" i="2"/>
  <c r="E23" i="3"/>
  <c r="A30" i="2"/>
  <c r="B29" i="2"/>
  <c r="C29" i="2"/>
  <c r="Y28" i="2"/>
  <c r="K27" i="2"/>
  <c r="X28" i="2"/>
  <c r="D29" i="2"/>
  <c r="U28" i="2"/>
  <c r="W28" i="2"/>
  <c r="AA28" i="2"/>
  <c r="AB28" i="2"/>
  <c r="V28" i="2"/>
  <c r="Z28" i="2"/>
  <c r="E29" i="2"/>
  <c r="F29" i="2"/>
  <c r="L27" i="2" l="1"/>
  <c r="E88" i="3"/>
  <c r="T27" i="2"/>
  <c r="R28" i="2"/>
  <c r="AC27" i="2" s="1"/>
  <c r="I28" i="2"/>
  <c r="S28" i="2"/>
  <c r="P28" i="2" s="1"/>
  <c r="H28" i="2"/>
  <c r="G29" i="2"/>
  <c r="N27" i="2"/>
  <c r="O27" i="2" s="1"/>
  <c r="M27" i="2"/>
  <c r="Q27" i="2"/>
  <c r="J28" i="2"/>
  <c r="F23" i="3"/>
  <c r="A31" i="2"/>
  <c r="B30" i="2"/>
  <c r="Z29" i="2"/>
  <c r="W29" i="2"/>
  <c r="X29" i="2"/>
  <c r="V29" i="2"/>
  <c r="AB29" i="2"/>
  <c r="U29" i="2"/>
  <c r="K28" i="2"/>
  <c r="AA29" i="2"/>
  <c r="D30" i="2"/>
  <c r="Y29" i="2"/>
  <c r="C30" i="2"/>
  <c r="E30" i="2"/>
  <c r="F30" i="2"/>
  <c r="L28" i="2" l="1"/>
  <c r="F88" i="3"/>
  <c r="T28" i="2"/>
  <c r="I29" i="2"/>
  <c r="R29" i="2"/>
  <c r="AC28" i="2" s="1"/>
  <c r="S29" i="2"/>
  <c r="P29" i="2" s="1"/>
  <c r="H29" i="2"/>
  <c r="G30" i="2"/>
  <c r="M28" i="2"/>
  <c r="N28" i="2"/>
  <c r="O28" i="2" s="1"/>
  <c r="Q28" i="2"/>
  <c r="J29" i="2"/>
  <c r="G23" i="3"/>
  <c r="A32" i="2"/>
  <c r="B31" i="2"/>
  <c r="C31" i="2"/>
  <c r="X30" i="2"/>
  <c r="AA30" i="2"/>
  <c r="AB30" i="2"/>
  <c r="K29" i="2"/>
  <c r="U30" i="2"/>
  <c r="D31" i="2"/>
  <c r="Y30" i="2"/>
  <c r="W30" i="2"/>
  <c r="Z30" i="2"/>
  <c r="V30" i="2"/>
  <c r="E31" i="2"/>
  <c r="F31" i="2"/>
  <c r="L29" i="2" l="1"/>
  <c r="G88" i="3"/>
  <c r="T29" i="2"/>
  <c r="I30" i="2"/>
  <c r="R30" i="2"/>
  <c r="AC29" i="2" s="1"/>
  <c r="S30" i="2"/>
  <c r="P30" i="2" s="1"/>
  <c r="H30" i="2"/>
  <c r="G31" i="2"/>
  <c r="N29" i="2"/>
  <c r="O29" i="2" s="1"/>
  <c r="M29" i="2"/>
  <c r="Q29" i="2"/>
  <c r="J30" i="2"/>
  <c r="A33" i="3"/>
  <c r="A33" i="2"/>
  <c r="B32" i="2"/>
  <c r="C32" i="2"/>
  <c r="AA31" i="2"/>
  <c r="V31" i="2"/>
  <c r="K30" i="2"/>
  <c r="U31" i="2"/>
  <c r="D32" i="2"/>
  <c r="W31" i="2"/>
  <c r="AB31" i="2"/>
  <c r="Y31" i="2"/>
  <c r="X31" i="2"/>
  <c r="Z31" i="2"/>
  <c r="E32" i="2"/>
  <c r="F32" i="2"/>
  <c r="L30" i="2" l="1"/>
  <c r="A98" i="3"/>
  <c r="T30" i="2"/>
  <c r="I31" i="2"/>
  <c r="R31" i="2"/>
  <c r="AC30" i="2" s="1"/>
  <c r="S31" i="2"/>
  <c r="P31" i="2" s="1"/>
  <c r="H31" i="2"/>
  <c r="G32" i="2"/>
  <c r="Q30" i="2"/>
  <c r="N30" i="2"/>
  <c r="O30" i="2" s="1"/>
  <c r="M30" i="2"/>
  <c r="J31" i="2"/>
  <c r="B33" i="3"/>
  <c r="A34" i="2"/>
  <c r="B33" i="2"/>
  <c r="X32" i="2"/>
  <c r="Z32" i="2"/>
  <c r="AB32" i="2"/>
  <c r="C33" i="2"/>
  <c r="K31" i="2"/>
  <c r="Y32" i="2"/>
  <c r="D33" i="2"/>
  <c r="AA32" i="2"/>
  <c r="U32" i="2"/>
  <c r="V32" i="2"/>
  <c r="W32" i="2"/>
  <c r="E33" i="2"/>
  <c r="F33" i="2"/>
  <c r="L31" i="2" l="1"/>
  <c r="B98" i="3"/>
  <c r="T31" i="2"/>
  <c r="R32" i="2"/>
  <c r="AC31" i="2" s="1"/>
  <c r="I32" i="2"/>
  <c r="S32" i="2"/>
  <c r="P32" i="2" s="1"/>
  <c r="H32" i="2"/>
  <c r="G33" i="2"/>
  <c r="M31" i="2"/>
  <c r="N31" i="2"/>
  <c r="O31" i="2" s="1"/>
  <c r="Q31" i="2"/>
  <c r="J32" i="2"/>
  <c r="C33" i="3"/>
  <c r="B34" i="2"/>
  <c r="A35" i="2"/>
  <c r="AA33" i="2"/>
  <c r="C34" i="2"/>
  <c r="AB33" i="2"/>
  <c r="W33" i="2"/>
  <c r="Z33" i="2"/>
  <c r="Y33" i="2"/>
  <c r="X33" i="2"/>
  <c r="K32" i="2"/>
  <c r="V33" i="2"/>
  <c r="D34" i="2"/>
  <c r="U33" i="2"/>
  <c r="E34" i="2"/>
  <c r="F34" i="2"/>
  <c r="L32" i="2" l="1"/>
  <c r="C98" i="3"/>
  <c r="T32" i="2"/>
  <c r="I33" i="2"/>
  <c r="R33" i="2"/>
  <c r="AC32" i="2" s="1"/>
  <c r="S33" i="2"/>
  <c r="P33" i="2" s="1"/>
  <c r="H33" i="2"/>
  <c r="G34" i="2"/>
  <c r="Q32" i="2"/>
  <c r="M32" i="2"/>
  <c r="N32" i="2"/>
  <c r="O32" i="2" s="1"/>
  <c r="J33" i="2"/>
  <c r="D33" i="3"/>
  <c r="A36" i="2"/>
  <c r="B35" i="2"/>
  <c r="W34" i="2"/>
  <c r="Z34" i="2"/>
  <c r="Y34" i="2"/>
  <c r="K33" i="2"/>
  <c r="U34" i="2"/>
  <c r="D35" i="2"/>
  <c r="AA34" i="2"/>
  <c r="X34" i="2"/>
  <c r="AB34" i="2"/>
  <c r="V34" i="2"/>
  <c r="C35" i="2"/>
  <c r="E35" i="2"/>
  <c r="F35" i="2"/>
  <c r="L33" i="2" l="1"/>
  <c r="D98" i="3"/>
  <c r="T33" i="2"/>
  <c r="I34" i="2"/>
  <c r="R34" i="2"/>
  <c r="AC33" i="2" s="1"/>
  <c r="S34" i="2"/>
  <c r="P34" i="2" s="1"/>
  <c r="H34" i="2"/>
  <c r="G35" i="2"/>
  <c r="Q33" i="2"/>
  <c r="N33" i="2"/>
  <c r="O33" i="2" s="1"/>
  <c r="M33" i="2"/>
  <c r="J34" i="2"/>
  <c r="E33" i="3"/>
  <c r="A37" i="2"/>
  <c r="B36" i="2"/>
  <c r="X35" i="2"/>
  <c r="W35" i="2"/>
  <c r="K34" i="2"/>
  <c r="AA35" i="2"/>
  <c r="D36" i="2"/>
  <c r="Z35" i="2"/>
  <c r="U35" i="2"/>
  <c r="AB35" i="2"/>
  <c r="Y35" i="2"/>
  <c r="C36" i="2"/>
  <c r="V35" i="2"/>
  <c r="E36" i="2"/>
  <c r="F36" i="2"/>
  <c r="L34" i="2" l="1"/>
  <c r="E98" i="3"/>
  <c r="T34" i="2"/>
  <c r="I35" i="2"/>
  <c r="R35" i="2"/>
  <c r="AC34" i="2" s="1"/>
  <c r="S35" i="2"/>
  <c r="P35" i="2" s="1"/>
  <c r="H35" i="2"/>
  <c r="G36" i="2"/>
  <c r="N34" i="2"/>
  <c r="O34" i="2" s="1"/>
  <c r="M34" i="2"/>
  <c r="Q34" i="2"/>
  <c r="J35" i="2"/>
  <c r="F33" i="3"/>
  <c r="A38" i="2"/>
  <c r="B37" i="2"/>
  <c r="X36" i="2"/>
  <c r="U36" i="2"/>
  <c r="Z36" i="2"/>
  <c r="V36" i="2"/>
  <c r="C37" i="2"/>
  <c r="Y36" i="2"/>
  <c r="AA36" i="2"/>
  <c r="K35" i="2"/>
  <c r="W36" i="2"/>
  <c r="D37" i="2"/>
  <c r="AB36" i="2"/>
  <c r="E37" i="2"/>
  <c r="F37" i="2"/>
  <c r="L35" i="2" l="1"/>
  <c r="F98" i="3"/>
  <c r="T35" i="2"/>
  <c r="R36" i="2"/>
  <c r="AC35" i="2" s="1"/>
  <c r="I36" i="2"/>
  <c r="S36" i="2"/>
  <c r="P36" i="2" s="1"/>
  <c r="H36" i="2"/>
  <c r="G37" i="2"/>
  <c r="Q35" i="2"/>
  <c r="N35" i="2"/>
  <c r="O35" i="2" s="1"/>
  <c r="M35" i="2"/>
  <c r="J36" i="2"/>
  <c r="G33" i="3"/>
  <c r="A39" i="2"/>
  <c r="B38" i="2"/>
  <c r="AA37" i="2"/>
  <c r="Y37" i="2"/>
  <c r="W37" i="2"/>
  <c r="U37" i="2"/>
  <c r="Z37" i="2"/>
  <c r="K36" i="2"/>
  <c r="AB37" i="2"/>
  <c r="D38" i="2"/>
  <c r="X37" i="2"/>
  <c r="V37" i="2"/>
  <c r="C38" i="2"/>
  <c r="E38" i="2"/>
  <c r="F38" i="2"/>
  <c r="L36" i="2" l="1"/>
  <c r="G98" i="3"/>
  <c r="T36" i="2"/>
  <c r="I37" i="2"/>
  <c r="R37" i="2"/>
  <c r="AC36" i="2" s="1"/>
  <c r="S37" i="2"/>
  <c r="P37" i="2" s="1"/>
  <c r="H37" i="2"/>
  <c r="G38" i="2"/>
  <c r="N36" i="2"/>
  <c r="O36" i="2" s="1"/>
  <c r="M36" i="2"/>
  <c r="Q36" i="2"/>
  <c r="J37" i="2"/>
  <c r="A43" i="3"/>
  <c r="A40" i="2"/>
  <c r="B39" i="2"/>
  <c r="C39" i="2"/>
  <c r="AB38" i="2"/>
  <c r="K37" i="2"/>
  <c r="V38" i="2"/>
  <c r="D39" i="2"/>
  <c r="X38" i="2"/>
  <c r="Y38" i="2"/>
  <c r="U38" i="2"/>
  <c r="AA38" i="2"/>
  <c r="Z38" i="2"/>
  <c r="W38" i="2"/>
  <c r="E39" i="2"/>
  <c r="F39" i="2"/>
  <c r="L37" i="2" l="1"/>
  <c r="A108" i="3"/>
  <c r="T37" i="2"/>
  <c r="I38" i="2"/>
  <c r="R38" i="2"/>
  <c r="AC37" i="2" s="1"/>
  <c r="S38" i="2"/>
  <c r="P38" i="2" s="1"/>
  <c r="H38" i="2"/>
  <c r="G39" i="2"/>
  <c r="Q37" i="2"/>
  <c r="N37" i="2"/>
  <c r="O37" i="2" s="1"/>
  <c r="M37" i="2"/>
  <c r="J38" i="2"/>
  <c r="B43" i="3"/>
  <c r="A41" i="2"/>
  <c r="B40" i="2"/>
  <c r="AA39" i="2"/>
  <c r="V39" i="2"/>
  <c r="K38" i="2"/>
  <c r="C40" i="2"/>
  <c r="D40" i="2"/>
  <c r="U39" i="2"/>
  <c r="Y39" i="2"/>
  <c r="AB39" i="2"/>
  <c r="W39" i="2"/>
  <c r="Z39" i="2"/>
  <c r="X39" i="2"/>
  <c r="E40" i="2"/>
  <c r="F40" i="2"/>
  <c r="L38" i="2" l="1"/>
  <c r="B108" i="3"/>
  <c r="T38" i="2"/>
  <c r="I39" i="2"/>
  <c r="R39" i="2"/>
  <c r="AC38" i="2" s="1"/>
  <c r="S39" i="2"/>
  <c r="P39" i="2" s="1"/>
  <c r="H39" i="2"/>
  <c r="G40" i="2"/>
  <c r="Q38" i="2"/>
  <c r="N38" i="2"/>
  <c r="O38" i="2" s="1"/>
  <c r="M38" i="2"/>
  <c r="J39" i="2"/>
  <c r="C43" i="3"/>
  <c r="A42" i="2"/>
  <c r="B41" i="2"/>
  <c r="X40" i="2"/>
  <c r="U40" i="2"/>
  <c r="AA40" i="2"/>
  <c r="K39" i="2"/>
  <c r="W40" i="2"/>
  <c r="D41" i="2"/>
  <c r="AB40" i="2"/>
  <c r="V40" i="2"/>
  <c r="Y40" i="2"/>
  <c r="Z40" i="2"/>
  <c r="C41" i="2"/>
  <c r="E41" i="2"/>
  <c r="F41" i="2"/>
  <c r="L39" i="2" l="1"/>
  <c r="C108" i="3"/>
  <c r="T39" i="2"/>
  <c r="R40" i="2"/>
  <c r="AC39" i="2" s="1"/>
  <c r="I40" i="2"/>
  <c r="S40" i="2"/>
  <c r="P40" i="2" s="1"/>
  <c r="H40" i="2"/>
  <c r="G41" i="2"/>
  <c r="Q39" i="2"/>
  <c r="N39" i="2"/>
  <c r="O39" i="2" s="1"/>
  <c r="M39" i="2"/>
  <c r="J40" i="2"/>
  <c r="D43" i="3"/>
  <c r="A43" i="2"/>
  <c r="B42" i="2"/>
  <c r="Y41" i="2"/>
  <c r="C42" i="2"/>
  <c r="V41" i="2"/>
  <c r="K40" i="2"/>
  <c r="X41" i="2"/>
  <c r="D42" i="2"/>
  <c r="AA41" i="2"/>
  <c r="U41" i="2"/>
  <c r="AB41" i="2"/>
  <c r="Z41" i="2"/>
  <c r="W41" i="2"/>
  <c r="E42" i="2"/>
  <c r="F42" i="2"/>
  <c r="L40" i="2" l="1"/>
  <c r="D108" i="3"/>
  <c r="T40" i="2"/>
  <c r="I41" i="2"/>
  <c r="R41" i="2"/>
  <c r="AC40" i="2" s="1"/>
  <c r="S41" i="2"/>
  <c r="P41" i="2" s="1"/>
  <c r="H41" i="2"/>
  <c r="G42" i="2"/>
  <c r="N40" i="2"/>
  <c r="O40" i="2" s="1"/>
  <c r="Q40" i="2"/>
  <c r="M40" i="2"/>
  <c r="J41" i="2"/>
  <c r="E43" i="3"/>
  <c r="A44" i="2"/>
  <c r="B43" i="2"/>
  <c r="AA42" i="2"/>
  <c r="V42" i="2"/>
  <c r="K41" i="2"/>
  <c r="W42" i="2"/>
  <c r="D43" i="2"/>
  <c r="Z42" i="2"/>
  <c r="Y42" i="2"/>
  <c r="X42" i="2"/>
  <c r="C43" i="2"/>
  <c r="U42" i="2"/>
  <c r="AB42" i="2"/>
  <c r="E43" i="2"/>
  <c r="F43" i="2"/>
  <c r="L41" i="2" l="1"/>
  <c r="E108" i="3"/>
  <c r="T41" i="2"/>
  <c r="I42" i="2"/>
  <c r="R42" i="2"/>
  <c r="AC41" i="2" s="1"/>
  <c r="S42" i="2"/>
  <c r="P42" i="2" s="1"/>
  <c r="H42" i="2"/>
  <c r="G43" i="2"/>
  <c r="N41" i="2"/>
  <c r="O41" i="2" s="1"/>
  <c r="M41" i="2"/>
  <c r="Q41" i="2"/>
  <c r="J42" i="2"/>
  <c r="F43" i="3"/>
  <c r="A45" i="2"/>
  <c r="B44" i="2"/>
  <c r="Y43" i="2"/>
  <c r="K42" i="2"/>
  <c r="Z43" i="2"/>
  <c r="D44" i="2"/>
  <c r="V43" i="2"/>
  <c r="AA43" i="2"/>
  <c r="U43" i="2"/>
  <c r="X43" i="2"/>
  <c r="C44" i="2"/>
  <c r="W43" i="2"/>
  <c r="AB43" i="2"/>
  <c r="E44" i="2"/>
  <c r="F44" i="2"/>
  <c r="L42" i="2" l="1"/>
  <c r="F108" i="3"/>
  <c r="T42" i="2"/>
  <c r="I43" i="2"/>
  <c r="R43" i="2"/>
  <c r="AC42" i="2" s="1"/>
  <c r="S43" i="2"/>
  <c r="P43" i="2" s="1"/>
  <c r="H43" i="2"/>
  <c r="G44" i="2"/>
  <c r="N42" i="2"/>
  <c r="O42" i="2" s="1"/>
  <c r="M42" i="2"/>
  <c r="Q42" i="2"/>
  <c r="J43" i="2"/>
  <c r="G43" i="3"/>
  <c r="A46" i="2"/>
  <c r="B45" i="2"/>
  <c r="Y44" i="2"/>
  <c r="V44" i="2"/>
  <c r="K43" i="2"/>
  <c r="U44" i="2"/>
  <c r="D45" i="2"/>
  <c r="X44" i="2"/>
  <c r="Z44" i="2"/>
  <c r="W44" i="2"/>
  <c r="C45" i="2"/>
  <c r="AA44" i="2"/>
  <c r="AB44" i="2"/>
  <c r="E45" i="2"/>
  <c r="F45" i="2"/>
  <c r="L43" i="2" l="1"/>
  <c r="G108" i="3"/>
  <c r="T43" i="2"/>
  <c r="R44" i="2"/>
  <c r="AC43" i="2" s="1"/>
  <c r="I44" i="2"/>
  <c r="S44" i="2"/>
  <c r="P44" i="2" s="1"/>
  <c r="H44" i="2"/>
  <c r="G45" i="2"/>
  <c r="Q43" i="2"/>
  <c r="M43" i="2"/>
  <c r="N43" i="2"/>
  <c r="O43" i="2" s="1"/>
  <c r="J44" i="2"/>
  <c r="A53" i="3"/>
  <c r="A47" i="2"/>
  <c r="B46" i="2"/>
  <c r="X45" i="2"/>
  <c r="Y45" i="2"/>
  <c r="C46" i="2"/>
  <c r="K44" i="2"/>
  <c r="Z45" i="2"/>
  <c r="D46" i="2"/>
  <c r="AB45" i="2"/>
  <c r="U45" i="2"/>
  <c r="V45" i="2"/>
  <c r="AA45" i="2"/>
  <c r="W45" i="2"/>
  <c r="E46" i="2"/>
  <c r="F46" i="2"/>
  <c r="L44" i="2" l="1"/>
  <c r="A118" i="3"/>
  <c r="T44" i="2"/>
  <c r="I45" i="2"/>
  <c r="R45" i="2"/>
  <c r="AC44" i="2" s="1"/>
  <c r="S45" i="2"/>
  <c r="P45" i="2" s="1"/>
  <c r="H45" i="2"/>
  <c r="G46" i="2"/>
  <c r="M44" i="2"/>
  <c r="Q44" i="2"/>
  <c r="N44" i="2"/>
  <c r="O44" i="2" s="1"/>
  <c r="J45" i="2"/>
  <c r="B53" i="3"/>
  <c r="A48" i="2"/>
  <c r="B47" i="2"/>
  <c r="AA46" i="2"/>
  <c r="V46" i="2"/>
  <c r="Y46" i="2"/>
  <c r="U46" i="2"/>
  <c r="Z46" i="2"/>
  <c r="AB46" i="2"/>
  <c r="W46" i="2"/>
  <c r="C47" i="2"/>
  <c r="X46" i="2"/>
  <c r="K45" i="2"/>
  <c r="E47" i="2"/>
  <c r="F47" i="2"/>
  <c r="L45" i="2" l="1"/>
  <c r="B118" i="3"/>
  <c r="T45" i="2"/>
  <c r="I46" i="2"/>
  <c r="R46" i="2"/>
  <c r="AC45" i="2" s="1"/>
  <c r="S46" i="2"/>
  <c r="P46" i="2" s="1"/>
  <c r="H46" i="2"/>
  <c r="G47" i="2"/>
  <c r="N45" i="2"/>
  <c r="O45" i="2" s="1"/>
  <c r="Q45" i="2"/>
  <c r="M45" i="2"/>
  <c r="J46" i="2"/>
  <c r="A49" i="2"/>
  <c r="B48" i="2"/>
  <c r="D47" i="2"/>
  <c r="AB47" i="2"/>
  <c r="Y47" i="2"/>
  <c r="K46" i="2"/>
  <c r="D48" i="2"/>
  <c r="C48" i="2"/>
  <c r="U47" i="2"/>
  <c r="AA47" i="2"/>
  <c r="Z47" i="2"/>
  <c r="X47" i="2"/>
  <c r="V47" i="2"/>
  <c r="W47" i="2"/>
  <c r="E48" i="2"/>
  <c r="F48" i="2"/>
  <c r="L46" i="2" l="1"/>
  <c r="T46" i="2"/>
  <c r="I47" i="2"/>
  <c r="R47" i="2"/>
  <c r="AC46" i="2" s="1"/>
  <c r="S47" i="2"/>
  <c r="P47" i="2" s="1"/>
  <c r="H47" i="2"/>
  <c r="G48" i="2"/>
  <c r="Q46" i="2"/>
  <c r="N46" i="2"/>
  <c r="O46" i="2" s="1"/>
  <c r="M46" i="2"/>
  <c r="J47" i="2"/>
  <c r="A50" i="2"/>
  <c r="B49" i="2"/>
  <c r="X48" i="2"/>
  <c r="AA48" i="2"/>
  <c r="Z48" i="2"/>
  <c r="V48" i="2"/>
  <c r="C49" i="2"/>
  <c r="Y48" i="2"/>
  <c r="W48" i="2"/>
  <c r="U48" i="2"/>
  <c r="K47" i="2"/>
  <c r="AB48" i="2"/>
  <c r="E49" i="2"/>
  <c r="F49" i="2"/>
  <c r="L47" i="2" l="1"/>
  <c r="T47" i="2"/>
  <c r="R48" i="2"/>
  <c r="AC47" i="2" s="1"/>
  <c r="I48" i="2"/>
  <c r="S48" i="2"/>
  <c r="P48" i="2" s="1"/>
  <c r="H48" i="2"/>
  <c r="G49" i="2"/>
  <c r="N47" i="2"/>
  <c r="O47" i="2" s="1"/>
  <c r="M47" i="2"/>
  <c r="Q47" i="2"/>
  <c r="J48" i="2"/>
  <c r="A51" i="2"/>
  <c r="B50" i="2"/>
  <c r="D49" i="2"/>
  <c r="V49" i="2"/>
  <c r="W49" i="2"/>
  <c r="X49" i="2"/>
  <c r="C50" i="2"/>
  <c r="Z49" i="2"/>
  <c r="D50" i="2"/>
  <c r="AA49" i="2"/>
  <c r="AB49" i="2"/>
  <c r="Y49" i="2"/>
  <c r="U49" i="2"/>
  <c r="K48" i="2"/>
  <c r="E50" i="2"/>
  <c r="F50" i="2"/>
  <c r="L48" i="2" l="1"/>
  <c r="T48" i="2"/>
  <c r="I49" i="2"/>
  <c r="R49" i="2"/>
  <c r="AC48" i="2" s="1"/>
  <c r="S49" i="2"/>
  <c r="P49" i="2" s="1"/>
  <c r="H49" i="2"/>
  <c r="G50" i="2"/>
  <c r="M48" i="2"/>
  <c r="Q48" i="2"/>
  <c r="N48" i="2"/>
  <c r="O48" i="2" s="1"/>
  <c r="J49" i="2"/>
  <c r="A52" i="2"/>
  <c r="B51" i="2"/>
  <c r="X50" i="2"/>
  <c r="K49" i="2"/>
  <c r="C51" i="2"/>
  <c r="W50" i="2"/>
  <c r="D51" i="2"/>
  <c r="V50" i="2"/>
  <c r="Y50" i="2"/>
  <c r="AA50" i="2"/>
  <c r="U50" i="2"/>
  <c r="Z50" i="2"/>
  <c r="AB50" i="2"/>
  <c r="E51" i="2"/>
  <c r="F51" i="2"/>
  <c r="L49" i="2" l="1"/>
  <c r="T49" i="2"/>
  <c r="I50" i="2"/>
  <c r="R50" i="2"/>
  <c r="AC49" i="2" s="1"/>
  <c r="S50" i="2"/>
  <c r="P50" i="2" s="1"/>
  <c r="H50" i="2"/>
  <c r="G51" i="2"/>
  <c r="N49" i="2"/>
  <c r="O49" i="2" s="1"/>
  <c r="M49" i="2"/>
  <c r="Q49" i="2"/>
  <c r="J50" i="2"/>
  <c r="A53" i="2"/>
  <c r="B52" i="2"/>
  <c r="AB51" i="2"/>
  <c r="K50" i="2"/>
  <c r="Y51" i="2"/>
  <c r="AA51" i="2"/>
  <c r="V51" i="2"/>
  <c r="X51" i="2"/>
  <c r="Z51" i="2"/>
  <c r="U51" i="2"/>
  <c r="W51" i="2"/>
  <c r="D52" i="2"/>
  <c r="C52" i="2"/>
  <c r="E52" i="2"/>
  <c r="F52" i="2"/>
  <c r="L50" i="2" l="1"/>
  <c r="T50" i="2"/>
  <c r="I51" i="2"/>
  <c r="R51" i="2"/>
  <c r="AC50" i="2" s="1"/>
  <c r="S51" i="2"/>
  <c r="P51" i="2" s="1"/>
  <c r="H51" i="2"/>
  <c r="G52" i="2"/>
  <c r="N50" i="2"/>
  <c r="O50" i="2" s="1"/>
  <c r="M50" i="2"/>
  <c r="Q50" i="2"/>
  <c r="J51" i="2"/>
  <c r="A54" i="2"/>
  <c r="B53" i="2"/>
  <c r="AB52" i="2"/>
  <c r="D53" i="2"/>
  <c r="U52" i="2"/>
  <c r="AA52" i="2"/>
  <c r="Y52" i="2"/>
  <c r="X52" i="2"/>
  <c r="C53" i="2"/>
  <c r="W52" i="2"/>
  <c r="K51" i="2"/>
  <c r="Z52" i="2"/>
  <c r="V52" i="2"/>
  <c r="E53" i="2"/>
  <c r="F53" i="2"/>
  <c r="L51" i="2" l="1"/>
  <c r="T51" i="2"/>
  <c r="R52" i="2"/>
  <c r="AC51" i="2" s="1"/>
  <c r="I52" i="2"/>
  <c r="S52" i="2"/>
  <c r="P52" i="2" s="1"/>
  <c r="H52" i="2"/>
  <c r="G53" i="2"/>
  <c r="Q51" i="2"/>
  <c r="N51" i="2"/>
  <c r="O51" i="2" s="1"/>
  <c r="M51" i="2"/>
  <c r="J52" i="2"/>
  <c r="A55" i="2"/>
  <c r="B54" i="2"/>
  <c r="K52" i="2"/>
  <c r="W53" i="2"/>
  <c r="Y53" i="2"/>
  <c r="D54" i="2"/>
  <c r="AA53" i="2"/>
  <c r="X53" i="2"/>
  <c r="Z53" i="2"/>
  <c r="U53" i="2"/>
  <c r="V53" i="2"/>
  <c r="AB53" i="2"/>
  <c r="C54" i="2"/>
  <c r="E54" i="2"/>
  <c r="F54" i="2"/>
  <c r="L52" i="2" l="1"/>
  <c r="T52" i="2"/>
  <c r="I53" i="2"/>
  <c r="R53" i="2"/>
  <c r="AC52" i="2" s="1"/>
  <c r="S53" i="2"/>
  <c r="P53" i="2" s="1"/>
  <c r="H53" i="2"/>
  <c r="G54" i="2"/>
  <c r="Q52" i="2"/>
  <c r="N52" i="2"/>
  <c r="O52" i="2" s="1"/>
  <c r="M52" i="2"/>
  <c r="J53" i="2"/>
  <c r="A56" i="2"/>
  <c r="B55" i="2"/>
  <c r="Z54" i="2"/>
  <c r="K53" i="2"/>
  <c r="Y54" i="2"/>
  <c r="D55" i="2"/>
  <c r="U54" i="2"/>
  <c r="X54" i="2"/>
  <c r="AB54" i="2"/>
  <c r="W54" i="2"/>
  <c r="V54" i="2"/>
  <c r="C55" i="2"/>
  <c r="AA54" i="2"/>
  <c r="E55" i="2"/>
  <c r="F55" i="2"/>
  <c r="L53" i="2" l="1"/>
  <c r="T53" i="2"/>
  <c r="I54" i="2"/>
  <c r="R54" i="2"/>
  <c r="AC53" i="2" s="1"/>
  <c r="S54" i="2"/>
  <c r="P54" i="2" s="1"/>
  <c r="H54" i="2"/>
  <c r="G55" i="2"/>
  <c r="Q53" i="2"/>
  <c r="N53" i="2"/>
  <c r="O53" i="2" s="1"/>
  <c r="M53" i="2"/>
  <c r="J54" i="2"/>
  <c r="A57" i="2"/>
  <c r="B56" i="2"/>
  <c r="V55" i="2"/>
  <c r="X55" i="2"/>
  <c r="AB55" i="2"/>
  <c r="K54" i="2"/>
  <c r="Y55" i="2"/>
  <c r="AA55" i="2"/>
  <c r="D56" i="2"/>
  <c r="C56" i="2"/>
  <c r="W55" i="2"/>
  <c r="Z55" i="2"/>
  <c r="U55" i="2"/>
  <c r="E56" i="2"/>
  <c r="F56" i="2"/>
  <c r="L54" i="2" l="1"/>
  <c r="T54" i="2"/>
  <c r="I55" i="2"/>
  <c r="R55" i="2"/>
  <c r="AC54" i="2" s="1"/>
  <c r="S55" i="2"/>
  <c r="P55" i="2" s="1"/>
  <c r="H55" i="2"/>
  <c r="G56" i="2"/>
  <c r="Q54" i="2"/>
  <c r="N54" i="2"/>
  <c r="O54" i="2" s="1"/>
  <c r="M54" i="2"/>
  <c r="J55" i="2"/>
  <c r="A58" i="2"/>
  <c r="B57" i="2"/>
  <c r="Z56" i="2"/>
  <c r="C57" i="2"/>
  <c r="AA56" i="2"/>
  <c r="K55" i="2"/>
  <c r="V56" i="2"/>
  <c r="U56" i="2"/>
  <c r="W56" i="2"/>
  <c r="AB56" i="2"/>
  <c r="D57" i="2"/>
  <c r="X56" i="2"/>
  <c r="Y56" i="2"/>
  <c r="E57" i="2"/>
  <c r="F57" i="2"/>
  <c r="L55" i="2" l="1"/>
  <c r="T55" i="2"/>
  <c r="R56" i="2"/>
  <c r="AC55" i="2" s="1"/>
  <c r="I56" i="2"/>
  <c r="S56" i="2"/>
  <c r="P56" i="2" s="1"/>
  <c r="H56" i="2"/>
  <c r="G57" i="2"/>
  <c r="M55" i="2"/>
  <c r="N55" i="2"/>
  <c r="O55" i="2" s="1"/>
  <c r="Q55" i="2"/>
  <c r="J56" i="2"/>
  <c r="A59" i="2"/>
  <c r="B58" i="2"/>
  <c r="AB57" i="2"/>
  <c r="D58" i="2"/>
  <c r="K56" i="2"/>
  <c r="V57" i="2"/>
  <c r="X57" i="2"/>
  <c r="Z57" i="2"/>
  <c r="AA57" i="2"/>
  <c r="W57" i="2"/>
  <c r="C58" i="2"/>
  <c r="Y57" i="2"/>
  <c r="U57" i="2"/>
  <c r="E58" i="2"/>
  <c r="F58" i="2"/>
  <c r="L56" i="2" l="1"/>
  <c r="T56" i="2"/>
  <c r="I57" i="2"/>
  <c r="R57" i="2"/>
  <c r="AC56" i="2" s="1"/>
  <c r="S57" i="2"/>
  <c r="P57" i="2" s="1"/>
  <c r="H57" i="2"/>
  <c r="G58" i="2"/>
  <c r="N56" i="2"/>
  <c r="O56" i="2" s="1"/>
  <c r="M56" i="2"/>
  <c r="Q56" i="2"/>
  <c r="J57" i="2"/>
  <c r="A60" i="2"/>
  <c r="B59" i="2"/>
  <c r="Z58" i="2"/>
  <c r="V58" i="2"/>
  <c r="C59" i="2"/>
  <c r="K57" i="2"/>
  <c r="AB58" i="2"/>
  <c r="U58" i="2"/>
  <c r="Y58" i="2"/>
  <c r="AA58" i="2"/>
  <c r="W58" i="2"/>
  <c r="X58" i="2"/>
  <c r="E59" i="2"/>
  <c r="F59" i="2"/>
  <c r="L57" i="2" l="1"/>
  <c r="T57" i="2"/>
  <c r="I58" i="2"/>
  <c r="R58" i="2"/>
  <c r="AC57" i="2" s="1"/>
  <c r="S58" i="2"/>
  <c r="P58" i="2" s="1"/>
  <c r="H58" i="2"/>
  <c r="G59" i="2"/>
  <c r="Q57" i="2"/>
  <c r="N57" i="2"/>
  <c r="O57" i="2" s="1"/>
  <c r="M57" i="2"/>
  <c r="J58" i="2"/>
  <c r="A61" i="2"/>
  <c r="B60" i="2"/>
  <c r="D59" i="2"/>
  <c r="V59" i="2"/>
  <c r="D60" i="2"/>
  <c r="W59" i="2"/>
  <c r="X59" i="2"/>
  <c r="C60" i="2"/>
  <c r="K58" i="2"/>
  <c r="AA59" i="2"/>
  <c r="U59" i="2"/>
  <c r="AB59" i="2"/>
  <c r="Z59" i="2"/>
  <c r="Y59" i="2"/>
  <c r="E60" i="2"/>
  <c r="F60" i="2"/>
  <c r="L58" i="2" l="1"/>
  <c r="T58" i="2"/>
  <c r="I59" i="2"/>
  <c r="R59" i="2"/>
  <c r="AC58" i="2" s="1"/>
  <c r="S59" i="2"/>
  <c r="P59" i="2" s="1"/>
  <c r="H59" i="2"/>
  <c r="G60" i="2"/>
  <c r="N58" i="2"/>
  <c r="O58" i="2" s="1"/>
  <c r="M58" i="2"/>
  <c r="Q58" i="2"/>
  <c r="J59" i="2"/>
  <c r="A62" i="2"/>
  <c r="B61" i="2"/>
  <c r="Y60" i="2"/>
  <c r="C61" i="2"/>
  <c r="AB60" i="2"/>
  <c r="Z60" i="2"/>
  <c r="W60" i="2"/>
  <c r="AA60" i="2"/>
  <c r="V60" i="2"/>
  <c r="D61" i="2"/>
  <c r="X60" i="2"/>
  <c r="K59" i="2"/>
  <c r="U60" i="2"/>
  <c r="E61" i="2"/>
  <c r="F61" i="2"/>
  <c r="L59" i="2" l="1"/>
  <c r="T59" i="2"/>
  <c r="R60" i="2"/>
  <c r="AC59" i="2" s="1"/>
  <c r="I60" i="2"/>
  <c r="S60" i="2"/>
  <c r="P60" i="2" s="1"/>
  <c r="H60" i="2"/>
  <c r="G61" i="2"/>
  <c r="Q59" i="2"/>
  <c r="M59" i="2"/>
  <c r="N59" i="2"/>
  <c r="O59" i="2" s="1"/>
  <c r="J60" i="2"/>
  <c r="A63" i="2"/>
  <c r="B62" i="2"/>
  <c r="V61" i="2"/>
  <c r="AA61" i="2"/>
  <c r="K60" i="2"/>
  <c r="AB61" i="2"/>
  <c r="Y61" i="2"/>
  <c r="W61" i="2"/>
  <c r="C62" i="2"/>
  <c r="D62" i="2"/>
  <c r="X61" i="2"/>
  <c r="Z61" i="2"/>
  <c r="U61" i="2"/>
  <c r="E62" i="2"/>
  <c r="F62" i="2"/>
  <c r="L60" i="2" l="1"/>
  <c r="T60" i="2"/>
  <c r="I61" i="2"/>
  <c r="R61" i="2"/>
  <c r="AC60" i="2" s="1"/>
  <c r="S61" i="2"/>
  <c r="P61" i="2" s="1"/>
  <c r="H61" i="2"/>
  <c r="G62" i="2"/>
  <c r="M60" i="2"/>
  <c r="N60" i="2"/>
  <c r="O60" i="2" s="1"/>
  <c r="Q60" i="2"/>
  <c r="J61" i="2"/>
  <c r="A64" i="2"/>
  <c r="B63" i="2"/>
  <c r="AA62" i="2"/>
  <c r="Y62" i="2"/>
  <c r="C63" i="2"/>
  <c r="W62" i="2"/>
  <c r="V62" i="2"/>
  <c r="X62" i="2"/>
  <c r="Z62" i="2"/>
  <c r="K61" i="2"/>
  <c r="AB62" i="2"/>
  <c r="U62" i="2"/>
  <c r="E63" i="2"/>
  <c r="F63" i="2"/>
  <c r="L61" i="2" l="1"/>
  <c r="T61" i="2"/>
  <c r="I62" i="2"/>
  <c r="R62" i="2"/>
  <c r="AC61" i="2" s="1"/>
  <c r="S62" i="2"/>
  <c r="P62" i="2" s="1"/>
  <c r="H62" i="2"/>
  <c r="G63" i="2"/>
  <c r="Q61" i="2"/>
  <c r="N61" i="2"/>
  <c r="O61" i="2" s="1"/>
  <c r="M61" i="2"/>
  <c r="J62" i="2"/>
  <c r="A65" i="2"/>
  <c r="B64" i="2"/>
  <c r="D63" i="2"/>
  <c r="X63" i="2"/>
  <c r="W63" i="2"/>
  <c r="AA63" i="2"/>
  <c r="U63" i="2"/>
  <c r="D64" i="2"/>
  <c r="K62" i="2"/>
  <c r="C64" i="2"/>
  <c r="Z63" i="2"/>
  <c r="V63" i="2"/>
  <c r="AB63" i="2"/>
  <c r="Y63" i="2"/>
  <c r="E64" i="2"/>
  <c r="F64" i="2"/>
  <c r="L62" i="2" l="1"/>
  <c r="T62" i="2"/>
  <c r="I63" i="2"/>
  <c r="R63" i="2"/>
  <c r="AC62" i="2" s="1"/>
  <c r="S63" i="2"/>
  <c r="P63" i="2" s="1"/>
  <c r="H63" i="2"/>
  <c r="G64" i="2"/>
  <c r="Q62" i="2"/>
  <c r="N62" i="2"/>
  <c r="O62" i="2" s="1"/>
  <c r="M62" i="2"/>
  <c r="J63" i="2"/>
  <c r="A66" i="2"/>
  <c r="B65" i="2"/>
  <c r="AA64" i="2"/>
  <c r="D65" i="2"/>
  <c r="U64" i="2"/>
  <c r="W64" i="2"/>
  <c r="Z64" i="2"/>
  <c r="Y64" i="2"/>
  <c r="K63" i="2"/>
  <c r="AB64" i="2"/>
  <c r="V64" i="2"/>
  <c r="C65" i="2"/>
  <c r="X64" i="2"/>
  <c r="E65" i="2"/>
  <c r="F65" i="2"/>
  <c r="L63" i="2" l="1"/>
  <c r="T63" i="2"/>
  <c r="R64" i="2"/>
  <c r="AC63" i="2" s="1"/>
  <c r="I64" i="2"/>
  <c r="S64" i="2"/>
  <c r="P64" i="2" s="1"/>
  <c r="H64" i="2"/>
  <c r="G65" i="2"/>
  <c r="N63" i="2"/>
  <c r="O63" i="2" s="1"/>
  <c r="M63" i="2"/>
  <c r="Q63" i="2"/>
  <c r="J64" i="2"/>
  <c r="A67" i="2"/>
  <c r="B66" i="2"/>
  <c r="U65" i="2"/>
  <c r="C66" i="2"/>
  <c r="W65" i="2"/>
  <c r="Y65" i="2"/>
  <c r="Z65" i="2"/>
  <c r="D66" i="2"/>
  <c r="X65" i="2"/>
  <c r="AB65" i="2"/>
  <c r="K64" i="2"/>
  <c r="V65" i="2"/>
  <c r="AA65" i="2"/>
  <c r="E66" i="2"/>
  <c r="F66" i="2"/>
  <c r="L64" i="2" l="1"/>
  <c r="T64" i="2"/>
  <c r="I65" i="2"/>
  <c r="R65" i="2"/>
  <c r="AC64" i="2" s="1"/>
  <c r="S65" i="2"/>
  <c r="P65" i="2" s="1"/>
  <c r="H65" i="2"/>
  <c r="G66" i="2"/>
  <c r="M64" i="2"/>
  <c r="Q64" i="2"/>
  <c r="N64" i="2"/>
  <c r="O64" i="2" s="1"/>
  <c r="J65" i="2"/>
  <c r="A68" i="2"/>
  <c r="B67" i="2"/>
  <c r="D67" i="2"/>
  <c r="W66" i="2"/>
  <c r="K65" i="2"/>
  <c r="AA66" i="2"/>
  <c r="X66" i="2"/>
  <c r="Z66" i="2"/>
  <c r="V66" i="2"/>
  <c r="C67" i="2"/>
  <c r="AB66" i="2"/>
  <c r="U66" i="2"/>
  <c r="Y66" i="2"/>
  <c r="E67" i="2"/>
  <c r="F67" i="2"/>
  <c r="L65" i="2" l="1"/>
  <c r="T65" i="2"/>
  <c r="I66" i="2"/>
  <c r="R66" i="2"/>
  <c r="AC65" i="2" s="1"/>
  <c r="S66" i="2"/>
  <c r="P66" i="2" s="1"/>
  <c r="H66" i="2"/>
  <c r="G67" i="2"/>
  <c r="N65" i="2"/>
  <c r="O65" i="2" s="1"/>
  <c r="M65" i="2"/>
  <c r="Q65" i="2"/>
  <c r="J66" i="2"/>
  <c r="A69" i="2"/>
  <c r="B68" i="2"/>
  <c r="K66" i="2"/>
  <c r="AA67" i="2"/>
  <c r="Z67" i="2"/>
  <c r="V67" i="2"/>
  <c r="X67" i="2"/>
  <c r="W67" i="2"/>
  <c r="Y67" i="2"/>
  <c r="C68" i="2"/>
  <c r="AB67" i="2"/>
  <c r="D68" i="2"/>
  <c r="U67" i="2"/>
  <c r="E68" i="2"/>
  <c r="F68" i="2"/>
  <c r="L66" i="2" l="1"/>
  <c r="T66" i="2"/>
  <c r="I67" i="2"/>
  <c r="R67" i="2"/>
  <c r="AC66" i="2" s="1"/>
  <c r="S67" i="2"/>
  <c r="P67" i="2" s="1"/>
  <c r="H67" i="2"/>
  <c r="G68" i="2"/>
  <c r="N66" i="2"/>
  <c r="O66" i="2" s="1"/>
  <c r="M66" i="2"/>
  <c r="Q66" i="2"/>
  <c r="J67" i="2"/>
  <c r="A70" i="2"/>
  <c r="B69" i="2"/>
  <c r="D69" i="2"/>
  <c r="Z68" i="2"/>
  <c r="C69" i="2"/>
  <c r="V68" i="2"/>
  <c r="Y68" i="2"/>
  <c r="U68" i="2"/>
  <c r="W68" i="2"/>
  <c r="AA68" i="2"/>
  <c r="AB68" i="2"/>
  <c r="K67" i="2"/>
  <c r="X68" i="2"/>
  <c r="E69" i="2"/>
  <c r="F69" i="2"/>
  <c r="L67" i="2" l="1"/>
  <c r="T67" i="2"/>
  <c r="R68" i="2"/>
  <c r="AC67" i="2" s="1"/>
  <c r="I68" i="2"/>
  <c r="S68" i="2"/>
  <c r="P68" i="2" s="1"/>
  <c r="H68" i="2"/>
  <c r="G69" i="2"/>
  <c r="Q67" i="2"/>
  <c r="N67" i="2"/>
  <c r="O67" i="2" s="1"/>
  <c r="M67" i="2"/>
  <c r="J68" i="2"/>
  <c r="A71" i="2"/>
  <c r="B70" i="2"/>
  <c r="Y69" i="2"/>
  <c r="AA69" i="2"/>
  <c r="K68" i="2"/>
  <c r="Z69" i="2"/>
  <c r="V69" i="2"/>
  <c r="X69" i="2"/>
  <c r="AB69" i="2"/>
  <c r="U69" i="2"/>
  <c r="D70" i="2"/>
  <c r="C70" i="2"/>
  <c r="W69" i="2"/>
  <c r="E70" i="2"/>
  <c r="F70" i="2"/>
  <c r="L68" i="2" l="1"/>
  <c r="T68" i="2"/>
  <c r="I69" i="2"/>
  <c r="R69" i="2"/>
  <c r="AC68" i="2" s="1"/>
  <c r="S69" i="2"/>
  <c r="P69" i="2" s="1"/>
  <c r="H69" i="2"/>
  <c r="G70" i="2"/>
  <c r="Q68" i="2"/>
  <c r="N68" i="2"/>
  <c r="O68" i="2" s="1"/>
  <c r="M68" i="2"/>
  <c r="J69" i="2"/>
  <c r="A72" i="2"/>
  <c r="B71" i="2"/>
  <c r="W70" i="2"/>
  <c r="K69" i="2"/>
  <c r="U70" i="2"/>
  <c r="X70" i="2"/>
  <c r="V70" i="2"/>
  <c r="Z70" i="2"/>
  <c r="AB70" i="2"/>
  <c r="Y70" i="2"/>
  <c r="D71" i="2"/>
  <c r="AA70" i="2"/>
  <c r="C71" i="2"/>
  <c r="E71" i="2"/>
  <c r="F71" i="2"/>
  <c r="L69" i="2" l="1"/>
  <c r="T69" i="2"/>
  <c r="I70" i="2"/>
  <c r="R70" i="2"/>
  <c r="AC69" i="2" s="1"/>
  <c r="S70" i="2"/>
  <c r="P70" i="2" s="1"/>
  <c r="H70" i="2"/>
  <c r="G71" i="2"/>
  <c r="M69" i="2"/>
  <c r="Q69" i="2"/>
  <c r="N69" i="2"/>
  <c r="O69" i="2" s="1"/>
  <c r="J70" i="2"/>
  <c r="A73" i="2"/>
  <c r="B72" i="2"/>
  <c r="X71" i="2"/>
  <c r="C72" i="2"/>
  <c r="AA71" i="2"/>
  <c r="D72" i="2"/>
  <c r="W71" i="2"/>
  <c r="U71" i="2"/>
  <c r="AB71" i="2"/>
  <c r="Y71" i="2"/>
  <c r="K70" i="2"/>
  <c r="Z71" i="2"/>
  <c r="V71" i="2"/>
  <c r="E72" i="2"/>
  <c r="F72" i="2"/>
  <c r="L70" i="2" l="1"/>
  <c r="T70" i="2"/>
  <c r="I71" i="2"/>
  <c r="R71" i="2"/>
  <c r="AC70" i="2" s="1"/>
  <c r="S71" i="2"/>
  <c r="P71" i="2" s="1"/>
  <c r="H71" i="2"/>
  <c r="G72" i="2"/>
  <c r="Q70" i="2"/>
  <c r="N70" i="2"/>
  <c r="O70" i="2" s="1"/>
  <c r="M70" i="2"/>
  <c r="J71" i="2"/>
  <c r="A74" i="2"/>
  <c r="B73" i="2"/>
  <c r="X72" i="2"/>
  <c r="AB72" i="2"/>
  <c r="AA72" i="2"/>
  <c r="V72" i="2"/>
  <c r="Z72" i="2"/>
  <c r="C73" i="2"/>
  <c r="U72" i="2"/>
  <c r="Y72" i="2"/>
  <c r="K71" i="2"/>
  <c r="W72" i="2"/>
  <c r="E73" i="2"/>
  <c r="F73" i="2"/>
  <c r="L71" i="2" l="1"/>
  <c r="T71" i="2"/>
  <c r="R72" i="2"/>
  <c r="AC71" i="2" s="1"/>
  <c r="I72" i="2"/>
  <c r="S72" i="2"/>
  <c r="P72" i="2" s="1"/>
  <c r="H72" i="2"/>
  <c r="G73" i="2"/>
  <c r="M71" i="2"/>
  <c r="N71" i="2"/>
  <c r="O71" i="2" s="1"/>
  <c r="Q71" i="2"/>
  <c r="J72" i="2"/>
  <c r="A75" i="2"/>
  <c r="B74" i="2"/>
  <c r="D73" i="2"/>
  <c r="Z73" i="2"/>
  <c r="V73" i="2"/>
  <c r="K72" i="2"/>
  <c r="X73" i="2"/>
  <c r="U73" i="2"/>
  <c r="W73" i="2"/>
  <c r="Y73" i="2"/>
  <c r="C74" i="2"/>
  <c r="AB73" i="2"/>
  <c r="D74" i="2"/>
  <c r="AA73" i="2"/>
  <c r="E74" i="2"/>
  <c r="F74" i="2"/>
  <c r="L72" i="2" l="1"/>
  <c r="T72" i="2"/>
  <c r="I73" i="2"/>
  <c r="R73" i="2"/>
  <c r="AC72" i="2" s="1"/>
  <c r="S73" i="2"/>
  <c r="P73" i="2" s="1"/>
  <c r="H73" i="2"/>
  <c r="G74" i="2"/>
  <c r="N72" i="2"/>
  <c r="O72" i="2" s="1"/>
  <c r="Q72" i="2"/>
  <c r="M72" i="2"/>
  <c r="J73" i="2"/>
  <c r="A76" i="2"/>
  <c r="B75" i="2"/>
  <c r="C75" i="2"/>
  <c r="W74" i="2"/>
  <c r="Y74" i="2"/>
  <c r="AB74" i="2"/>
  <c r="K73" i="2"/>
  <c r="D75" i="2"/>
  <c r="X74" i="2"/>
  <c r="V74" i="2"/>
  <c r="Z74" i="2"/>
  <c r="AA74" i="2"/>
  <c r="U74" i="2"/>
  <c r="E75" i="2"/>
  <c r="F75" i="2"/>
  <c r="L73" i="2" l="1"/>
  <c r="T73" i="2"/>
  <c r="I74" i="2"/>
  <c r="R74" i="2"/>
  <c r="AC73" i="2" s="1"/>
  <c r="S74" i="2"/>
  <c r="P74" i="2" s="1"/>
  <c r="H74" i="2"/>
  <c r="G75" i="2"/>
  <c r="N73" i="2"/>
  <c r="O73" i="2" s="1"/>
  <c r="M73" i="2"/>
  <c r="Q73" i="2"/>
  <c r="J74" i="2"/>
  <c r="A77" i="2"/>
  <c r="B76" i="2"/>
  <c r="AA75" i="2"/>
  <c r="X75" i="2"/>
  <c r="AB75" i="2"/>
  <c r="D76" i="2"/>
  <c r="Z75" i="2"/>
  <c r="V75" i="2"/>
  <c r="C76" i="2"/>
  <c r="W75" i="2"/>
  <c r="U75" i="2"/>
  <c r="K74" i="2"/>
  <c r="Y75" i="2"/>
  <c r="E76" i="2"/>
  <c r="F76" i="2"/>
  <c r="L74" i="2" l="1"/>
  <c r="T74" i="2"/>
  <c r="I75" i="2"/>
  <c r="R75" i="2"/>
  <c r="AC74" i="2" s="1"/>
  <c r="S75" i="2"/>
  <c r="P75" i="2" s="1"/>
  <c r="H75" i="2"/>
  <c r="G76" i="2"/>
  <c r="N74" i="2"/>
  <c r="O74" i="2" s="1"/>
  <c r="M74" i="2"/>
  <c r="Q74" i="2"/>
  <c r="J75" i="2"/>
  <c r="A78" i="2"/>
  <c r="B77" i="2"/>
  <c r="W76" i="2"/>
  <c r="Y76" i="2"/>
  <c r="Z76" i="2"/>
  <c r="AA76" i="2"/>
  <c r="X76" i="2"/>
  <c r="C77" i="2"/>
  <c r="K75" i="2"/>
  <c r="AB76" i="2"/>
  <c r="V76" i="2"/>
  <c r="U76" i="2"/>
  <c r="E77" i="2"/>
  <c r="F77" i="2"/>
  <c r="L75" i="2" l="1"/>
  <c r="T75" i="2"/>
  <c r="R76" i="2"/>
  <c r="AC75" i="2" s="1"/>
  <c r="I76" i="2"/>
  <c r="S76" i="2"/>
  <c r="P76" i="2" s="1"/>
  <c r="H76" i="2"/>
  <c r="G77" i="2"/>
  <c r="Q75" i="2"/>
  <c r="M75" i="2"/>
  <c r="N75" i="2"/>
  <c r="O75" i="2" s="1"/>
  <c r="J76" i="2"/>
  <c r="A79" i="2"/>
  <c r="B78" i="2"/>
  <c r="D77" i="2"/>
  <c r="W77" i="2"/>
  <c r="AB77" i="2"/>
  <c r="K76" i="2"/>
  <c r="X77" i="2"/>
  <c r="V77" i="2"/>
  <c r="U77" i="2"/>
  <c r="C78" i="2"/>
  <c r="Z77" i="2"/>
  <c r="D78" i="2"/>
  <c r="AA77" i="2"/>
  <c r="Y77" i="2"/>
  <c r="E78" i="2"/>
  <c r="F78" i="2"/>
  <c r="L76" i="2" l="1"/>
  <c r="T76" i="2"/>
  <c r="I77" i="2"/>
  <c r="R77" i="2"/>
  <c r="AC76" i="2" s="1"/>
  <c r="S77" i="2"/>
  <c r="P77" i="2" s="1"/>
  <c r="H77" i="2"/>
  <c r="G78" i="2"/>
  <c r="M76" i="2"/>
  <c r="Q76" i="2"/>
  <c r="N76" i="2"/>
  <c r="O76" i="2" s="1"/>
  <c r="J77" i="2"/>
  <c r="A80" i="2"/>
  <c r="B79" i="2"/>
  <c r="V78" i="2"/>
  <c r="U78" i="2"/>
  <c r="K77" i="2"/>
  <c r="C79" i="2"/>
  <c r="Y78" i="2"/>
  <c r="X78" i="2"/>
  <c r="Z78" i="2"/>
  <c r="W78" i="2"/>
  <c r="AA78" i="2"/>
  <c r="D79" i="2"/>
  <c r="AB78" i="2"/>
  <c r="E79" i="2"/>
  <c r="F79" i="2"/>
  <c r="L77" i="2" l="1"/>
  <c r="T77" i="2"/>
  <c r="I78" i="2"/>
  <c r="R78" i="2"/>
  <c r="AC77" i="2" s="1"/>
  <c r="S78" i="2"/>
  <c r="P78" i="2" s="1"/>
  <c r="H78" i="2"/>
  <c r="G79" i="2"/>
  <c r="M77" i="2"/>
  <c r="Q77" i="2"/>
  <c r="N77" i="2"/>
  <c r="O77" i="2" s="1"/>
  <c r="J78" i="2"/>
  <c r="A81" i="2"/>
  <c r="B80" i="2"/>
  <c r="W79" i="2"/>
  <c r="K78" i="2"/>
  <c r="X79" i="2"/>
  <c r="D80" i="2"/>
  <c r="Y79" i="2"/>
  <c r="AA79" i="2"/>
  <c r="V79" i="2"/>
  <c r="Z79" i="2"/>
  <c r="AB79" i="2"/>
  <c r="C80" i="2"/>
  <c r="U79" i="2"/>
  <c r="E80" i="2"/>
  <c r="F80" i="2"/>
  <c r="L78" i="2" l="1"/>
  <c r="T78" i="2"/>
  <c r="I79" i="2"/>
  <c r="R79" i="2"/>
  <c r="AC78" i="2" s="1"/>
  <c r="S79" i="2"/>
  <c r="P79" i="2" s="1"/>
  <c r="H79" i="2"/>
  <c r="G80" i="2"/>
  <c r="Q78" i="2"/>
  <c r="N78" i="2"/>
  <c r="O78" i="2" s="1"/>
  <c r="M78" i="2"/>
  <c r="J79" i="2"/>
  <c r="A82" i="2"/>
  <c r="B81" i="2"/>
  <c r="AA80" i="2"/>
  <c r="W80" i="2"/>
  <c r="K79" i="2"/>
  <c r="D81" i="2"/>
  <c r="U80" i="2"/>
  <c r="V80" i="2"/>
  <c r="Z80" i="2"/>
  <c r="C81" i="2"/>
  <c r="X80" i="2"/>
  <c r="Y80" i="2"/>
  <c r="AB80" i="2"/>
  <c r="E81" i="2"/>
  <c r="F81" i="2"/>
  <c r="L79" i="2" l="1"/>
  <c r="T79" i="2"/>
  <c r="R80" i="2"/>
  <c r="AC79" i="2" s="1"/>
  <c r="I80" i="2"/>
  <c r="S80" i="2"/>
  <c r="P80" i="2" s="1"/>
  <c r="H80" i="2"/>
  <c r="G81" i="2"/>
  <c r="N79" i="2"/>
  <c r="O79" i="2" s="1"/>
  <c r="M79" i="2"/>
  <c r="Q79" i="2"/>
  <c r="J80" i="2"/>
  <c r="A83" i="2"/>
  <c r="B82" i="2"/>
  <c r="AA81" i="2"/>
  <c r="C82" i="2"/>
  <c r="K80" i="2"/>
  <c r="Y81" i="2"/>
  <c r="X81" i="2"/>
  <c r="V81" i="2"/>
  <c r="Z81" i="2"/>
  <c r="U81" i="2"/>
  <c r="D82" i="2"/>
  <c r="W81" i="2"/>
  <c r="AB81" i="2"/>
  <c r="E82" i="2"/>
  <c r="F82" i="2"/>
  <c r="L80" i="2" l="1"/>
  <c r="T80" i="2"/>
  <c r="I81" i="2"/>
  <c r="R81" i="2"/>
  <c r="AC80" i="2" s="1"/>
  <c r="S81" i="2"/>
  <c r="P81" i="2" s="1"/>
  <c r="H81" i="2"/>
  <c r="G82" i="2"/>
  <c r="M80" i="2"/>
  <c r="Q80" i="2"/>
  <c r="N80" i="2"/>
  <c r="O80" i="2" s="1"/>
  <c r="J81" i="2"/>
  <c r="A84" i="2"/>
  <c r="B83" i="2"/>
  <c r="X82" i="2"/>
  <c r="K81" i="2"/>
  <c r="C83" i="2"/>
  <c r="AA82" i="2"/>
  <c r="AB82" i="2"/>
  <c r="Z82" i="2"/>
  <c r="D83" i="2"/>
  <c r="Y82" i="2"/>
  <c r="W82" i="2"/>
  <c r="U82" i="2"/>
  <c r="V82" i="2"/>
  <c r="E83" i="2"/>
  <c r="F83" i="2"/>
  <c r="L81" i="2" l="1"/>
  <c r="T81" i="2"/>
  <c r="I82" i="2"/>
  <c r="R82" i="2"/>
  <c r="AC81" i="2" s="1"/>
  <c r="S82" i="2"/>
  <c r="P82" i="2" s="1"/>
  <c r="H82" i="2"/>
  <c r="G83" i="2"/>
  <c r="N81" i="2"/>
  <c r="O81" i="2" s="1"/>
  <c r="M81" i="2"/>
  <c r="Q81" i="2"/>
  <c r="J82" i="2"/>
  <c r="A85" i="2"/>
  <c r="B84" i="2"/>
  <c r="V83" i="2"/>
  <c r="X83" i="2"/>
  <c r="Z83" i="2"/>
  <c r="U83" i="2"/>
  <c r="D84" i="2"/>
  <c r="Y83" i="2"/>
  <c r="C84" i="2"/>
  <c r="AB83" i="2"/>
  <c r="K82" i="2"/>
  <c r="AA83" i="2"/>
  <c r="W83" i="2"/>
  <c r="E84" i="2"/>
  <c r="F84" i="2"/>
  <c r="L82" i="2" l="1"/>
  <c r="T82" i="2"/>
  <c r="I83" i="2"/>
  <c r="R83" i="2"/>
  <c r="AC82" i="2" s="1"/>
  <c r="S83" i="2"/>
  <c r="P83" i="2" s="1"/>
  <c r="H83" i="2"/>
  <c r="G84" i="2"/>
  <c r="N82" i="2"/>
  <c r="O82" i="2" s="1"/>
  <c r="M82" i="2"/>
  <c r="Q82" i="2"/>
  <c r="J83" i="2"/>
  <c r="A86" i="2"/>
  <c r="B85" i="2"/>
  <c r="Y84" i="2"/>
  <c r="U84" i="2"/>
  <c r="D85" i="2"/>
  <c r="C85" i="2"/>
  <c r="Z84" i="2"/>
  <c r="AA84" i="2"/>
  <c r="W84" i="2"/>
  <c r="AB84" i="2"/>
  <c r="X84" i="2"/>
  <c r="K83" i="2"/>
  <c r="V84" i="2"/>
  <c r="E85" i="2"/>
  <c r="F85" i="2"/>
  <c r="L83" i="2" l="1"/>
  <c r="T83" i="2"/>
  <c r="R84" i="2"/>
  <c r="AC83" i="2" s="1"/>
  <c r="I84" i="2"/>
  <c r="S84" i="2"/>
  <c r="P84" i="2" s="1"/>
  <c r="H84" i="2"/>
  <c r="G85" i="2"/>
  <c r="Q83" i="2"/>
  <c r="N83" i="2"/>
  <c r="O83" i="2" s="1"/>
  <c r="M83" i="2"/>
  <c r="J84" i="2"/>
  <c r="A87" i="2"/>
  <c r="B86" i="2"/>
  <c r="C86" i="2"/>
  <c r="U85" i="2"/>
  <c r="K84" i="2"/>
  <c r="AB85" i="2"/>
  <c r="Y85" i="2"/>
  <c r="AA85" i="2"/>
  <c r="W85" i="2"/>
  <c r="X85" i="2"/>
  <c r="D86" i="2"/>
  <c r="Z85" i="2"/>
  <c r="V85" i="2"/>
  <c r="E86" i="2"/>
  <c r="F86" i="2"/>
  <c r="L84" i="2" l="1"/>
  <c r="T84" i="2"/>
  <c r="I85" i="2"/>
  <c r="R85" i="2"/>
  <c r="AC84" i="2" s="1"/>
  <c r="S85" i="2"/>
  <c r="P85" i="2" s="1"/>
  <c r="H85" i="2"/>
  <c r="G86" i="2"/>
  <c r="Q84" i="2"/>
  <c r="N84" i="2"/>
  <c r="O84" i="2" s="1"/>
  <c r="M84" i="2"/>
  <c r="J85" i="2"/>
  <c r="A88" i="2"/>
  <c r="B87" i="2"/>
  <c r="W86" i="2"/>
  <c r="AA86" i="2"/>
  <c r="K85" i="2"/>
  <c r="U86" i="2"/>
  <c r="V86" i="2"/>
  <c r="D87" i="2"/>
  <c r="X86" i="2"/>
  <c r="AB86" i="2"/>
  <c r="C87" i="2"/>
  <c r="Z86" i="2"/>
  <c r="Y86" i="2"/>
  <c r="E87" i="2"/>
  <c r="F87" i="2"/>
  <c r="L85" i="2" l="1"/>
  <c r="T85" i="2"/>
  <c r="I86" i="2"/>
  <c r="R86" i="2"/>
  <c r="AC85" i="2" s="1"/>
  <c r="S86" i="2"/>
  <c r="P86" i="2" s="1"/>
  <c r="H86" i="2"/>
  <c r="G87" i="2"/>
  <c r="M85" i="2"/>
  <c r="Q85" i="2"/>
  <c r="N85" i="2"/>
  <c r="O85" i="2" s="1"/>
  <c r="J86" i="2"/>
  <c r="A89" i="2"/>
  <c r="B88" i="2"/>
  <c r="C88" i="2"/>
  <c r="Z87" i="2"/>
  <c r="X87" i="2"/>
  <c r="Y87" i="2"/>
  <c r="D88" i="2"/>
  <c r="AB87" i="2"/>
  <c r="V87" i="2"/>
  <c r="U87" i="2"/>
  <c r="K86" i="2"/>
  <c r="AA87" i="2"/>
  <c r="W87" i="2"/>
  <c r="E88" i="2"/>
  <c r="F88" i="2"/>
  <c r="L86" i="2" l="1"/>
  <c r="T86" i="2"/>
  <c r="I87" i="2"/>
  <c r="R87" i="2"/>
  <c r="AC86" i="2" s="1"/>
  <c r="S87" i="2"/>
  <c r="P87" i="2" s="1"/>
  <c r="H87" i="2"/>
  <c r="G88" i="2"/>
  <c r="Q86" i="2"/>
  <c r="N86" i="2"/>
  <c r="O86" i="2" s="1"/>
  <c r="M86" i="2"/>
  <c r="J87" i="2"/>
  <c r="A90" i="2"/>
  <c r="B89" i="2"/>
  <c r="Z88" i="2"/>
  <c r="AB88" i="2"/>
  <c r="U88" i="2"/>
  <c r="D89" i="2"/>
  <c r="AA88" i="2"/>
  <c r="C89" i="2"/>
  <c r="Y88" i="2"/>
  <c r="K87" i="2"/>
  <c r="V88" i="2"/>
  <c r="W88" i="2"/>
  <c r="X88" i="2"/>
  <c r="E89" i="2"/>
  <c r="F89" i="2"/>
  <c r="L87" i="2" l="1"/>
  <c r="T87" i="2"/>
  <c r="R88" i="2"/>
  <c r="AC87" i="2" s="1"/>
  <c r="I88" i="2"/>
  <c r="S88" i="2"/>
  <c r="P88" i="2" s="1"/>
  <c r="H88" i="2"/>
  <c r="G89" i="2"/>
  <c r="M87" i="2"/>
  <c r="N87" i="2"/>
  <c r="O87" i="2" s="1"/>
  <c r="Q87" i="2"/>
  <c r="J88" i="2"/>
  <c r="A91" i="2"/>
  <c r="B90" i="2"/>
  <c r="AB89" i="2"/>
  <c r="AA89" i="2"/>
  <c r="K88" i="2"/>
  <c r="W89" i="2"/>
  <c r="Y89" i="2"/>
  <c r="U89" i="2"/>
  <c r="V89" i="2"/>
  <c r="D90" i="2"/>
  <c r="X89" i="2"/>
  <c r="Z89" i="2"/>
  <c r="C90" i="2"/>
  <c r="E90" i="2"/>
  <c r="F90" i="2"/>
  <c r="L88" i="2" l="1"/>
  <c r="T88" i="2"/>
  <c r="I89" i="2"/>
  <c r="R89" i="2"/>
  <c r="AC88" i="2" s="1"/>
  <c r="S89" i="2"/>
  <c r="P89" i="2" s="1"/>
  <c r="H89" i="2"/>
  <c r="G90" i="2"/>
  <c r="N88" i="2"/>
  <c r="O88" i="2" s="1"/>
  <c r="M88" i="2"/>
  <c r="Q88" i="2"/>
  <c r="J89" i="2"/>
  <c r="A92" i="2"/>
  <c r="B91" i="2"/>
  <c r="Y90" i="2"/>
  <c r="K89" i="2"/>
  <c r="W90" i="2"/>
  <c r="C91" i="2"/>
  <c r="AA90" i="2"/>
  <c r="V90" i="2"/>
  <c r="Z90" i="2"/>
  <c r="U90" i="2"/>
  <c r="X90" i="2"/>
  <c r="D91" i="2"/>
  <c r="AB90" i="2"/>
  <c r="E91" i="2"/>
  <c r="F91" i="2"/>
  <c r="L89" i="2" l="1"/>
  <c r="T89" i="2"/>
  <c r="I90" i="2"/>
  <c r="R90" i="2"/>
  <c r="AC89" i="2" s="1"/>
  <c r="S90" i="2"/>
  <c r="P90" i="2" s="1"/>
  <c r="H90" i="2"/>
  <c r="G91" i="2"/>
  <c r="N89" i="2"/>
  <c r="O89" i="2" s="1"/>
  <c r="M89" i="2"/>
  <c r="Q89" i="2"/>
  <c r="J90" i="2"/>
  <c r="A93" i="2"/>
  <c r="B92" i="2"/>
  <c r="D92" i="2"/>
  <c r="K90" i="2"/>
  <c r="Y91" i="2"/>
  <c r="AB91" i="2"/>
  <c r="V91" i="2"/>
  <c r="AA91" i="2"/>
  <c r="Z91" i="2"/>
  <c r="U91" i="2"/>
  <c r="X91" i="2"/>
  <c r="C92" i="2"/>
  <c r="W91" i="2"/>
  <c r="E92" i="2"/>
  <c r="F92" i="2"/>
  <c r="L90" i="2" l="1"/>
  <c r="T90" i="2"/>
  <c r="I91" i="2"/>
  <c r="R91" i="2"/>
  <c r="AC90" i="2" s="1"/>
  <c r="S91" i="2"/>
  <c r="P91" i="2" s="1"/>
  <c r="H91" i="2"/>
  <c r="G92" i="2"/>
  <c r="N90" i="2"/>
  <c r="O90" i="2" s="1"/>
  <c r="M90" i="2"/>
  <c r="Q90" i="2"/>
  <c r="J91" i="2"/>
  <c r="A94" i="2"/>
  <c r="B93" i="2"/>
  <c r="Y92" i="2"/>
  <c r="W92" i="2"/>
  <c r="V92" i="2"/>
  <c r="U92" i="2"/>
  <c r="D93" i="2"/>
  <c r="AA92" i="2"/>
  <c r="X92" i="2"/>
  <c r="C93" i="2"/>
  <c r="Z92" i="2"/>
  <c r="AB92" i="2"/>
  <c r="K91" i="2"/>
  <c r="E93" i="2"/>
  <c r="F93" i="2"/>
  <c r="L91" i="2" l="1"/>
  <c r="T91" i="2"/>
  <c r="R92" i="2"/>
  <c r="AC91" i="2" s="1"/>
  <c r="I92" i="2"/>
  <c r="S92" i="2"/>
  <c r="P92" i="2" s="1"/>
  <c r="H92" i="2"/>
  <c r="G93" i="2"/>
  <c r="Q91" i="2"/>
  <c r="M91" i="2"/>
  <c r="N91" i="2"/>
  <c r="O91" i="2" s="1"/>
  <c r="J92" i="2"/>
  <c r="A95" i="2"/>
  <c r="B94" i="2"/>
  <c r="C94" i="2"/>
  <c r="Y93" i="2"/>
  <c r="K92" i="2"/>
  <c r="AB93" i="2"/>
  <c r="X93" i="2"/>
  <c r="AA93" i="2"/>
  <c r="U93" i="2"/>
  <c r="D94" i="2"/>
  <c r="V93" i="2"/>
  <c r="W93" i="2"/>
  <c r="Z93" i="2"/>
  <c r="E94" i="2"/>
  <c r="F94" i="2"/>
  <c r="L92" i="2" l="1"/>
  <c r="T92" i="2"/>
  <c r="I93" i="2"/>
  <c r="R93" i="2"/>
  <c r="AC92" i="2" s="1"/>
  <c r="S93" i="2"/>
  <c r="P93" i="2" s="1"/>
  <c r="H93" i="2"/>
  <c r="G94" i="2"/>
  <c r="M92" i="2"/>
  <c r="N92" i="2"/>
  <c r="O92" i="2" s="1"/>
  <c r="Q92" i="2"/>
  <c r="J93" i="2"/>
  <c r="A96" i="2"/>
  <c r="B95" i="2"/>
  <c r="Z94" i="2"/>
  <c r="Y94" i="2"/>
  <c r="D95" i="2"/>
  <c r="AA94" i="2"/>
  <c r="W94" i="2"/>
  <c r="V94" i="2"/>
  <c r="U94" i="2"/>
  <c r="AB94" i="2"/>
  <c r="C95" i="2"/>
  <c r="X94" i="2"/>
  <c r="K93" i="2"/>
  <c r="E95" i="2"/>
  <c r="F95" i="2"/>
  <c r="L93" i="2" l="1"/>
  <c r="T93" i="2"/>
  <c r="I94" i="2"/>
  <c r="R94" i="2"/>
  <c r="AC93" i="2" s="1"/>
  <c r="S94" i="2"/>
  <c r="P94" i="2" s="1"/>
  <c r="H94" i="2"/>
  <c r="G95" i="2"/>
  <c r="Q93" i="2"/>
  <c r="N93" i="2"/>
  <c r="O93" i="2" s="1"/>
  <c r="M93" i="2"/>
  <c r="J94" i="2"/>
  <c r="A97" i="2"/>
  <c r="B96" i="2"/>
  <c r="C96" i="2"/>
  <c r="Z95" i="2"/>
  <c r="D96" i="2"/>
  <c r="AA95" i="2"/>
  <c r="Y95" i="2"/>
  <c r="V95" i="2"/>
  <c r="W95" i="2"/>
  <c r="K94" i="2"/>
  <c r="AB95" i="2"/>
  <c r="U95" i="2"/>
  <c r="X95" i="2"/>
  <c r="E96" i="2"/>
  <c r="F96" i="2"/>
  <c r="L94" i="2" l="1"/>
  <c r="T94" i="2"/>
  <c r="I95" i="2"/>
  <c r="R95" i="2"/>
  <c r="AC94" i="2" s="1"/>
  <c r="S95" i="2"/>
  <c r="P95" i="2" s="1"/>
  <c r="H95" i="2"/>
  <c r="G96" i="2"/>
  <c r="Q94" i="2"/>
  <c r="N94" i="2"/>
  <c r="O94" i="2" s="1"/>
  <c r="M94" i="2"/>
  <c r="J95" i="2"/>
  <c r="A98" i="2"/>
  <c r="B97" i="2"/>
  <c r="D97" i="2"/>
  <c r="K95" i="2"/>
  <c r="AA96" i="2"/>
  <c r="U96" i="2"/>
  <c r="AB96" i="2"/>
  <c r="W96" i="2"/>
  <c r="X96" i="2"/>
  <c r="C97" i="2"/>
  <c r="Z96" i="2"/>
  <c r="V96" i="2"/>
  <c r="Y96" i="2"/>
  <c r="E97" i="2"/>
  <c r="F97" i="2"/>
  <c r="L95" i="2" l="1"/>
  <c r="T95" i="2"/>
  <c r="R96" i="2"/>
  <c r="AC95" i="2" s="1"/>
  <c r="I96" i="2"/>
  <c r="S96" i="2"/>
  <c r="P96" i="2" s="1"/>
  <c r="H96" i="2"/>
  <c r="G97" i="2"/>
  <c r="N95" i="2"/>
  <c r="O95" i="2" s="1"/>
  <c r="M95" i="2"/>
  <c r="Q95" i="2"/>
  <c r="J96" i="2"/>
  <c r="A99" i="2"/>
  <c r="B98" i="2"/>
  <c r="D98" i="2"/>
  <c r="W97" i="2"/>
  <c r="K96" i="2"/>
  <c r="AA97" i="2"/>
  <c r="Z97" i="2"/>
  <c r="C98" i="2"/>
  <c r="X97" i="2"/>
  <c r="AB97" i="2"/>
  <c r="Y97" i="2"/>
  <c r="V97" i="2"/>
  <c r="U97" i="2"/>
  <c r="E98" i="2"/>
  <c r="F98" i="2"/>
  <c r="L96" i="2" l="1"/>
  <c r="T96" i="2"/>
  <c r="I97" i="2"/>
  <c r="R97" i="2"/>
  <c r="AC96" i="2" s="1"/>
  <c r="S97" i="2"/>
  <c r="P97" i="2" s="1"/>
  <c r="H97" i="2"/>
  <c r="G98" i="2"/>
  <c r="M96" i="2"/>
  <c r="Q96" i="2"/>
  <c r="N96" i="2"/>
  <c r="O96" i="2" s="1"/>
  <c r="J97" i="2"/>
  <c r="A100" i="2"/>
  <c r="B99" i="2"/>
  <c r="AA98" i="2"/>
  <c r="U98" i="2"/>
  <c r="Z98" i="2"/>
  <c r="D99" i="2"/>
  <c r="W98" i="2"/>
  <c r="Y98" i="2"/>
  <c r="AB98" i="2"/>
  <c r="C99" i="2"/>
  <c r="K97" i="2"/>
  <c r="X98" i="2"/>
  <c r="V98" i="2"/>
  <c r="E99" i="2"/>
  <c r="F99" i="2"/>
  <c r="L97" i="2" l="1"/>
  <c r="T97" i="2"/>
  <c r="I98" i="2"/>
  <c r="R98" i="2"/>
  <c r="AC97" i="2" s="1"/>
  <c r="S98" i="2"/>
  <c r="P98" i="2" s="1"/>
  <c r="H98" i="2"/>
  <c r="G99" i="2"/>
  <c r="Q97" i="2"/>
  <c r="N97" i="2"/>
  <c r="O97" i="2" s="1"/>
  <c r="M97" i="2"/>
  <c r="J98" i="2"/>
  <c r="A101" i="2"/>
  <c r="B100" i="2"/>
  <c r="C100" i="2"/>
  <c r="X99" i="2"/>
  <c r="AB99" i="2"/>
  <c r="Y99" i="2"/>
  <c r="K98" i="2"/>
  <c r="Z99" i="2"/>
  <c r="D100" i="2"/>
  <c r="W99" i="2"/>
  <c r="U99" i="2"/>
  <c r="AA99" i="2"/>
  <c r="V99" i="2"/>
  <c r="E100" i="2"/>
  <c r="F100" i="2"/>
  <c r="L98" i="2" l="1"/>
  <c r="T98" i="2"/>
  <c r="I99" i="2"/>
  <c r="R99" i="2"/>
  <c r="AC98" i="2" s="1"/>
  <c r="S99" i="2"/>
  <c r="P99" i="2" s="1"/>
  <c r="H99" i="2"/>
  <c r="G100" i="2"/>
  <c r="N98" i="2"/>
  <c r="O98" i="2" s="1"/>
  <c r="M98" i="2"/>
  <c r="Q98" i="2"/>
  <c r="J99" i="2"/>
  <c r="A102" i="2"/>
  <c r="B101" i="2"/>
  <c r="Y100" i="2"/>
  <c r="Z100" i="2"/>
  <c r="K99" i="2"/>
  <c r="AA100" i="2"/>
  <c r="V100" i="2"/>
  <c r="X100" i="2"/>
  <c r="C101" i="2"/>
  <c r="W100" i="2"/>
  <c r="U100" i="2"/>
  <c r="AB100" i="2"/>
  <c r="E101" i="2"/>
  <c r="F101" i="2"/>
  <c r="L99" i="2" l="1"/>
  <c r="T99" i="2"/>
  <c r="R100" i="2"/>
  <c r="AC99" i="2" s="1"/>
  <c r="I100" i="2"/>
  <c r="S100" i="2"/>
  <c r="P100" i="2" s="1"/>
  <c r="H100" i="2"/>
  <c r="G101" i="2"/>
  <c r="Q99" i="2"/>
  <c r="N99" i="2"/>
  <c r="O99" i="2" s="1"/>
  <c r="M99" i="2"/>
  <c r="J100" i="2"/>
  <c r="A103" i="2"/>
  <c r="B102" i="2"/>
  <c r="D101" i="2"/>
  <c r="AB101" i="2"/>
  <c r="C102" i="2"/>
  <c r="K100" i="2"/>
  <c r="AA101" i="2"/>
  <c r="V101" i="2"/>
  <c r="Z101" i="2"/>
  <c r="Y101" i="2"/>
  <c r="D102" i="2"/>
  <c r="W101" i="2"/>
  <c r="U101" i="2"/>
  <c r="X101" i="2"/>
  <c r="E102" i="2"/>
  <c r="F102" i="2"/>
  <c r="L100" i="2" l="1"/>
  <c r="T100" i="2"/>
  <c r="I101" i="2"/>
  <c r="R101" i="2"/>
  <c r="AC100" i="2" s="1"/>
  <c r="S101" i="2"/>
  <c r="P101" i="2" s="1"/>
  <c r="H101" i="2"/>
  <c r="G102" i="2"/>
  <c r="Q100" i="2"/>
  <c r="N100" i="2"/>
  <c r="O100" i="2" s="1"/>
  <c r="M100" i="2"/>
  <c r="J101" i="2"/>
  <c r="A104" i="2"/>
  <c r="B103" i="2"/>
  <c r="K101" i="2"/>
  <c r="C103" i="2"/>
  <c r="AB102" i="2"/>
  <c r="W102" i="2"/>
  <c r="U102" i="2"/>
  <c r="Y102" i="2"/>
  <c r="D103" i="2"/>
  <c r="X102" i="2"/>
  <c r="Z102" i="2"/>
  <c r="V102" i="2"/>
  <c r="AA102" i="2"/>
  <c r="E103" i="2"/>
  <c r="F103" i="2"/>
  <c r="L101" i="2" l="1"/>
  <c r="T101" i="2"/>
  <c r="I102" i="2"/>
  <c r="R102" i="2"/>
  <c r="AC101" i="2" s="1"/>
  <c r="S102" i="2"/>
  <c r="P102" i="2" s="1"/>
  <c r="H102" i="2"/>
  <c r="G103" i="2"/>
  <c r="Q101" i="2"/>
  <c r="N101" i="2"/>
  <c r="O101" i="2" s="1"/>
  <c r="M101" i="2"/>
  <c r="J102" i="2"/>
  <c r="A105" i="2"/>
  <c r="B104" i="2"/>
  <c r="Y103" i="2"/>
  <c r="V103" i="2"/>
  <c r="Z103" i="2"/>
  <c r="X103" i="2"/>
  <c r="AA103" i="2"/>
  <c r="U103" i="2"/>
  <c r="D104" i="2"/>
  <c r="K102" i="2"/>
  <c r="W103" i="2"/>
  <c r="AB103" i="2"/>
  <c r="C104" i="2"/>
  <c r="E104" i="2"/>
  <c r="F104" i="2"/>
  <c r="L102" i="2" l="1"/>
  <c r="T102" i="2"/>
  <c r="I103" i="2"/>
  <c r="R103" i="2"/>
  <c r="AC102" i="2" s="1"/>
  <c r="S103" i="2"/>
  <c r="P103" i="2" s="1"/>
  <c r="H103" i="2"/>
  <c r="G104" i="2"/>
  <c r="Q102" i="2"/>
  <c r="N102" i="2"/>
  <c r="O102" i="2" s="1"/>
  <c r="M102" i="2"/>
  <c r="J103" i="2"/>
  <c r="A106" i="2"/>
  <c r="B105" i="2"/>
  <c r="W104" i="2"/>
  <c r="U104" i="2"/>
  <c r="D105" i="2"/>
  <c r="K103" i="2"/>
  <c r="V104" i="2"/>
  <c r="AB104" i="2"/>
  <c r="X104" i="2"/>
  <c r="C105" i="2"/>
  <c r="AA104" i="2"/>
  <c r="Z104" i="2"/>
  <c r="Y104" i="2"/>
  <c r="E105" i="2"/>
  <c r="F105" i="2"/>
  <c r="L103" i="2" l="1"/>
  <c r="T103" i="2"/>
  <c r="R104" i="2"/>
  <c r="AC103" i="2" s="1"/>
  <c r="I104" i="2"/>
  <c r="S104" i="2"/>
  <c r="P104" i="2" s="1"/>
  <c r="H104" i="2"/>
  <c r="G105" i="2"/>
  <c r="M103" i="2"/>
  <c r="N103" i="2"/>
  <c r="O103" i="2" s="1"/>
  <c r="Q103" i="2"/>
  <c r="J104" i="2"/>
  <c r="A107" i="2"/>
  <c r="B106" i="2"/>
  <c r="D106" i="2"/>
  <c r="Y105" i="2"/>
  <c r="K104" i="2"/>
  <c r="AB105" i="2"/>
  <c r="Z105" i="2"/>
  <c r="C106" i="2"/>
  <c r="V105" i="2"/>
  <c r="X105" i="2"/>
  <c r="AA105" i="2"/>
  <c r="W105" i="2"/>
  <c r="U105" i="2"/>
  <c r="E106" i="2"/>
  <c r="F106" i="2"/>
  <c r="L104" i="2" l="1"/>
  <c r="T104" i="2"/>
  <c r="I105" i="2"/>
  <c r="R105" i="2"/>
  <c r="AC104" i="2" s="1"/>
  <c r="S105" i="2"/>
  <c r="P105" i="2" s="1"/>
  <c r="H105" i="2"/>
  <c r="G106" i="2"/>
  <c r="N104" i="2"/>
  <c r="O104" i="2" s="1"/>
  <c r="Q104" i="2"/>
  <c r="M104" i="2"/>
  <c r="J105" i="2"/>
  <c r="A108" i="2"/>
  <c r="B107" i="2"/>
  <c r="C107" i="2"/>
  <c r="U106" i="2"/>
  <c r="K105" i="2"/>
  <c r="W106" i="2"/>
  <c r="AA106" i="2"/>
  <c r="Y106" i="2"/>
  <c r="X106" i="2"/>
  <c r="AB106" i="2"/>
  <c r="Z106" i="2"/>
  <c r="V106" i="2"/>
  <c r="E107" i="2"/>
  <c r="F107" i="2"/>
  <c r="L105" i="2" l="1"/>
  <c r="T105" i="2"/>
  <c r="I106" i="2"/>
  <c r="R106" i="2"/>
  <c r="AC105" i="2" s="1"/>
  <c r="S106" i="2"/>
  <c r="P106" i="2" s="1"/>
  <c r="H106" i="2"/>
  <c r="G107" i="2"/>
  <c r="Q105" i="2"/>
  <c r="N105" i="2"/>
  <c r="O105" i="2" s="1"/>
  <c r="M105" i="2"/>
  <c r="J106" i="2"/>
  <c r="A109" i="2"/>
  <c r="B108" i="2"/>
  <c r="D107" i="2"/>
  <c r="W107" i="2"/>
  <c r="X107" i="2"/>
  <c r="U107" i="2"/>
  <c r="Y107" i="2"/>
  <c r="C108" i="2"/>
  <c r="AB107" i="2"/>
  <c r="V107" i="2"/>
  <c r="Z107" i="2"/>
  <c r="AA107" i="2"/>
  <c r="K106" i="2"/>
  <c r="E108" i="2"/>
  <c r="F108" i="2"/>
  <c r="L106" i="2" l="1"/>
  <c r="T106" i="2"/>
  <c r="I107" i="2"/>
  <c r="R107" i="2"/>
  <c r="AC106" i="2" s="1"/>
  <c r="S107" i="2"/>
  <c r="P107" i="2" s="1"/>
  <c r="H107" i="2"/>
  <c r="G108" i="2"/>
  <c r="N106" i="2"/>
  <c r="O106" i="2" s="1"/>
  <c r="M106" i="2"/>
  <c r="Q106" i="2"/>
  <c r="J107" i="2"/>
  <c r="A110" i="2"/>
  <c r="B109" i="2"/>
  <c r="D108" i="2"/>
  <c r="Z108" i="2"/>
  <c r="U108" i="2"/>
  <c r="X108" i="2"/>
  <c r="C109" i="2"/>
  <c r="Y108" i="2"/>
  <c r="W108" i="2"/>
  <c r="V108" i="2"/>
  <c r="D109" i="2"/>
  <c r="K107" i="2"/>
  <c r="AB108" i="2"/>
  <c r="AA108" i="2"/>
  <c r="E109" i="2"/>
  <c r="F109" i="2"/>
  <c r="L107" i="2" l="1"/>
  <c r="T107" i="2"/>
  <c r="R108" i="2"/>
  <c r="AC107" i="2" s="1"/>
  <c r="I108" i="2"/>
  <c r="S108" i="2"/>
  <c r="P108" i="2" s="1"/>
  <c r="H108" i="2"/>
  <c r="G109" i="2"/>
  <c r="Q107" i="2"/>
  <c r="M107" i="2"/>
  <c r="N107" i="2"/>
  <c r="O107" i="2" s="1"/>
  <c r="J108" i="2"/>
  <c r="A111" i="2"/>
  <c r="B110" i="2"/>
  <c r="Z109" i="2"/>
  <c r="X109" i="2"/>
  <c r="K108" i="2"/>
  <c r="D110" i="2"/>
  <c r="Y109" i="2"/>
  <c r="AA109" i="2"/>
  <c r="V109" i="2"/>
  <c r="U109" i="2"/>
  <c r="AB109" i="2"/>
  <c r="W109" i="2"/>
  <c r="C110" i="2"/>
  <c r="E110" i="2"/>
  <c r="F110" i="2"/>
  <c r="L108" i="2" l="1"/>
  <c r="T108" i="2"/>
  <c r="I109" i="2"/>
  <c r="R109" i="2"/>
  <c r="AC108" i="2" s="1"/>
  <c r="S109" i="2"/>
  <c r="P109" i="2" s="1"/>
  <c r="H109" i="2"/>
  <c r="G110" i="2"/>
  <c r="M108" i="2"/>
  <c r="Q108" i="2"/>
  <c r="N108" i="2"/>
  <c r="O108" i="2" s="1"/>
  <c r="J109" i="2"/>
  <c r="A112" i="2"/>
  <c r="B111" i="2"/>
  <c r="D111" i="2"/>
  <c r="Z110" i="2"/>
  <c r="U110" i="2"/>
  <c r="AA110" i="2"/>
  <c r="K109" i="2"/>
  <c r="W110" i="2"/>
  <c r="V110" i="2"/>
  <c r="AB110" i="2"/>
  <c r="X110" i="2"/>
  <c r="Y110" i="2"/>
  <c r="C111" i="2"/>
  <c r="E111" i="2"/>
  <c r="F111" i="2"/>
  <c r="L109" i="2" l="1"/>
  <c r="T109" i="2"/>
  <c r="I110" i="2"/>
  <c r="R110" i="2"/>
  <c r="AC109" i="2" s="1"/>
  <c r="S110" i="2"/>
  <c r="P110" i="2" s="1"/>
  <c r="H110" i="2"/>
  <c r="G111" i="2"/>
  <c r="Q109" i="2"/>
  <c r="N109" i="2"/>
  <c r="O109" i="2" s="1"/>
  <c r="M109" i="2"/>
  <c r="J110" i="2"/>
  <c r="A113" i="2"/>
  <c r="B112" i="2"/>
  <c r="W111" i="2"/>
  <c r="K110" i="2"/>
  <c r="U111" i="2"/>
  <c r="Y111" i="2"/>
  <c r="AA111" i="2"/>
  <c r="D112" i="2"/>
  <c r="C112" i="2"/>
  <c r="AB111" i="2"/>
  <c r="V111" i="2"/>
  <c r="Z111" i="2"/>
  <c r="X111" i="2"/>
  <c r="E112" i="2"/>
  <c r="F112" i="2"/>
  <c r="L110" i="2" l="1"/>
  <c r="T110" i="2"/>
  <c r="I111" i="2"/>
  <c r="R111" i="2"/>
  <c r="AC110" i="2" s="1"/>
  <c r="S111" i="2"/>
  <c r="P111" i="2" s="1"/>
  <c r="H111" i="2"/>
  <c r="G112" i="2"/>
  <c r="Q110" i="2"/>
  <c r="N110" i="2"/>
  <c r="O110" i="2" s="1"/>
  <c r="M110" i="2"/>
  <c r="J111" i="2"/>
  <c r="A114" i="2"/>
  <c r="B113" i="2"/>
  <c r="Z112" i="2"/>
  <c r="K111" i="2"/>
  <c r="Y112" i="2"/>
  <c r="V112" i="2"/>
  <c r="AB112" i="2"/>
  <c r="D113" i="2"/>
  <c r="W112" i="2"/>
  <c r="C113" i="2"/>
  <c r="AA112" i="2"/>
  <c r="X112" i="2"/>
  <c r="U112" i="2"/>
  <c r="E113" i="2"/>
  <c r="F113" i="2"/>
  <c r="L111" i="2" l="1"/>
  <c r="T111" i="2"/>
  <c r="R112" i="2"/>
  <c r="AC111" i="2" s="1"/>
  <c r="I112" i="2"/>
  <c r="S112" i="2"/>
  <c r="P112" i="2" s="1"/>
  <c r="H112" i="2"/>
  <c r="G113" i="2"/>
  <c r="N111" i="2"/>
  <c r="O111" i="2" s="1"/>
  <c r="M111" i="2"/>
  <c r="Q111" i="2"/>
  <c r="J112" i="2"/>
  <c r="A115" i="2"/>
  <c r="B114" i="2"/>
  <c r="AA113" i="2"/>
  <c r="W113" i="2"/>
  <c r="K112" i="2"/>
  <c r="C114" i="2"/>
  <c r="AB113" i="2"/>
  <c r="Y113" i="2"/>
  <c r="U113" i="2"/>
  <c r="Z113" i="2"/>
  <c r="X113" i="2"/>
  <c r="V113" i="2"/>
  <c r="E114" i="2"/>
  <c r="F114" i="2"/>
  <c r="L112" i="2" l="1"/>
  <c r="T112" i="2"/>
  <c r="I113" i="2"/>
  <c r="R113" i="2"/>
  <c r="AC112" i="2" s="1"/>
  <c r="S113" i="2"/>
  <c r="P113" i="2" s="1"/>
  <c r="H113" i="2"/>
  <c r="G114" i="2"/>
  <c r="M112" i="2"/>
  <c r="Q112" i="2"/>
  <c r="N112" i="2"/>
  <c r="O112" i="2" s="1"/>
  <c r="J113" i="2"/>
  <c r="A116" i="2"/>
  <c r="B115" i="2"/>
  <c r="D114" i="2"/>
  <c r="U114" i="2"/>
  <c r="K113" i="2"/>
  <c r="AA114" i="2"/>
  <c r="V114" i="2"/>
  <c r="C115" i="2"/>
  <c r="X114" i="2"/>
  <c r="AB114" i="2"/>
  <c r="W114" i="2"/>
  <c r="Y114" i="2"/>
  <c r="D115" i="2"/>
  <c r="Z114" i="2"/>
  <c r="E115" i="2"/>
  <c r="F115" i="2"/>
  <c r="L113" i="2" l="1"/>
  <c r="T113" i="2"/>
  <c r="I114" i="2"/>
  <c r="R114" i="2"/>
  <c r="AC113" i="2" s="1"/>
  <c r="S114" i="2"/>
  <c r="P114" i="2" s="1"/>
  <c r="H114" i="2"/>
  <c r="G115" i="2"/>
  <c r="Q113" i="2"/>
  <c r="N113" i="2"/>
  <c r="O113" i="2" s="1"/>
  <c r="M113" i="2"/>
  <c r="J114" i="2"/>
  <c r="A117" i="2"/>
  <c r="B116" i="2"/>
  <c r="Z115" i="2"/>
  <c r="K114" i="2"/>
  <c r="C116" i="2"/>
  <c r="V115" i="2"/>
  <c r="Y115" i="2"/>
  <c r="X115" i="2"/>
  <c r="W115" i="2"/>
  <c r="U115" i="2"/>
  <c r="AA115" i="2"/>
  <c r="D116" i="2"/>
  <c r="AB115" i="2"/>
  <c r="E116" i="2"/>
  <c r="F116" i="2"/>
  <c r="L114" i="2" l="1"/>
  <c r="T114" i="2"/>
  <c r="I115" i="2"/>
  <c r="R115" i="2"/>
  <c r="AC114" i="2" s="1"/>
  <c r="S115" i="2"/>
  <c r="P115" i="2" s="1"/>
  <c r="H115" i="2"/>
  <c r="G116" i="2"/>
  <c r="N114" i="2"/>
  <c r="O114" i="2" s="1"/>
  <c r="M114" i="2"/>
  <c r="Q114" i="2"/>
  <c r="J115" i="2"/>
  <c r="A118" i="2"/>
  <c r="B117" i="2"/>
  <c r="Z116" i="2"/>
  <c r="C117" i="2"/>
  <c r="U116" i="2"/>
  <c r="X116" i="2"/>
  <c r="AA116" i="2"/>
  <c r="Y116" i="2"/>
  <c r="D117" i="2"/>
  <c r="AB116" i="2"/>
  <c r="V116" i="2"/>
  <c r="K115" i="2"/>
  <c r="W116" i="2"/>
  <c r="E117" i="2"/>
  <c r="F117" i="2"/>
  <c r="L115" i="2" l="1"/>
  <c r="T115" i="2"/>
  <c r="R116" i="2"/>
  <c r="AC115" i="2" s="1"/>
  <c r="I116" i="2"/>
  <c r="S116" i="2"/>
  <c r="P116" i="2" s="1"/>
  <c r="H116" i="2"/>
  <c r="G117" i="2"/>
  <c r="Q115" i="2"/>
  <c r="N115" i="2"/>
  <c r="O115" i="2" s="1"/>
  <c r="M115" i="2"/>
  <c r="J116" i="2"/>
  <c r="A119" i="2"/>
  <c r="B118" i="2"/>
  <c r="W117" i="2"/>
  <c r="V117" i="2"/>
  <c r="K116" i="2"/>
  <c r="AA117" i="2"/>
  <c r="X117" i="2"/>
  <c r="AB117" i="2"/>
  <c r="Z117" i="2"/>
  <c r="U117" i="2"/>
  <c r="D118" i="2"/>
  <c r="Y117" i="2"/>
  <c r="C118" i="2"/>
  <c r="E118" i="2"/>
  <c r="F118" i="2"/>
  <c r="L116" i="2" l="1"/>
  <c r="T116" i="2"/>
  <c r="I117" i="2"/>
  <c r="R117" i="2"/>
  <c r="AC116" i="2" s="1"/>
  <c r="S117" i="2"/>
  <c r="P117" i="2" s="1"/>
  <c r="H117" i="2"/>
  <c r="G118" i="2"/>
  <c r="Q116" i="2"/>
  <c r="N116" i="2"/>
  <c r="O116" i="2" s="1"/>
  <c r="M116" i="2"/>
  <c r="J117" i="2"/>
  <c r="A120" i="2"/>
  <c r="B119" i="2"/>
  <c r="Z118" i="2"/>
  <c r="X118" i="2"/>
  <c r="W118" i="2"/>
  <c r="AA118" i="2"/>
  <c r="C119" i="2"/>
  <c r="D119" i="2"/>
  <c r="U118" i="2"/>
  <c r="V118" i="2"/>
  <c r="AB118" i="2"/>
  <c r="K117" i="2"/>
  <c r="Y118" i="2"/>
  <c r="E119" i="2"/>
  <c r="F119" i="2"/>
  <c r="L117" i="2" l="1"/>
  <c r="T117" i="2"/>
  <c r="I118" i="2"/>
  <c r="R118" i="2"/>
  <c r="AC117" i="2" s="1"/>
  <c r="S118" i="2"/>
  <c r="P118" i="2" s="1"/>
  <c r="H118" i="2"/>
  <c r="G119" i="2"/>
  <c r="Q117" i="2"/>
  <c r="N117" i="2"/>
  <c r="O117" i="2" s="1"/>
  <c r="M117" i="2"/>
  <c r="J118" i="2"/>
  <c r="A121" i="2"/>
  <c r="B120" i="2"/>
  <c r="W119" i="2"/>
  <c r="K118" i="2"/>
  <c r="C120" i="2"/>
  <c r="AA119" i="2"/>
  <c r="X119" i="2"/>
  <c r="Z119" i="2"/>
  <c r="AB119" i="2"/>
  <c r="V119" i="2"/>
  <c r="D120" i="2"/>
  <c r="Y119" i="2"/>
  <c r="U119" i="2"/>
  <c r="E120" i="2"/>
  <c r="F120" i="2"/>
  <c r="L118" i="2" l="1"/>
  <c r="T118" i="2"/>
  <c r="I119" i="2"/>
  <c r="R119" i="2"/>
  <c r="AC118" i="2" s="1"/>
  <c r="S119" i="2"/>
  <c r="P119" i="2" s="1"/>
  <c r="H119" i="2"/>
  <c r="G120" i="2"/>
  <c r="Q118" i="2"/>
  <c r="N118" i="2"/>
  <c r="O118" i="2" s="1"/>
  <c r="M118" i="2"/>
  <c r="J119" i="2"/>
  <c r="A122" i="2"/>
  <c r="B121" i="2"/>
  <c r="W120" i="2"/>
  <c r="Z120" i="2"/>
  <c r="K119" i="2"/>
  <c r="V120" i="2"/>
  <c r="X120" i="2"/>
  <c r="Y120" i="2"/>
  <c r="D121" i="2"/>
  <c r="AB120" i="2"/>
  <c r="AA120" i="2"/>
  <c r="U120" i="2"/>
  <c r="C121" i="2"/>
  <c r="E121" i="2"/>
  <c r="F121" i="2"/>
  <c r="L119" i="2" l="1"/>
  <c r="T119" i="2"/>
  <c r="R120" i="2"/>
  <c r="AC119" i="2" s="1"/>
  <c r="I120" i="2"/>
  <c r="S120" i="2"/>
  <c r="P120" i="2" s="1"/>
  <c r="H120" i="2"/>
  <c r="G121" i="2"/>
  <c r="M119" i="2"/>
  <c r="N119" i="2"/>
  <c r="O119" i="2" s="1"/>
  <c r="Q119" i="2"/>
  <c r="J120" i="2"/>
  <c r="A123" i="2"/>
  <c r="B122" i="2"/>
  <c r="AA121" i="2"/>
  <c r="AB121" i="2"/>
  <c r="D122" i="2"/>
  <c r="Y121" i="2"/>
  <c r="U121" i="2"/>
  <c r="V121" i="2"/>
  <c r="C122" i="2"/>
  <c r="K120" i="2"/>
  <c r="W121" i="2"/>
  <c r="X121" i="2"/>
  <c r="Z121" i="2"/>
  <c r="E122" i="2"/>
  <c r="F122" i="2"/>
  <c r="L120" i="2" l="1"/>
  <c r="T120" i="2"/>
  <c r="I121" i="2"/>
  <c r="R121" i="2"/>
  <c r="AC120" i="2" s="1"/>
  <c r="S121" i="2"/>
  <c r="P121" i="2" s="1"/>
  <c r="H121" i="2"/>
  <c r="G122" i="2"/>
  <c r="N120" i="2"/>
  <c r="O120" i="2" s="1"/>
  <c r="M120" i="2"/>
  <c r="Q120" i="2"/>
  <c r="J121" i="2"/>
  <c r="A124" i="2"/>
  <c r="B123" i="2"/>
  <c r="V122" i="2"/>
  <c r="K121" i="2"/>
  <c r="C123" i="2"/>
  <c r="W122" i="2"/>
  <c r="AA122" i="2"/>
  <c r="D123" i="2"/>
  <c r="Y122" i="2"/>
  <c r="X122" i="2"/>
  <c r="AB122" i="2"/>
  <c r="Z122" i="2"/>
  <c r="U122" i="2"/>
  <c r="E123" i="2"/>
  <c r="F123" i="2"/>
  <c r="L121" i="2" l="1"/>
  <c r="T121" i="2"/>
  <c r="I122" i="2"/>
  <c r="R122" i="2"/>
  <c r="AC121" i="2" s="1"/>
  <c r="S122" i="2"/>
  <c r="P122" i="2" s="1"/>
  <c r="H122" i="2"/>
  <c r="G123" i="2"/>
  <c r="N121" i="2"/>
  <c r="O121" i="2" s="1"/>
  <c r="M121" i="2"/>
  <c r="Q121" i="2"/>
  <c r="J122" i="2"/>
  <c r="A125" i="2"/>
  <c r="B124" i="2"/>
  <c r="X123" i="2"/>
  <c r="C124" i="2"/>
  <c r="Z123" i="2"/>
  <c r="V123" i="2"/>
  <c r="AA123" i="2"/>
  <c r="D124" i="2"/>
  <c r="AB123" i="2"/>
  <c r="U123" i="2"/>
  <c r="Y123" i="2"/>
  <c r="W123" i="2"/>
  <c r="K122" i="2"/>
  <c r="E124" i="2"/>
  <c r="F124" i="2"/>
  <c r="L122" i="2" l="1"/>
  <c r="T122" i="2"/>
  <c r="I123" i="2"/>
  <c r="R123" i="2"/>
  <c r="AC122" i="2" s="1"/>
  <c r="S123" i="2"/>
  <c r="P123" i="2" s="1"/>
  <c r="H123" i="2"/>
  <c r="G124" i="2"/>
  <c r="N122" i="2"/>
  <c r="O122" i="2" s="1"/>
  <c r="M122" i="2"/>
  <c r="Q122" i="2"/>
  <c r="J123" i="2"/>
  <c r="A126" i="2"/>
  <c r="B125" i="2"/>
  <c r="Z124" i="2"/>
  <c r="V124" i="2"/>
  <c r="U124" i="2"/>
  <c r="Y124" i="2"/>
  <c r="C125" i="2"/>
  <c r="AA124" i="2"/>
  <c r="X124" i="2"/>
  <c r="W124" i="2"/>
  <c r="K123" i="2"/>
  <c r="AB124" i="2"/>
  <c r="E125" i="2"/>
  <c r="F125" i="2"/>
  <c r="L123" i="2" l="1"/>
  <c r="T123" i="2"/>
  <c r="R124" i="2"/>
  <c r="AC123" i="2" s="1"/>
  <c r="I124" i="2"/>
  <c r="S124" i="2"/>
  <c r="P124" i="2" s="1"/>
  <c r="H124" i="2"/>
  <c r="G125" i="2"/>
  <c r="Q123" i="2"/>
  <c r="M123" i="2"/>
  <c r="N123" i="2"/>
  <c r="O123" i="2" s="1"/>
  <c r="J124" i="2"/>
  <c r="A127" i="2"/>
  <c r="B126" i="2"/>
  <c r="D125" i="2"/>
  <c r="D126" i="2"/>
  <c r="AA125" i="2"/>
  <c r="K124" i="2"/>
  <c r="C126" i="2"/>
  <c r="AB125" i="2"/>
  <c r="U125" i="2"/>
  <c r="Y125" i="2"/>
  <c r="Z125" i="2"/>
  <c r="V125" i="2"/>
  <c r="X125" i="2"/>
  <c r="W125" i="2"/>
  <c r="E126" i="2"/>
  <c r="F126" i="2"/>
  <c r="L124" i="2" l="1"/>
  <c r="T124" i="2"/>
  <c r="I125" i="2"/>
  <c r="R125" i="2"/>
  <c r="AC124" i="2" s="1"/>
  <c r="S125" i="2"/>
  <c r="P125" i="2" s="1"/>
  <c r="H125" i="2"/>
  <c r="G126" i="2"/>
  <c r="M124" i="2"/>
  <c r="N124" i="2"/>
  <c r="O124" i="2" s="1"/>
  <c r="Q124" i="2"/>
  <c r="J125" i="2"/>
  <c r="B127" i="2"/>
  <c r="A128" i="2"/>
  <c r="D127" i="2"/>
  <c r="AA126" i="2"/>
  <c r="U126" i="2"/>
  <c r="Y126" i="2"/>
  <c r="X126" i="2"/>
  <c r="AB126" i="2"/>
  <c r="C127" i="2"/>
  <c r="V126" i="2"/>
  <c r="Z126" i="2"/>
  <c r="K125" i="2"/>
  <c r="W126" i="2"/>
  <c r="E127" i="2"/>
  <c r="F127" i="2"/>
  <c r="L125" i="2" l="1"/>
  <c r="T125" i="2"/>
  <c r="I126" i="2"/>
  <c r="R126" i="2"/>
  <c r="AC125" i="2" s="1"/>
  <c r="S126" i="2"/>
  <c r="P126" i="2" s="1"/>
  <c r="H126" i="2"/>
  <c r="G127" i="2"/>
  <c r="M125" i="2"/>
  <c r="Q125" i="2"/>
  <c r="N125" i="2"/>
  <c r="O125" i="2" s="1"/>
  <c r="J126" i="2"/>
  <c r="A129" i="2"/>
  <c r="B128" i="2"/>
  <c r="Z127" i="2"/>
  <c r="Y127" i="2"/>
  <c r="U127" i="2"/>
  <c r="V127" i="2"/>
  <c r="AB127" i="2"/>
  <c r="W127" i="2"/>
  <c r="AA127" i="2"/>
  <c r="D128" i="2"/>
  <c r="K126" i="2"/>
  <c r="X127" i="2"/>
  <c r="C128" i="2"/>
  <c r="E128" i="2"/>
  <c r="F128" i="2"/>
  <c r="L126" i="2" l="1"/>
  <c r="T126" i="2"/>
  <c r="I127" i="2"/>
  <c r="R127" i="2"/>
  <c r="AC126" i="2" s="1"/>
  <c r="S127" i="2"/>
  <c r="P127" i="2" s="1"/>
  <c r="H127" i="2"/>
  <c r="G128" i="2"/>
  <c r="Q126" i="2"/>
  <c r="N126" i="2"/>
  <c r="O126" i="2" s="1"/>
  <c r="M126" i="2"/>
  <c r="J127" i="2"/>
  <c r="A130" i="2"/>
  <c r="B129" i="2"/>
  <c r="Y128" i="2"/>
  <c r="V128" i="2"/>
  <c r="K127" i="2"/>
  <c r="U128" i="2"/>
  <c r="D129" i="2"/>
  <c r="AA128" i="2"/>
  <c r="Z128" i="2"/>
  <c r="W128" i="2"/>
  <c r="AB128" i="2"/>
  <c r="C129" i="2"/>
  <c r="X128" i="2"/>
  <c r="E129" i="2"/>
  <c r="F129" i="2"/>
  <c r="L127" i="2" l="1"/>
  <c r="T127" i="2"/>
  <c r="R128" i="2"/>
  <c r="AC127" i="2" s="1"/>
  <c r="I128" i="2"/>
  <c r="S128" i="2"/>
  <c r="P128" i="2" s="1"/>
  <c r="H128" i="2"/>
  <c r="G129" i="2"/>
  <c r="N127" i="2"/>
  <c r="O127" i="2" s="1"/>
  <c r="M127" i="2"/>
  <c r="Q127" i="2"/>
  <c r="J128" i="2"/>
  <c r="A131" i="2"/>
  <c r="B130" i="2"/>
  <c r="AA129" i="2"/>
  <c r="D130" i="2"/>
  <c r="Z129" i="2"/>
  <c r="U129" i="2"/>
  <c r="C130" i="2"/>
  <c r="W129" i="2"/>
  <c r="V129" i="2"/>
  <c r="X129" i="2"/>
  <c r="Y129" i="2"/>
  <c r="AB129" i="2"/>
  <c r="K128" i="2"/>
  <c r="E130" i="2"/>
  <c r="F130" i="2"/>
  <c r="L128" i="2" l="1"/>
  <c r="T128" i="2"/>
  <c r="I129" i="2"/>
  <c r="R129" i="2"/>
  <c r="AC128" i="2" s="1"/>
  <c r="S129" i="2"/>
  <c r="P129" i="2" s="1"/>
  <c r="H129" i="2"/>
  <c r="G130" i="2"/>
  <c r="M128" i="2"/>
  <c r="Q128" i="2"/>
  <c r="N128" i="2"/>
  <c r="O128" i="2" s="1"/>
  <c r="J129" i="2"/>
  <c r="A132" i="2"/>
  <c r="B131" i="2"/>
  <c r="W130" i="2"/>
  <c r="D131" i="2"/>
  <c r="X130" i="2"/>
  <c r="Z130" i="2"/>
  <c r="AB130" i="2"/>
  <c r="Y130" i="2"/>
  <c r="V130" i="2"/>
  <c r="AA130" i="2"/>
  <c r="C131" i="2"/>
  <c r="K129" i="2"/>
  <c r="U130" i="2"/>
  <c r="E131" i="2"/>
  <c r="F131" i="2"/>
  <c r="L129" i="2" l="1"/>
  <c r="T129" i="2"/>
  <c r="I130" i="2"/>
  <c r="R130" i="2"/>
  <c r="AC129" i="2" s="1"/>
  <c r="S130" i="2"/>
  <c r="P130" i="2" s="1"/>
  <c r="H130" i="2"/>
  <c r="G131" i="2"/>
  <c r="N129" i="2"/>
  <c r="O129" i="2" s="1"/>
  <c r="Q129" i="2"/>
  <c r="M129" i="2"/>
  <c r="J130" i="2"/>
  <c r="A133" i="2"/>
  <c r="B132" i="2"/>
  <c r="Y131" i="2"/>
  <c r="K130" i="2"/>
  <c r="AA131" i="2"/>
  <c r="W131" i="2"/>
  <c r="Z131" i="2"/>
  <c r="AB131" i="2"/>
  <c r="V131" i="2"/>
  <c r="C132" i="2"/>
  <c r="U131" i="2"/>
  <c r="X131" i="2"/>
  <c r="E132" i="2"/>
  <c r="F132" i="2"/>
  <c r="L130" i="2" l="1"/>
  <c r="T130" i="2"/>
  <c r="I131" i="2"/>
  <c r="R131" i="2"/>
  <c r="AC130" i="2" s="1"/>
  <c r="S131" i="2"/>
  <c r="P131" i="2" s="1"/>
  <c r="H131" i="2"/>
  <c r="G132" i="2"/>
  <c r="M130" i="2"/>
  <c r="N130" i="2"/>
  <c r="O130" i="2" s="1"/>
  <c r="Q130" i="2"/>
  <c r="J131" i="2"/>
  <c r="A134" i="2"/>
  <c r="B133" i="2"/>
  <c r="D132" i="2"/>
  <c r="Y132" i="2"/>
  <c r="X132" i="2"/>
  <c r="C133" i="2"/>
  <c r="V132" i="2"/>
  <c r="AB132" i="2"/>
  <c r="Z132" i="2"/>
  <c r="D133" i="2"/>
  <c r="K131" i="2"/>
  <c r="U132" i="2"/>
  <c r="AA132" i="2"/>
  <c r="W132" i="2"/>
  <c r="E133" i="2"/>
  <c r="F133" i="2"/>
  <c r="L131" i="2" l="1"/>
  <c r="T131" i="2"/>
  <c r="R132" i="2"/>
  <c r="AC131" i="2" s="1"/>
  <c r="I132" i="2"/>
  <c r="S132" i="2"/>
  <c r="P132" i="2" s="1"/>
  <c r="H132" i="2"/>
  <c r="G133" i="2"/>
  <c r="Q131" i="2"/>
  <c r="N131" i="2"/>
  <c r="O131" i="2" s="1"/>
  <c r="M131" i="2"/>
  <c r="J132" i="2"/>
  <c r="A135" i="2"/>
  <c r="B134" i="2"/>
  <c r="Y133" i="2"/>
  <c r="W133" i="2"/>
  <c r="K132" i="2"/>
  <c r="AB133" i="2"/>
  <c r="X133" i="2"/>
  <c r="D134" i="2"/>
  <c r="V133" i="2"/>
  <c r="AA133" i="2"/>
  <c r="U133" i="2"/>
  <c r="Z133" i="2"/>
  <c r="C134" i="2"/>
  <c r="E134" i="2"/>
  <c r="F134" i="2"/>
  <c r="L132" i="2" l="1"/>
  <c r="T132" i="2"/>
  <c r="I133" i="2"/>
  <c r="R133" i="2"/>
  <c r="AC132" i="2" s="1"/>
  <c r="S133" i="2"/>
  <c r="P133" i="2" s="1"/>
  <c r="H133" i="2"/>
  <c r="G134" i="2"/>
  <c r="N132" i="2"/>
  <c r="O132" i="2" s="1"/>
  <c r="M132" i="2"/>
  <c r="Q132" i="2"/>
  <c r="J133" i="2"/>
  <c r="A136" i="2"/>
  <c r="B135" i="2"/>
  <c r="D135" i="2"/>
  <c r="K133" i="2"/>
  <c r="U134" i="2"/>
  <c r="X134" i="2"/>
  <c r="AA134" i="2"/>
  <c r="C135" i="2"/>
  <c r="Z134" i="2"/>
  <c r="Y134" i="2"/>
  <c r="W134" i="2"/>
  <c r="AB134" i="2"/>
  <c r="V134" i="2"/>
  <c r="E135" i="2"/>
  <c r="F135" i="2"/>
  <c r="L133" i="2" l="1"/>
  <c r="T133" i="2"/>
  <c r="I134" i="2"/>
  <c r="R134" i="2"/>
  <c r="AC133" i="2" s="1"/>
  <c r="S134" i="2"/>
  <c r="P134" i="2" s="1"/>
  <c r="H134" i="2"/>
  <c r="G135" i="2"/>
  <c r="N133" i="2"/>
  <c r="O133" i="2" s="1"/>
  <c r="Q133" i="2"/>
  <c r="M133" i="2"/>
  <c r="J134" i="2"/>
  <c r="A137" i="2"/>
  <c r="B136" i="2"/>
  <c r="U135" i="2"/>
  <c r="K134" i="2"/>
  <c r="C136" i="2"/>
  <c r="W135" i="2"/>
  <c r="Y135" i="2"/>
  <c r="D136" i="2"/>
  <c r="Z135" i="2"/>
  <c r="V135" i="2"/>
  <c r="X135" i="2"/>
  <c r="AB135" i="2"/>
  <c r="AA135" i="2"/>
  <c r="E136" i="2"/>
  <c r="F136" i="2"/>
  <c r="L134" i="2" l="1"/>
  <c r="T134" i="2"/>
  <c r="I135" i="2"/>
  <c r="R135" i="2"/>
  <c r="AC134" i="2" s="1"/>
  <c r="S135" i="2"/>
  <c r="P135" i="2" s="1"/>
  <c r="H135" i="2"/>
  <c r="G136" i="2"/>
  <c r="Q134" i="2"/>
  <c r="M134" i="2"/>
  <c r="N134" i="2"/>
  <c r="O134" i="2" s="1"/>
  <c r="J135" i="2"/>
  <c r="A138" i="2"/>
  <c r="B137" i="2"/>
  <c r="K135" i="2"/>
  <c r="Z136" i="2"/>
  <c r="W136" i="2"/>
  <c r="AB136" i="2"/>
  <c r="X136" i="2"/>
  <c r="Y136" i="2"/>
  <c r="C137" i="2"/>
  <c r="U136" i="2"/>
  <c r="AA136" i="2"/>
  <c r="V136" i="2"/>
  <c r="E137" i="2"/>
  <c r="F137" i="2"/>
  <c r="L135" i="2" l="1"/>
  <c r="T135" i="2"/>
  <c r="R136" i="2"/>
  <c r="AC135" i="2" s="1"/>
  <c r="I136" i="2"/>
  <c r="S136" i="2"/>
  <c r="P136" i="2" s="1"/>
  <c r="H136" i="2"/>
  <c r="G137" i="2"/>
  <c r="N135" i="2"/>
  <c r="O135" i="2" s="1"/>
  <c r="M135" i="2"/>
  <c r="Q135" i="2"/>
  <c r="J136" i="2"/>
  <c r="A139" i="2"/>
  <c r="B138" i="2"/>
  <c r="D137" i="2"/>
  <c r="X137" i="2"/>
  <c r="W137" i="2"/>
  <c r="K136" i="2"/>
  <c r="D138" i="2"/>
  <c r="AA137" i="2"/>
  <c r="U137" i="2"/>
  <c r="V137" i="2"/>
  <c r="Y137" i="2"/>
  <c r="AB137" i="2"/>
  <c r="C138" i="2"/>
  <c r="Z137" i="2"/>
  <c r="E138" i="2"/>
  <c r="F138" i="2"/>
  <c r="L136" i="2" l="1"/>
  <c r="T136" i="2"/>
  <c r="I137" i="2"/>
  <c r="R137" i="2"/>
  <c r="AC136" i="2" s="1"/>
  <c r="S137" i="2"/>
  <c r="P137" i="2" s="1"/>
  <c r="H137" i="2"/>
  <c r="G138" i="2"/>
  <c r="Q136" i="2"/>
  <c r="N136" i="2"/>
  <c r="O136" i="2" s="1"/>
  <c r="M136" i="2"/>
  <c r="J137" i="2"/>
  <c r="A140" i="2"/>
  <c r="B139" i="2"/>
  <c r="D139" i="2"/>
  <c r="AB138" i="2"/>
  <c r="Z138" i="2"/>
  <c r="C139" i="2"/>
  <c r="U138" i="2"/>
  <c r="X138" i="2"/>
  <c r="Y138" i="2"/>
  <c r="V138" i="2"/>
  <c r="K137" i="2"/>
  <c r="AA138" i="2"/>
  <c r="W138" i="2"/>
  <c r="E139" i="2"/>
  <c r="F139" i="2"/>
  <c r="L137" i="2" l="1"/>
  <c r="T137" i="2"/>
  <c r="I138" i="2"/>
  <c r="R138" i="2"/>
  <c r="AC137" i="2" s="1"/>
  <c r="S138" i="2"/>
  <c r="P138" i="2" s="1"/>
  <c r="H138" i="2"/>
  <c r="G139" i="2"/>
  <c r="M137" i="2"/>
  <c r="Q137" i="2"/>
  <c r="N137" i="2"/>
  <c r="O137" i="2" s="1"/>
  <c r="J138" i="2"/>
  <c r="A141" i="2"/>
  <c r="B140" i="2"/>
  <c r="X139" i="2"/>
  <c r="Y139" i="2"/>
  <c r="U139" i="2"/>
  <c r="Z139" i="2"/>
  <c r="AA139" i="2"/>
  <c r="AB139" i="2"/>
  <c r="D140" i="2"/>
  <c r="V139" i="2"/>
  <c r="K138" i="2"/>
  <c r="C140" i="2"/>
  <c r="W139" i="2"/>
  <c r="E140" i="2"/>
  <c r="F140" i="2"/>
  <c r="L138" i="2" l="1"/>
  <c r="T138" i="2"/>
  <c r="I139" i="2"/>
  <c r="R139" i="2"/>
  <c r="AC138" i="2" s="1"/>
  <c r="S139" i="2"/>
  <c r="P139" i="2" s="1"/>
  <c r="H139" i="2"/>
  <c r="G140" i="2"/>
  <c r="M138" i="2"/>
  <c r="N138" i="2"/>
  <c r="O138" i="2" s="1"/>
  <c r="Q138" i="2"/>
  <c r="J139" i="2"/>
  <c r="A142" i="2"/>
  <c r="B141" i="2"/>
  <c r="Y140" i="2"/>
  <c r="Z140" i="2"/>
  <c r="C141" i="2"/>
  <c r="AB140" i="2"/>
  <c r="D141" i="2"/>
  <c r="X140" i="2"/>
  <c r="W140" i="2"/>
  <c r="U140" i="2"/>
  <c r="V140" i="2"/>
  <c r="AA140" i="2"/>
  <c r="K139" i="2"/>
  <c r="E141" i="2"/>
  <c r="F141" i="2"/>
  <c r="L139" i="2" l="1"/>
  <c r="T139" i="2"/>
  <c r="R140" i="2"/>
  <c r="AC139" i="2" s="1"/>
  <c r="I140" i="2"/>
  <c r="S140" i="2"/>
  <c r="P140" i="2" s="1"/>
  <c r="H140" i="2"/>
  <c r="G141" i="2"/>
  <c r="Q139" i="2"/>
  <c r="M139" i="2"/>
  <c r="N139" i="2"/>
  <c r="O139" i="2" s="1"/>
  <c r="J140" i="2"/>
  <c r="A143" i="2"/>
  <c r="B142" i="2"/>
  <c r="AB141" i="2"/>
  <c r="Y141" i="2"/>
  <c r="K140" i="2"/>
  <c r="C142" i="2"/>
  <c r="AA141" i="2"/>
  <c r="Z141" i="2"/>
  <c r="U141" i="2"/>
  <c r="V141" i="2"/>
  <c r="D142" i="2"/>
  <c r="W141" i="2"/>
  <c r="X141" i="2"/>
  <c r="E142" i="2"/>
  <c r="F142" i="2"/>
  <c r="L140" i="2" l="1"/>
  <c r="T140" i="2"/>
  <c r="I141" i="2"/>
  <c r="R141" i="2"/>
  <c r="AC140" i="2" s="1"/>
  <c r="S141" i="2"/>
  <c r="P141" i="2" s="1"/>
  <c r="H141" i="2"/>
  <c r="G142" i="2"/>
  <c r="N140" i="2"/>
  <c r="O140" i="2" s="1"/>
  <c r="M140" i="2"/>
  <c r="Q140" i="2"/>
  <c r="J141" i="2"/>
  <c r="A144" i="2"/>
  <c r="B143" i="2"/>
  <c r="U142" i="2"/>
  <c r="X142" i="2"/>
  <c r="K141" i="2"/>
  <c r="AB142" i="2"/>
  <c r="AA142" i="2"/>
  <c r="W142" i="2"/>
  <c r="D143" i="2"/>
  <c r="Z142" i="2"/>
  <c r="Y142" i="2"/>
  <c r="V142" i="2"/>
  <c r="C143" i="2"/>
  <c r="E143" i="2"/>
  <c r="F143" i="2"/>
  <c r="L141" i="2" l="1"/>
  <c r="T141" i="2"/>
  <c r="I142" i="2"/>
  <c r="R142" i="2"/>
  <c r="AC141" i="2" s="1"/>
  <c r="S142" i="2"/>
  <c r="P142" i="2" s="1"/>
  <c r="H142" i="2"/>
  <c r="G143" i="2"/>
  <c r="Q141" i="2"/>
  <c r="M141" i="2"/>
  <c r="N141" i="2"/>
  <c r="O141" i="2" s="1"/>
  <c r="J142" i="2"/>
  <c r="A145" i="2"/>
  <c r="B144" i="2"/>
  <c r="AB143" i="2"/>
  <c r="Y143" i="2"/>
  <c r="U143" i="2"/>
  <c r="AA143" i="2"/>
  <c r="D144" i="2"/>
  <c r="C144" i="2"/>
  <c r="V143" i="2"/>
  <c r="K142" i="2"/>
  <c r="Z143" i="2"/>
  <c r="X143" i="2"/>
  <c r="W143" i="2"/>
  <c r="E144" i="2"/>
  <c r="F144" i="2"/>
  <c r="L142" i="2" l="1"/>
  <c r="T142" i="2"/>
  <c r="I143" i="2"/>
  <c r="R143" i="2"/>
  <c r="AC142" i="2" s="1"/>
  <c r="S143" i="2"/>
  <c r="P143" i="2" s="1"/>
  <c r="H143" i="2"/>
  <c r="G144" i="2"/>
  <c r="Q142" i="2"/>
  <c r="N142" i="2"/>
  <c r="O142" i="2" s="1"/>
  <c r="M142" i="2"/>
  <c r="J143" i="2"/>
  <c r="A146" i="2"/>
  <c r="B145" i="2"/>
  <c r="AA144" i="2"/>
  <c r="K143" i="2"/>
  <c r="X144" i="2"/>
  <c r="Z144" i="2"/>
  <c r="D145" i="2"/>
  <c r="V144" i="2"/>
  <c r="C145" i="2"/>
  <c r="W144" i="2"/>
  <c r="Y144" i="2"/>
  <c r="U144" i="2"/>
  <c r="AB144" i="2"/>
  <c r="E145" i="2"/>
  <c r="F145" i="2"/>
  <c r="L143" i="2" l="1"/>
  <c r="T143" i="2"/>
  <c r="R144" i="2"/>
  <c r="AC143" i="2" s="1"/>
  <c r="I144" i="2"/>
  <c r="S144" i="2"/>
  <c r="P144" i="2" s="1"/>
  <c r="H144" i="2"/>
  <c r="G145" i="2"/>
  <c r="N143" i="2"/>
  <c r="O143" i="2" s="1"/>
  <c r="M143" i="2"/>
  <c r="Q143" i="2"/>
  <c r="J144" i="2"/>
  <c r="A147" i="2"/>
  <c r="B146" i="2"/>
  <c r="U145" i="2"/>
  <c r="D146" i="2"/>
  <c r="K144" i="2"/>
  <c r="V145" i="2"/>
  <c r="X145" i="2"/>
  <c r="C146" i="2"/>
  <c r="AB145" i="2"/>
  <c r="W145" i="2"/>
  <c r="AA145" i="2"/>
  <c r="Y145" i="2"/>
  <c r="Z145" i="2"/>
  <c r="E146" i="2"/>
  <c r="F146" i="2"/>
  <c r="L144" i="2" l="1"/>
  <c r="T144" i="2"/>
  <c r="I145" i="2"/>
  <c r="R145" i="2"/>
  <c r="AC144" i="2" s="1"/>
  <c r="S145" i="2"/>
  <c r="P145" i="2" s="1"/>
  <c r="H145" i="2"/>
  <c r="G146" i="2"/>
  <c r="Q144" i="2"/>
  <c r="N144" i="2"/>
  <c r="O144" i="2" s="1"/>
  <c r="M144" i="2"/>
  <c r="J145" i="2"/>
  <c r="A148" i="2"/>
  <c r="B147" i="2"/>
  <c r="AB146" i="2"/>
  <c r="K145" i="2"/>
  <c r="U146" i="2"/>
  <c r="V146" i="2"/>
  <c r="C147" i="2"/>
  <c r="Z146" i="2"/>
  <c r="D147" i="2"/>
  <c r="Y146" i="2"/>
  <c r="AA146" i="2"/>
  <c r="X146" i="2"/>
  <c r="W146" i="2"/>
  <c r="E147" i="2"/>
  <c r="F147" i="2"/>
  <c r="L145" i="2" l="1"/>
  <c r="T145" i="2"/>
  <c r="I146" i="2"/>
  <c r="R146" i="2"/>
  <c r="AC145" i="2" s="1"/>
  <c r="S146" i="2"/>
  <c r="P146" i="2" s="1"/>
  <c r="H146" i="2"/>
  <c r="G147" i="2"/>
  <c r="N145" i="2"/>
  <c r="O145" i="2" s="1"/>
  <c r="Q145" i="2"/>
  <c r="M145" i="2"/>
  <c r="J146" i="2"/>
  <c r="A149" i="2"/>
  <c r="B148" i="2"/>
  <c r="C148" i="2"/>
  <c r="AA147" i="2"/>
  <c r="X147" i="2"/>
  <c r="U147" i="2"/>
  <c r="D148" i="2"/>
  <c r="Y147" i="2"/>
  <c r="AB147" i="2"/>
  <c r="W147" i="2"/>
  <c r="Z147" i="2"/>
  <c r="K146" i="2"/>
  <c r="V147" i="2"/>
  <c r="E148" i="2"/>
  <c r="F148" i="2"/>
  <c r="L146" i="2" l="1"/>
  <c r="T146" i="2"/>
  <c r="I147" i="2"/>
  <c r="R147" i="2"/>
  <c r="AC146" i="2" s="1"/>
  <c r="S147" i="2"/>
  <c r="P147" i="2" s="1"/>
  <c r="H147" i="2"/>
  <c r="G148" i="2"/>
  <c r="N146" i="2"/>
  <c r="O146" i="2" s="1"/>
  <c r="M146" i="2"/>
  <c r="Q146" i="2"/>
  <c r="J147" i="2"/>
  <c r="A150" i="2"/>
  <c r="B149" i="2"/>
  <c r="Y148" i="2"/>
  <c r="X148" i="2"/>
  <c r="U148" i="2"/>
  <c r="D149" i="2"/>
  <c r="V148" i="2"/>
  <c r="W148" i="2"/>
  <c r="AA148" i="2"/>
  <c r="Z148" i="2"/>
  <c r="C149" i="2"/>
  <c r="K147" i="2"/>
  <c r="AB148" i="2"/>
  <c r="E149" i="2"/>
  <c r="F149" i="2"/>
  <c r="L147" i="2" l="1"/>
  <c r="T147" i="2"/>
  <c r="R148" i="2"/>
  <c r="AC147" i="2" s="1"/>
  <c r="I148" i="2"/>
  <c r="S148" i="2"/>
  <c r="P148" i="2" s="1"/>
  <c r="H148" i="2"/>
  <c r="G149" i="2"/>
  <c r="Q147" i="2"/>
  <c r="N147" i="2"/>
  <c r="O147" i="2" s="1"/>
  <c r="M147" i="2"/>
  <c r="J148" i="2"/>
  <c r="A151" i="2"/>
  <c r="B150" i="2"/>
  <c r="U149" i="2"/>
  <c r="D150" i="2"/>
  <c r="K148" i="2"/>
  <c r="X149" i="2"/>
  <c r="V149" i="2"/>
  <c r="W149" i="2"/>
  <c r="AA149" i="2"/>
  <c r="AB149" i="2"/>
  <c r="Z149" i="2"/>
  <c r="C150" i="2"/>
  <c r="Y149" i="2"/>
  <c r="E150" i="2"/>
  <c r="F150" i="2"/>
  <c r="L148" i="2" l="1"/>
  <c r="T148" i="2"/>
  <c r="I149" i="2"/>
  <c r="R149" i="2"/>
  <c r="AC148" i="2" s="1"/>
  <c r="S149" i="2"/>
  <c r="P149" i="2" s="1"/>
  <c r="H149" i="2"/>
  <c r="G150" i="2"/>
  <c r="N148" i="2"/>
  <c r="O148" i="2" s="1"/>
  <c r="M148" i="2"/>
  <c r="Q148" i="2"/>
  <c r="J149" i="2"/>
  <c r="A152" i="2"/>
  <c r="B151" i="2"/>
  <c r="D151" i="2"/>
  <c r="X150" i="2"/>
  <c r="K149" i="2"/>
  <c r="V150" i="2"/>
  <c r="U150" i="2"/>
  <c r="Y150" i="2"/>
  <c r="C151" i="2"/>
  <c r="W150" i="2"/>
  <c r="AB150" i="2"/>
  <c r="Z150" i="2"/>
  <c r="AA150" i="2"/>
  <c r="E151" i="2"/>
  <c r="F151" i="2"/>
  <c r="L149" i="2" l="1"/>
  <c r="T149" i="2"/>
  <c r="I150" i="2"/>
  <c r="R150" i="2"/>
  <c r="AC149" i="2" s="1"/>
  <c r="S150" i="2"/>
  <c r="P150" i="2" s="1"/>
  <c r="H150" i="2"/>
  <c r="G151" i="2"/>
  <c r="N149" i="2"/>
  <c r="O149" i="2" s="1"/>
  <c r="M149" i="2"/>
  <c r="Q149" i="2"/>
  <c r="J150" i="2"/>
  <c r="A153" i="2"/>
  <c r="B152" i="2"/>
  <c r="AB151" i="2"/>
  <c r="C152" i="2"/>
  <c r="V151" i="2"/>
  <c r="D152" i="2"/>
  <c r="Y151" i="2"/>
  <c r="W151" i="2"/>
  <c r="AA151" i="2"/>
  <c r="U151" i="2"/>
  <c r="X151" i="2"/>
  <c r="K150" i="2"/>
  <c r="Z151" i="2"/>
  <c r="E152" i="2"/>
  <c r="F152" i="2"/>
  <c r="L150" i="2" l="1"/>
  <c r="T150" i="2"/>
  <c r="I151" i="2"/>
  <c r="R151" i="2"/>
  <c r="AC150" i="2" s="1"/>
  <c r="S151" i="2"/>
  <c r="P151" i="2" s="1"/>
  <c r="H151" i="2"/>
  <c r="G152" i="2"/>
  <c r="Q150" i="2"/>
  <c r="M150" i="2"/>
  <c r="N150" i="2"/>
  <c r="O150" i="2" s="1"/>
  <c r="J151" i="2"/>
  <c r="A154" i="2"/>
  <c r="B153" i="2"/>
  <c r="W152" i="2"/>
  <c r="AB152" i="2"/>
  <c r="V152" i="2"/>
  <c r="U152" i="2"/>
  <c r="K151" i="2"/>
  <c r="C153" i="2"/>
  <c r="Y152" i="2"/>
  <c r="X152" i="2"/>
  <c r="AA152" i="2"/>
  <c r="D153" i="2"/>
  <c r="Z152" i="2"/>
  <c r="E153" i="2"/>
  <c r="F153" i="2"/>
  <c r="L151" i="2" l="1"/>
  <c r="T151" i="2"/>
  <c r="R152" i="2"/>
  <c r="AC151" i="2" s="1"/>
  <c r="I152" i="2"/>
  <c r="S152" i="2"/>
  <c r="P152" i="2" s="1"/>
  <c r="H152" i="2"/>
  <c r="G153" i="2"/>
  <c r="N151" i="2"/>
  <c r="O151" i="2" s="1"/>
  <c r="M151" i="2"/>
  <c r="Q151" i="2"/>
  <c r="J152" i="2"/>
  <c r="A155" i="2"/>
  <c r="B154" i="2"/>
  <c r="K152" i="2"/>
  <c r="W153" i="2"/>
  <c r="Z153" i="2"/>
  <c r="X153" i="2"/>
  <c r="D154" i="2"/>
  <c r="AB153" i="2"/>
  <c r="C154" i="2"/>
  <c r="V153" i="2"/>
  <c r="U153" i="2"/>
  <c r="AA153" i="2"/>
  <c r="Y153" i="2"/>
  <c r="E154" i="2"/>
  <c r="F154" i="2"/>
  <c r="L152" i="2" l="1"/>
  <c r="T152" i="2"/>
  <c r="I153" i="2"/>
  <c r="R153" i="2"/>
  <c r="AC152" i="2" s="1"/>
  <c r="S153" i="2"/>
  <c r="P153" i="2" s="1"/>
  <c r="H153" i="2"/>
  <c r="G154" i="2"/>
  <c r="Q152" i="2"/>
  <c r="N152" i="2"/>
  <c r="O152" i="2" s="1"/>
  <c r="M152" i="2"/>
  <c r="J153" i="2"/>
  <c r="A156" i="2"/>
  <c r="B155" i="2"/>
  <c r="Y154" i="2"/>
  <c r="U154" i="2"/>
  <c r="AA154" i="2"/>
  <c r="C155" i="2"/>
  <c r="AB154" i="2"/>
  <c r="D155" i="2"/>
  <c r="Z154" i="2"/>
  <c r="W154" i="2"/>
  <c r="X154" i="2"/>
  <c r="V154" i="2"/>
  <c r="K153" i="2"/>
  <c r="E155" i="2"/>
  <c r="F155" i="2"/>
  <c r="L153" i="2" l="1"/>
  <c r="T153" i="2"/>
  <c r="I154" i="2"/>
  <c r="R154" i="2"/>
  <c r="AC153" i="2" s="1"/>
  <c r="S154" i="2"/>
  <c r="P154" i="2" s="1"/>
  <c r="H154" i="2"/>
  <c r="G155" i="2"/>
  <c r="M153" i="2"/>
  <c r="N153" i="2"/>
  <c r="O153" i="2" s="1"/>
  <c r="Q153" i="2"/>
  <c r="J154" i="2"/>
  <c r="A157" i="2"/>
  <c r="B156" i="2"/>
  <c r="Y155" i="2"/>
  <c r="C156" i="2"/>
  <c r="AB155" i="2"/>
  <c r="D156" i="2"/>
  <c r="X155" i="2"/>
  <c r="W155" i="2"/>
  <c r="V155" i="2"/>
  <c r="U155" i="2"/>
  <c r="K154" i="2"/>
  <c r="AA155" i="2"/>
  <c r="Z155" i="2"/>
  <c r="E156" i="2"/>
  <c r="F156" i="2"/>
  <c r="L154" i="2" l="1"/>
  <c r="T154" i="2"/>
  <c r="I155" i="2"/>
  <c r="R155" i="2"/>
  <c r="AC154" i="2" s="1"/>
  <c r="S155" i="2"/>
  <c r="P155" i="2" s="1"/>
  <c r="H155" i="2"/>
  <c r="G156" i="2"/>
  <c r="M154" i="2"/>
  <c r="N154" i="2"/>
  <c r="O154" i="2" s="1"/>
  <c r="Q154" i="2"/>
  <c r="J155" i="2"/>
  <c r="A158" i="2"/>
  <c r="B157" i="2"/>
  <c r="V156" i="2"/>
  <c r="K155" i="2"/>
  <c r="Y156" i="2"/>
  <c r="W156" i="2"/>
  <c r="AA156" i="2"/>
  <c r="C157" i="2"/>
  <c r="D157" i="2"/>
  <c r="AB156" i="2"/>
  <c r="U156" i="2"/>
  <c r="Z156" i="2"/>
  <c r="X156" i="2"/>
  <c r="E157" i="2"/>
  <c r="F157" i="2"/>
  <c r="L155" i="2" l="1"/>
  <c r="T155" i="2"/>
  <c r="R156" i="2"/>
  <c r="AC155" i="2" s="1"/>
  <c r="I156" i="2"/>
  <c r="S156" i="2"/>
  <c r="P156" i="2" s="1"/>
  <c r="H156" i="2"/>
  <c r="G157" i="2"/>
  <c r="Q155" i="2"/>
  <c r="M155" i="2"/>
  <c r="N155" i="2"/>
  <c r="O155" i="2" s="1"/>
  <c r="J156" i="2"/>
  <c r="A159" i="2"/>
  <c r="B158" i="2"/>
  <c r="C158" i="2"/>
  <c r="Z157" i="2"/>
  <c r="K156" i="2"/>
  <c r="U157" i="2"/>
  <c r="AB157" i="2"/>
  <c r="D158" i="2"/>
  <c r="V157" i="2"/>
  <c r="X157" i="2"/>
  <c r="W157" i="2"/>
  <c r="Y157" i="2"/>
  <c r="AA157" i="2"/>
  <c r="E158" i="2"/>
  <c r="F158" i="2"/>
  <c r="L156" i="2" l="1"/>
  <c r="T156" i="2"/>
  <c r="I157" i="2"/>
  <c r="R157" i="2"/>
  <c r="AC156" i="2" s="1"/>
  <c r="S157" i="2"/>
  <c r="P157" i="2" s="1"/>
  <c r="H157" i="2"/>
  <c r="G158" i="2"/>
  <c r="N156" i="2"/>
  <c r="O156" i="2" s="1"/>
  <c r="M156" i="2"/>
  <c r="Q156" i="2"/>
  <c r="J157" i="2"/>
  <c r="A160" i="2"/>
  <c r="B159" i="2"/>
  <c r="K157" i="2"/>
  <c r="AA158" i="2"/>
  <c r="Y158" i="2"/>
  <c r="AB158" i="2"/>
  <c r="U158" i="2"/>
  <c r="X158" i="2"/>
  <c r="Z158" i="2"/>
  <c r="C159" i="2"/>
  <c r="V158" i="2"/>
  <c r="W158" i="2"/>
  <c r="E159" i="2"/>
  <c r="F159" i="2"/>
  <c r="L157" i="2" l="1"/>
  <c r="T157" i="2"/>
  <c r="I158" i="2"/>
  <c r="R158" i="2"/>
  <c r="AC157" i="2" s="1"/>
  <c r="S158" i="2"/>
  <c r="P158" i="2" s="1"/>
  <c r="H158" i="2"/>
  <c r="G159" i="2"/>
  <c r="Q157" i="2"/>
  <c r="M157" i="2"/>
  <c r="N157" i="2"/>
  <c r="O157" i="2" s="1"/>
  <c r="J158" i="2"/>
  <c r="A161" i="2"/>
  <c r="B160" i="2"/>
  <c r="D159" i="2"/>
  <c r="Y159" i="2"/>
  <c r="X159" i="2"/>
  <c r="D160" i="2"/>
  <c r="AB159" i="2"/>
  <c r="AA159" i="2"/>
  <c r="V159" i="2"/>
  <c r="Z159" i="2"/>
  <c r="W159" i="2"/>
  <c r="C160" i="2"/>
  <c r="K158" i="2"/>
  <c r="U159" i="2"/>
  <c r="E160" i="2"/>
  <c r="F160" i="2"/>
  <c r="L158" i="2" l="1"/>
  <c r="T158" i="2"/>
  <c r="I159" i="2"/>
  <c r="R159" i="2"/>
  <c r="AC158" i="2" s="1"/>
  <c r="S159" i="2"/>
  <c r="P159" i="2" s="1"/>
  <c r="H159" i="2"/>
  <c r="G160" i="2"/>
  <c r="Q158" i="2"/>
  <c r="N158" i="2"/>
  <c r="O158" i="2" s="1"/>
  <c r="M158" i="2"/>
  <c r="J159" i="2"/>
  <c r="A162" i="2"/>
  <c r="B161" i="2"/>
  <c r="Y160" i="2"/>
  <c r="Z160" i="2"/>
  <c r="V160" i="2"/>
  <c r="U160" i="2"/>
  <c r="C161" i="2"/>
  <c r="D161" i="2"/>
  <c r="AB160" i="2"/>
  <c r="W160" i="2"/>
  <c r="X160" i="2"/>
  <c r="K159" i="2"/>
  <c r="AA160" i="2"/>
  <c r="E161" i="2"/>
  <c r="F161" i="2"/>
  <c r="L159" i="2" l="1"/>
  <c r="T159" i="2"/>
  <c r="R160" i="2"/>
  <c r="AC159" i="2" s="1"/>
  <c r="I160" i="2"/>
  <c r="S160" i="2"/>
  <c r="P160" i="2" s="1"/>
  <c r="H160" i="2"/>
  <c r="G161" i="2"/>
  <c r="N159" i="2"/>
  <c r="O159" i="2" s="1"/>
  <c r="M159" i="2"/>
  <c r="Q159" i="2"/>
  <c r="J160" i="2"/>
  <c r="A163" i="2"/>
  <c r="B162" i="2"/>
  <c r="AA161" i="2"/>
  <c r="Y161" i="2"/>
  <c r="K160" i="2"/>
  <c r="V161" i="2"/>
  <c r="X161" i="2"/>
  <c r="C162" i="2"/>
  <c r="U161" i="2"/>
  <c r="AB161" i="2"/>
  <c r="D162" i="2"/>
  <c r="Z161" i="2"/>
  <c r="W161" i="2"/>
  <c r="E162" i="2"/>
  <c r="F162" i="2"/>
  <c r="L160" i="2" l="1"/>
  <c r="T160" i="2"/>
  <c r="I161" i="2"/>
  <c r="R161" i="2"/>
  <c r="AC160" i="2" s="1"/>
  <c r="S161" i="2"/>
  <c r="P161" i="2" s="1"/>
  <c r="H161" i="2"/>
  <c r="G162" i="2"/>
  <c r="Q160" i="2"/>
  <c r="N160" i="2"/>
  <c r="O160" i="2" s="1"/>
  <c r="M160" i="2"/>
  <c r="J161" i="2"/>
  <c r="A164" i="2"/>
  <c r="B163" i="2"/>
  <c r="U162" i="2"/>
  <c r="D163" i="2"/>
  <c r="K161" i="2"/>
  <c r="AA162" i="2"/>
  <c r="Z162" i="2"/>
  <c r="Y162" i="2"/>
  <c r="C163" i="2"/>
  <c r="W162" i="2"/>
  <c r="AB162" i="2"/>
  <c r="X162" i="2"/>
  <c r="V162" i="2"/>
  <c r="E163" i="2"/>
  <c r="F163" i="2"/>
  <c r="L161" i="2" l="1"/>
  <c r="T161" i="2"/>
  <c r="I162" i="2"/>
  <c r="R162" i="2"/>
  <c r="AC161" i="2" s="1"/>
  <c r="S162" i="2"/>
  <c r="P162" i="2" s="1"/>
  <c r="H162" i="2"/>
  <c r="G163" i="2"/>
  <c r="N161" i="2"/>
  <c r="O161" i="2" s="1"/>
  <c r="Q161" i="2"/>
  <c r="M161" i="2"/>
  <c r="J162" i="2"/>
  <c r="A165" i="2"/>
  <c r="B164" i="2"/>
  <c r="X163" i="2"/>
  <c r="K162" i="2"/>
  <c r="U163" i="2"/>
  <c r="AB163" i="2"/>
  <c r="W163" i="2"/>
  <c r="AA163" i="2"/>
  <c r="Y163" i="2"/>
  <c r="D164" i="2"/>
  <c r="Z163" i="2"/>
  <c r="C164" i="2"/>
  <c r="V163" i="2"/>
  <c r="E164" i="2"/>
  <c r="F164" i="2"/>
  <c r="L162" i="2" l="1"/>
  <c r="T162" i="2"/>
  <c r="I163" i="2"/>
  <c r="R163" i="2"/>
  <c r="AC162" i="2" s="1"/>
  <c r="S163" i="2"/>
  <c r="P163" i="2" s="1"/>
  <c r="H163" i="2"/>
  <c r="G164" i="2"/>
  <c r="N162" i="2"/>
  <c r="O162" i="2" s="1"/>
  <c r="M162" i="2"/>
  <c r="Q162" i="2"/>
  <c r="J163" i="2"/>
  <c r="A166" i="2"/>
  <c r="B165" i="2"/>
  <c r="AA164" i="2"/>
  <c r="D165" i="2"/>
  <c r="U164" i="2"/>
  <c r="AB164" i="2"/>
  <c r="Y164" i="2"/>
  <c r="C165" i="2"/>
  <c r="V164" i="2"/>
  <c r="X164" i="2"/>
  <c r="K163" i="2"/>
  <c r="W164" i="2"/>
  <c r="Z164" i="2"/>
  <c r="E165" i="2"/>
  <c r="F165" i="2"/>
  <c r="L163" i="2" l="1"/>
  <c r="T163" i="2"/>
  <c r="R164" i="2"/>
  <c r="AC163" i="2" s="1"/>
  <c r="I164" i="2"/>
  <c r="S164" i="2"/>
  <c r="P164" i="2" s="1"/>
  <c r="H164" i="2"/>
  <c r="G165" i="2"/>
  <c r="Q163" i="2"/>
  <c r="N163" i="2"/>
  <c r="O163" i="2" s="1"/>
  <c r="M163" i="2"/>
  <c r="J164" i="2"/>
  <c r="A167" i="2"/>
  <c r="B166" i="2"/>
  <c r="D166" i="2"/>
  <c r="V165" i="2"/>
  <c r="K164" i="2"/>
  <c r="AA165" i="2"/>
  <c r="Z165" i="2"/>
  <c r="U165" i="2"/>
  <c r="W165" i="2"/>
  <c r="C166" i="2"/>
  <c r="AB165" i="2"/>
  <c r="X165" i="2"/>
  <c r="Y165" i="2"/>
  <c r="E166" i="2"/>
  <c r="F166" i="2"/>
  <c r="L164" i="2" l="1"/>
  <c r="T164" i="2"/>
  <c r="I165" i="2"/>
  <c r="R165" i="2"/>
  <c r="AC164" i="2" s="1"/>
  <c r="S165" i="2"/>
  <c r="P165" i="2" s="1"/>
  <c r="H165" i="2"/>
  <c r="G166" i="2"/>
  <c r="N164" i="2"/>
  <c r="O164" i="2" s="1"/>
  <c r="M164" i="2"/>
  <c r="Q164" i="2"/>
  <c r="J165" i="2"/>
  <c r="A168" i="2"/>
  <c r="B167" i="2"/>
  <c r="C167" i="2"/>
  <c r="AB166" i="2"/>
  <c r="Z166" i="2"/>
  <c r="K165" i="2"/>
  <c r="U166" i="2"/>
  <c r="V166" i="2"/>
  <c r="W166" i="2"/>
  <c r="AA166" i="2"/>
  <c r="D167" i="2"/>
  <c r="Y166" i="2"/>
  <c r="X166" i="2"/>
  <c r="E167" i="2"/>
  <c r="F167" i="2"/>
  <c r="L165" i="2" l="1"/>
  <c r="T165" i="2"/>
  <c r="I166" i="2"/>
  <c r="R166" i="2"/>
  <c r="AC165" i="2" s="1"/>
  <c r="S166" i="2"/>
  <c r="P166" i="2" s="1"/>
  <c r="H166" i="2"/>
  <c r="G167" i="2"/>
  <c r="N165" i="2"/>
  <c r="O165" i="2" s="1"/>
  <c r="Q165" i="2"/>
  <c r="M165" i="2"/>
  <c r="J166" i="2"/>
  <c r="A169" i="2"/>
  <c r="B168" i="2"/>
  <c r="C168" i="2"/>
  <c r="V167" i="2"/>
  <c r="X167" i="2"/>
  <c r="Z167" i="2"/>
  <c r="D168" i="2"/>
  <c r="AB167" i="2"/>
  <c r="AA167" i="2"/>
  <c r="U167" i="2"/>
  <c r="K166" i="2"/>
  <c r="W167" i="2"/>
  <c r="Y167" i="2"/>
  <c r="E168" i="2"/>
  <c r="F168" i="2"/>
  <c r="L166" i="2" l="1"/>
  <c r="T166" i="2"/>
  <c r="I167" i="2"/>
  <c r="R167" i="2"/>
  <c r="AC166" i="2" s="1"/>
  <c r="S167" i="2"/>
  <c r="P167" i="2" s="1"/>
  <c r="H167" i="2"/>
  <c r="G168" i="2"/>
  <c r="Q166" i="2"/>
  <c r="M166" i="2"/>
  <c r="N166" i="2"/>
  <c r="O166" i="2" s="1"/>
  <c r="J167" i="2"/>
  <c r="A170" i="2"/>
  <c r="B169" i="2"/>
  <c r="C169" i="2"/>
  <c r="AB168" i="2"/>
  <c r="Z168" i="2"/>
  <c r="W168" i="2"/>
  <c r="D169" i="2"/>
  <c r="X168" i="2"/>
  <c r="U168" i="2"/>
  <c r="Y168" i="2"/>
  <c r="K167" i="2"/>
  <c r="V168" i="2"/>
  <c r="AA168" i="2"/>
  <c r="E169" i="2"/>
  <c r="F169" i="2"/>
  <c r="L167" i="2" l="1"/>
  <c r="T167" i="2"/>
  <c r="I168" i="2"/>
  <c r="R168" i="2"/>
  <c r="AC167" i="2" s="1"/>
  <c r="S168" i="2"/>
  <c r="P168" i="2" s="1"/>
  <c r="H168" i="2"/>
  <c r="G169" i="2"/>
  <c r="N167" i="2"/>
  <c r="O167" i="2" s="1"/>
  <c r="M167" i="2"/>
  <c r="Q167" i="2"/>
  <c r="J168" i="2"/>
  <c r="A171" i="2"/>
  <c r="B170" i="2"/>
  <c r="D170" i="2"/>
  <c r="AA169" i="2"/>
  <c r="W169" i="2"/>
  <c r="Z169" i="2"/>
  <c r="X169" i="2"/>
  <c r="V169" i="2"/>
  <c r="Y169" i="2"/>
  <c r="AB169" i="2"/>
  <c r="K168" i="2"/>
  <c r="U169" i="2"/>
  <c r="C170" i="2"/>
  <c r="E170" i="2"/>
  <c r="F170" i="2"/>
  <c r="L168" i="2" l="1"/>
  <c r="T168" i="2"/>
  <c r="I169" i="2"/>
  <c r="R169" i="2"/>
  <c r="AC168" i="2" s="1"/>
  <c r="S169" i="2"/>
  <c r="P169" i="2" s="1"/>
  <c r="H169" i="2"/>
  <c r="G170" i="2"/>
  <c r="Q168" i="2"/>
  <c r="N168" i="2"/>
  <c r="O168" i="2" s="1"/>
  <c r="M168" i="2"/>
  <c r="J169" i="2"/>
  <c r="A172" i="2"/>
  <c r="B171" i="2"/>
  <c r="AA170" i="2"/>
  <c r="X170" i="2"/>
  <c r="C171" i="2"/>
  <c r="U170" i="2"/>
  <c r="Z170" i="2"/>
  <c r="Y170" i="2"/>
  <c r="AB170" i="2"/>
  <c r="K169" i="2"/>
  <c r="W170" i="2"/>
  <c r="V170" i="2"/>
  <c r="E171" i="2"/>
  <c r="F171" i="2"/>
  <c r="L169" i="2" l="1"/>
  <c r="T169" i="2"/>
  <c r="I170" i="2"/>
  <c r="R170" i="2"/>
  <c r="AC169" i="2" s="1"/>
  <c r="S170" i="2"/>
  <c r="P170" i="2" s="1"/>
  <c r="H170" i="2"/>
  <c r="G171" i="2"/>
  <c r="M169" i="2"/>
  <c r="Q169" i="2"/>
  <c r="N169" i="2"/>
  <c r="O169" i="2" s="1"/>
  <c r="J170" i="2"/>
  <c r="A173" i="2"/>
  <c r="B172" i="2"/>
  <c r="D171" i="2"/>
  <c r="Z171" i="2"/>
  <c r="K170" i="2"/>
  <c r="AA171" i="2"/>
  <c r="Y171" i="2"/>
  <c r="AB171" i="2"/>
  <c r="C172" i="2"/>
  <c r="V171" i="2"/>
  <c r="U171" i="2"/>
  <c r="X171" i="2"/>
  <c r="W171" i="2"/>
  <c r="E172" i="2"/>
  <c r="F172" i="2"/>
  <c r="L170" i="2" l="1"/>
  <c r="T170" i="2"/>
  <c r="I171" i="2"/>
  <c r="R171" i="2"/>
  <c r="AC170" i="2" s="1"/>
  <c r="S171" i="2"/>
  <c r="P171" i="2" s="1"/>
  <c r="H171" i="2"/>
  <c r="G172" i="2"/>
  <c r="M170" i="2"/>
  <c r="N170" i="2"/>
  <c r="O170" i="2" s="1"/>
  <c r="Q170" i="2"/>
  <c r="J171" i="2"/>
  <c r="A174" i="2"/>
  <c r="B173" i="2"/>
  <c r="D172" i="2"/>
  <c r="AB172" i="2"/>
  <c r="C173" i="2"/>
  <c r="V172" i="2"/>
  <c r="K171" i="2"/>
  <c r="U172" i="2"/>
  <c r="X172" i="2"/>
  <c r="Z172" i="2"/>
  <c r="Y172" i="2"/>
  <c r="AA172" i="2"/>
  <c r="W172" i="2"/>
  <c r="E173" i="2"/>
  <c r="F173" i="2"/>
  <c r="L171" i="2" l="1"/>
  <c r="T171" i="2"/>
  <c r="I172" i="2"/>
  <c r="R172" i="2"/>
  <c r="AC171" i="2" s="1"/>
  <c r="S172" i="2"/>
  <c r="P172" i="2" s="1"/>
  <c r="H172" i="2"/>
  <c r="G173" i="2"/>
  <c r="Q171" i="2"/>
  <c r="M171" i="2"/>
  <c r="N171" i="2"/>
  <c r="O171" i="2" s="1"/>
  <c r="J172" i="2"/>
  <c r="A175" i="2"/>
  <c r="B174" i="2"/>
  <c r="D173" i="2"/>
  <c r="Z173" i="2"/>
  <c r="D174" i="2"/>
  <c r="V173" i="2"/>
  <c r="Y173" i="2"/>
  <c r="AA173" i="2"/>
  <c r="AB173" i="2"/>
  <c r="W173" i="2"/>
  <c r="C174" i="2"/>
  <c r="X173" i="2"/>
  <c r="K172" i="2"/>
  <c r="U173" i="2"/>
  <c r="E174" i="2"/>
  <c r="F174" i="2"/>
  <c r="L172" i="2" l="1"/>
  <c r="T172" i="2"/>
  <c r="I173" i="2"/>
  <c r="R173" i="2"/>
  <c r="AC172" i="2" s="1"/>
  <c r="S173" i="2"/>
  <c r="P173" i="2" s="1"/>
  <c r="H173" i="2"/>
  <c r="G174" i="2"/>
  <c r="N172" i="2"/>
  <c r="O172" i="2" s="1"/>
  <c r="M172" i="2"/>
  <c r="Q172" i="2"/>
  <c r="J173" i="2"/>
  <c r="A176" i="2"/>
  <c r="B175" i="2"/>
  <c r="W174" i="2"/>
  <c r="K173" i="2"/>
  <c r="AB174" i="2"/>
  <c r="Z174" i="2"/>
  <c r="Y174" i="2"/>
  <c r="U174" i="2"/>
  <c r="X174" i="2"/>
  <c r="AA174" i="2"/>
  <c r="V174" i="2"/>
  <c r="C175" i="2"/>
  <c r="E175" i="2"/>
  <c r="F175" i="2"/>
  <c r="L173" i="2" l="1"/>
  <c r="T173" i="2"/>
  <c r="I174" i="2"/>
  <c r="R174" i="2"/>
  <c r="AC173" i="2" s="1"/>
  <c r="S174" i="2"/>
  <c r="P174" i="2" s="1"/>
  <c r="H174" i="2"/>
  <c r="G175" i="2"/>
  <c r="Q173" i="2"/>
  <c r="M173" i="2"/>
  <c r="N173" i="2"/>
  <c r="O173" i="2" s="1"/>
  <c r="J174" i="2"/>
  <c r="A177" i="2"/>
  <c r="B176" i="2"/>
  <c r="D175" i="2"/>
  <c r="X175" i="2"/>
  <c r="Z175" i="2"/>
  <c r="AA175" i="2"/>
  <c r="AB175" i="2"/>
  <c r="U175" i="2"/>
  <c r="Y175" i="2"/>
  <c r="D176" i="2"/>
  <c r="C176" i="2"/>
  <c r="K174" i="2"/>
  <c r="W175" i="2"/>
  <c r="V175" i="2"/>
  <c r="E176" i="2"/>
  <c r="F176" i="2"/>
  <c r="L174" i="2" l="1"/>
  <c r="T174" i="2"/>
  <c r="I175" i="2"/>
  <c r="R175" i="2"/>
  <c r="AC174" i="2" s="1"/>
  <c r="S175" i="2"/>
  <c r="P175" i="2" s="1"/>
  <c r="H175" i="2"/>
  <c r="G176" i="2"/>
  <c r="Q174" i="2"/>
  <c r="N174" i="2"/>
  <c r="O174" i="2" s="1"/>
  <c r="M174" i="2"/>
  <c r="J175" i="2"/>
  <c r="A178" i="2"/>
  <c r="B177" i="2"/>
  <c r="D177" i="2"/>
  <c r="K175" i="2"/>
  <c r="W176" i="2"/>
  <c r="AB176" i="2"/>
  <c r="Y176" i="2"/>
  <c r="U176" i="2"/>
  <c r="Z176" i="2"/>
  <c r="C177" i="2"/>
  <c r="AA176" i="2"/>
  <c r="V176" i="2"/>
  <c r="X176" i="2"/>
  <c r="E177" i="2"/>
  <c r="F177" i="2"/>
  <c r="L175" i="2" l="1"/>
  <c r="T175" i="2"/>
  <c r="I176" i="2"/>
  <c r="R176" i="2"/>
  <c r="AC175" i="2" s="1"/>
  <c r="S176" i="2"/>
  <c r="P176" i="2" s="1"/>
  <c r="H176" i="2"/>
  <c r="G177" i="2"/>
  <c r="N175" i="2"/>
  <c r="O175" i="2" s="1"/>
  <c r="M175" i="2"/>
  <c r="Q175" i="2"/>
  <c r="J176" i="2"/>
  <c r="A179" i="2"/>
  <c r="B178" i="2"/>
  <c r="Y177" i="2"/>
  <c r="X177" i="2"/>
  <c r="V177" i="2"/>
  <c r="C178" i="2"/>
  <c r="Z177" i="2"/>
  <c r="U177" i="2"/>
  <c r="AA177" i="2"/>
  <c r="K176" i="2"/>
  <c r="AB177" i="2"/>
  <c r="D178" i="2"/>
  <c r="W177" i="2"/>
  <c r="E178" i="2"/>
  <c r="F178" i="2"/>
  <c r="L176" i="2" l="1"/>
  <c r="T176" i="2"/>
  <c r="I177" i="2"/>
  <c r="R177" i="2"/>
  <c r="AC176" i="2" s="1"/>
  <c r="S177" i="2"/>
  <c r="P177" i="2" s="1"/>
  <c r="H177" i="2"/>
  <c r="G178" i="2"/>
  <c r="Q176" i="2"/>
  <c r="N176" i="2"/>
  <c r="O176" i="2" s="1"/>
  <c r="M176" i="2"/>
  <c r="J177" i="2"/>
  <c r="A180" i="2"/>
  <c r="B179" i="2"/>
  <c r="W178" i="2"/>
  <c r="Y178" i="2"/>
  <c r="D179" i="2"/>
  <c r="U178" i="2"/>
  <c r="C179" i="2"/>
  <c r="V178" i="2"/>
  <c r="X178" i="2"/>
  <c r="AB178" i="2"/>
  <c r="AA178" i="2"/>
  <c r="Z178" i="2"/>
  <c r="K177" i="2"/>
  <c r="E179" i="2"/>
  <c r="F179" i="2"/>
  <c r="L177" i="2" l="1"/>
  <c r="T177" i="2"/>
  <c r="I178" i="2"/>
  <c r="R178" i="2"/>
  <c r="AC177" i="2" s="1"/>
  <c r="S178" i="2"/>
  <c r="P178" i="2" s="1"/>
  <c r="H178" i="2"/>
  <c r="G179" i="2"/>
  <c r="N177" i="2"/>
  <c r="O177" i="2" s="1"/>
  <c r="Q177" i="2"/>
  <c r="M177" i="2"/>
  <c r="J178" i="2"/>
  <c r="A181" i="2"/>
  <c r="B180" i="2"/>
  <c r="C180" i="2"/>
  <c r="Z179" i="2"/>
  <c r="W179" i="2"/>
  <c r="X179" i="2"/>
  <c r="Y179" i="2"/>
  <c r="V179" i="2"/>
  <c r="D180" i="2"/>
  <c r="AB179" i="2"/>
  <c r="U179" i="2"/>
  <c r="K178" i="2"/>
  <c r="AA179" i="2"/>
  <c r="E180" i="2"/>
  <c r="F180" i="2"/>
  <c r="L178" i="2" l="1"/>
  <c r="T178" i="2"/>
  <c r="I179" i="2"/>
  <c r="R179" i="2"/>
  <c r="AC178" i="2" s="1"/>
  <c r="S179" i="2"/>
  <c r="P179" i="2" s="1"/>
  <c r="H179" i="2"/>
  <c r="G180" i="2"/>
  <c r="N178" i="2"/>
  <c r="O178" i="2" s="1"/>
  <c r="M178" i="2"/>
  <c r="Q178" i="2"/>
  <c r="J179" i="2"/>
  <c r="A182" i="2"/>
  <c r="B181" i="2"/>
  <c r="C181" i="2"/>
  <c r="Z180" i="2"/>
  <c r="U180" i="2"/>
  <c r="W180" i="2"/>
  <c r="AA180" i="2"/>
  <c r="X180" i="2"/>
  <c r="Y180" i="2"/>
  <c r="AB180" i="2"/>
  <c r="D181" i="2"/>
  <c r="K179" i="2"/>
  <c r="V180" i="2"/>
  <c r="E181" i="2"/>
  <c r="F181" i="2"/>
  <c r="L179" i="2" l="1"/>
  <c r="T179" i="2"/>
  <c r="I180" i="2"/>
  <c r="R180" i="2"/>
  <c r="AC179" i="2" s="1"/>
  <c r="S180" i="2"/>
  <c r="P180" i="2" s="1"/>
  <c r="H180" i="2"/>
  <c r="G181" i="2"/>
  <c r="Q179" i="2"/>
  <c r="N179" i="2"/>
  <c r="O179" i="2" s="1"/>
  <c r="M179" i="2"/>
  <c r="J180" i="2"/>
  <c r="A183" i="2"/>
  <c r="B182" i="2"/>
  <c r="C182" i="2"/>
  <c r="Y181" i="2"/>
  <c r="V181" i="2"/>
  <c r="Z181" i="2"/>
  <c r="U181" i="2"/>
  <c r="AB181" i="2"/>
  <c r="X181" i="2"/>
  <c r="W181" i="2"/>
  <c r="K180" i="2"/>
  <c r="AA181" i="2"/>
  <c r="E182" i="2"/>
  <c r="F182" i="2"/>
  <c r="L180" i="2" l="1"/>
  <c r="T180" i="2"/>
  <c r="I181" i="2"/>
  <c r="R181" i="2"/>
  <c r="AC180" i="2" s="1"/>
  <c r="S181" i="2"/>
  <c r="P181" i="2" s="1"/>
  <c r="H181" i="2"/>
  <c r="G182" i="2"/>
  <c r="N180" i="2"/>
  <c r="O180" i="2" s="1"/>
  <c r="M180" i="2"/>
  <c r="Q180" i="2"/>
  <c r="J181" i="2"/>
  <c r="A184" i="2"/>
  <c r="B183" i="2"/>
  <c r="D182" i="2"/>
  <c r="U182" i="2"/>
  <c r="AB182" i="2"/>
  <c r="AA182" i="2"/>
  <c r="C183" i="2"/>
  <c r="Z182" i="2"/>
  <c r="V182" i="2"/>
  <c r="Y182" i="2"/>
  <c r="K181" i="2"/>
  <c r="D183" i="2"/>
  <c r="X182" i="2"/>
  <c r="W182" i="2"/>
  <c r="E183" i="2"/>
  <c r="F183" i="2"/>
  <c r="L181" i="2" l="1"/>
  <c r="T181" i="2"/>
  <c r="I182" i="2"/>
  <c r="R182" i="2"/>
  <c r="AC181" i="2" s="1"/>
  <c r="S182" i="2"/>
  <c r="P182" i="2" s="1"/>
  <c r="H182" i="2"/>
  <c r="G183" i="2"/>
  <c r="N181" i="2"/>
  <c r="O181" i="2" s="1"/>
  <c r="M181" i="2"/>
  <c r="Q181" i="2"/>
  <c r="J182" i="2"/>
  <c r="A185" i="2"/>
  <c r="B184" i="2"/>
  <c r="D184" i="2"/>
  <c r="V183" i="2"/>
  <c r="K182" i="2"/>
  <c r="Y183" i="2"/>
  <c r="AB183" i="2"/>
  <c r="AA183" i="2"/>
  <c r="C184" i="2"/>
  <c r="X183" i="2"/>
  <c r="U183" i="2"/>
  <c r="Z183" i="2"/>
  <c r="W183" i="2"/>
  <c r="E184" i="2"/>
  <c r="F184" i="2"/>
  <c r="L182" i="2" l="1"/>
  <c r="T182" i="2"/>
  <c r="I183" i="2"/>
  <c r="R183" i="2"/>
  <c r="AC182" i="2" s="1"/>
  <c r="S183" i="2"/>
  <c r="P183" i="2" s="1"/>
  <c r="H183" i="2"/>
  <c r="G184" i="2"/>
  <c r="Q182" i="2"/>
  <c r="M182" i="2"/>
  <c r="N182" i="2"/>
  <c r="O182" i="2" s="1"/>
  <c r="J183" i="2"/>
  <c r="A186" i="2"/>
  <c r="B185" i="2"/>
  <c r="AB184" i="2"/>
  <c r="K183" i="2"/>
  <c r="D185" i="2"/>
  <c r="AA184" i="2"/>
  <c r="U184" i="2"/>
  <c r="Z184" i="2"/>
  <c r="C185" i="2"/>
  <c r="X184" i="2"/>
  <c r="Y184" i="2"/>
  <c r="W184" i="2"/>
  <c r="V184" i="2"/>
  <c r="E185" i="2"/>
  <c r="F185" i="2"/>
  <c r="L183" i="2" l="1"/>
  <c r="T183" i="2"/>
  <c r="I184" i="2"/>
  <c r="R184" i="2"/>
  <c r="AC183" i="2" s="1"/>
  <c r="S184" i="2"/>
  <c r="P184" i="2" s="1"/>
  <c r="H184" i="2"/>
  <c r="G185" i="2"/>
  <c r="N183" i="2"/>
  <c r="O183" i="2" s="1"/>
  <c r="M183" i="2"/>
  <c r="Q183" i="2"/>
  <c r="J184" i="2"/>
  <c r="A187" i="2"/>
  <c r="B186" i="2"/>
  <c r="AA185" i="2"/>
  <c r="V185" i="2"/>
  <c r="K184" i="2"/>
  <c r="AB185" i="2"/>
  <c r="D186" i="2"/>
  <c r="W185" i="2"/>
  <c r="C186" i="2"/>
  <c r="U185" i="2"/>
  <c r="Z185" i="2"/>
  <c r="X185" i="2"/>
  <c r="Y185" i="2"/>
  <c r="E186" i="2"/>
  <c r="F186" i="2"/>
  <c r="L184" i="2" l="1"/>
  <c r="T184" i="2"/>
  <c r="I185" i="2"/>
  <c r="R185" i="2"/>
  <c r="AC184" i="2" s="1"/>
  <c r="S185" i="2"/>
  <c r="P185" i="2" s="1"/>
  <c r="H185" i="2"/>
  <c r="G186" i="2"/>
  <c r="Q184" i="2"/>
  <c r="N184" i="2"/>
  <c r="O184" i="2" s="1"/>
  <c r="M184" i="2"/>
  <c r="J185" i="2"/>
  <c r="A188" i="2"/>
  <c r="B187" i="2"/>
  <c r="C187" i="2"/>
  <c r="W186" i="2"/>
  <c r="Z186" i="2"/>
  <c r="AB186" i="2"/>
  <c r="V186" i="2"/>
  <c r="X186" i="2"/>
  <c r="D187" i="2"/>
  <c r="U186" i="2"/>
  <c r="AA186" i="2"/>
  <c r="K185" i="2"/>
  <c r="Y186" i="2"/>
  <c r="E187" i="2"/>
  <c r="F187" i="2"/>
  <c r="L185" i="2" l="1"/>
  <c r="T185" i="2"/>
  <c r="I186" i="2"/>
  <c r="R186" i="2"/>
  <c r="AC185" i="2" s="1"/>
  <c r="S186" i="2"/>
  <c r="P186" i="2" s="1"/>
  <c r="H186" i="2"/>
  <c r="G187" i="2"/>
  <c r="M185" i="2"/>
  <c r="N185" i="2"/>
  <c r="O185" i="2" s="1"/>
  <c r="Q185" i="2"/>
  <c r="J186" i="2"/>
  <c r="A189" i="2"/>
  <c r="B188" i="2"/>
  <c r="U187" i="2"/>
  <c r="Z187" i="2"/>
  <c r="V187" i="2"/>
  <c r="Y187" i="2"/>
  <c r="W187" i="2"/>
  <c r="C188" i="2"/>
  <c r="X187" i="2"/>
  <c r="K186" i="2"/>
  <c r="AB187" i="2"/>
  <c r="AA187" i="2"/>
  <c r="E188" i="2"/>
  <c r="F188" i="2"/>
  <c r="L186" i="2" l="1"/>
  <c r="T186" i="2"/>
  <c r="I187" i="2"/>
  <c r="R187" i="2"/>
  <c r="AC186" i="2" s="1"/>
  <c r="S187" i="2"/>
  <c r="P187" i="2" s="1"/>
  <c r="H187" i="2"/>
  <c r="G188" i="2"/>
  <c r="M186" i="2"/>
  <c r="N186" i="2"/>
  <c r="O186" i="2" s="1"/>
  <c r="Q186" i="2"/>
  <c r="J187" i="2"/>
  <c r="A190" i="2"/>
  <c r="B189" i="2"/>
  <c r="D188" i="2"/>
  <c r="U188" i="2"/>
  <c r="D189" i="2"/>
  <c r="AB188" i="2"/>
  <c r="K187" i="2"/>
  <c r="W188" i="2"/>
  <c r="Z188" i="2"/>
  <c r="X188" i="2"/>
  <c r="V188" i="2"/>
  <c r="C189" i="2"/>
  <c r="Y188" i="2"/>
  <c r="AA188" i="2"/>
  <c r="E189" i="2"/>
  <c r="F189" i="2"/>
  <c r="L187" i="2" l="1"/>
  <c r="T187" i="2"/>
  <c r="I188" i="2"/>
  <c r="R188" i="2"/>
  <c r="AC187" i="2" s="1"/>
  <c r="S188" i="2"/>
  <c r="P188" i="2" s="1"/>
  <c r="H188" i="2"/>
  <c r="G189" i="2"/>
  <c r="Q187" i="2"/>
  <c r="M187" i="2"/>
  <c r="N187" i="2"/>
  <c r="O187" i="2" s="1"/>
  <c r="J188" i="2"/>
  <c r="A191" i="2"/>
  <c r="B190" i="2"/>
  <c r="W189" i="2"/>
  <c r="X189" i="2"/>
  <c r="V189" i="2"/>
  <c r="D190" i="2"/>
  <c r="AA189" i="2"/>
  <c r="U189" i="2"/>
  <c r="Y189" i="2"/>
  <c r="AB189" i="2"/>
  <c r="K188" i="2"/>
  <c r="C190" i="2"/>
  <c r="Z189" i="2"/>
  <c r="E190" i="2"/>
  <c r="F190" i="2"/>
  <c r="L188" i="2" l="1"/>
  <c r="T188" i="2"/>
  <c r="I189" i="2"/>
  <c r="R189" i="2"/>
  <c r="AC188" i="2" s="1"/>
  <c r="S189" i="2"/>
  <c r="P189" i="2" s="1"/>
  <c r="H189" i="2"/>
  <c r="G190" i="2"/>
  <c r="N188" i="2"/>
  <c r="O188" i="2" s="1"/>
  <c r="M188" i="2"/>
  <c r="Q188" i="2"/>
  <c r="J189" i="2"/>
  <c r="A192" i="2"/>
  <c r="B191" i="2"/>
  <c r="Y190" i="2"/>
  <c r="K189" i="2"/>
  <c r="X190" i="2"/>
  <c r="U190" i="2"/>
  <c r="AB190" i="2"/>
  <c r="C191" i="2"/>
  <c r="Z190" i="2"/>
  <c r="V190" i="2"/>
  <c r="D191" i="2"/>
  <c r="AA190" i="2"/>
  <c r="W190" i="2"/>
  <c r="E191" i="2"/>
  <c r="F191" i="2"/>
  <c r="L189" i="2" l="1"/>
  <c r="T189" i="2"/>
  <c r="I190" i="2"/>
  <c r="R190" i="2"/>
  <c r="AC189" i="2" s="1"/>
  <c r="S190" i="2"/>
  <c r="P190" i="2" s="1"/>
  <c r="H190" i="2"/>
  <c r="G191" i="2"/>
  <c r="Q189" i="2"/>
  <c r="M189" i="2"/>
  <c r="N189" i="2"/>
  <c r="O189" i="2" s="1"/>
  <c r="J190" i="2"/>
  <c r="A193" i="2"/>
  <c r="B192" i="2"/>
  <c r="Y191" i="2"/>
  <c r="C192" i="2"/>
  <c r="V191" i="2"/>
  <c r="Z191" i="2"/>
  <c r="AA191" i="2"/>
  <c r="X191" i="2"/>
  <c r="D192" i="2"/>
  <c r="AB191" i="2"/>
  <c r="W191" i="2"/>
  <c r="U191" i="2"/>
  <c r="K190" i="2"/>
  <c r="E192" i="2"/>
  <c r="F192" i="2"/>
  <c r="L190" i="2" l="1"/>
  <c r="T190" i="2"/>
  <c r="I191" i="2"/>
  <c r="R191" i="2"/>
  <c r="AC190" i="2" s="1"/>
  <c r="S191" i="2"/>
  <c r="P191" i="2" s="1"/>
  <c r="H191" i="2"/>
  <c r="G192" i="2"/>
  <c r="Q190" i="2"/>
  <c r="N190" i="2"/>
  <c r="O190" i="2" s="1"/>
  <c r="M190" i="2"/>
  <c r="J191" i="2"/>
  <c r="A194" i="2"/>
  <c r="B193" i="2"/>
  <c r="AB192" i="2"/>
  <c r="U192" i="2"/>
  <c r="D193" i="2"/>
  <c r="W192" i="2"/>
  <c r="C193" i="2"/>
  <c r="AA192" i="2"/>
  <c r="Y192" i="2"/>
  <c r="K191" i="2"/>
  <c r="Z192" i="2"/>
  <c r="V192" i="2"/>
  <c r="X192" i="2"/>
  <c r="E193" i="2"/>
  <c r="F193" i="2"/>
  <c r="L191" i="2" l="1"/>
  <c r="T191" i="2"/>
  <c r="I192" i="2"/>
  <c r="R192" i="2"/>
  <c r="AC191" i="2" s="1"/>
  <c r="S192" i="2"/>
  <c r="P192" i="2" s="1"/>
  <c r="H192" i="2"/>
  <c r="G193" i="2"/>
  <c r="N191" i="2"/>
  <c r="O191" i="2" s="1"/>
  <c r="M191" i="2"/>
  <c r="Q191" i="2"/>
  <c r="J192" i="2"/>
  <c r="A195" i="2"/>
  <c r="B194" i="2"/>
  <c r="V193" i="2"/>
  <c r="C194" i="2"/>
  <c r="AA193" i="2"/>
  <c r="W193" i="2"/>
  <c r="Z193" i="2"/>
  <c r="AB193" i="2"/>
  <c r="U193" i="2"/>
  <c r="Y193" i="2"/>
  <c r="K192" i="2"/>
  <c r="D194" i="2"/>
  <c r="X193" i="2"/>
  <c r="E194" i="2"/>
  <c r="F194" i="2"/>
  <c r="L192" i="2" l="1"/>
  <c r="T192" i="2"/>
  <c r="I193" i="2"/>
  <c r="R193" i="2"/>
  <c r="AC192" i="2" s="1"/>
  <c r="S193" i="2"/>
  <c r="P193" i="2" s="1"/>
  <c r="H193" i="2"/>
  <c r="G194" i="2"/>
  <c r="Q192" i="2"/>
  <c r="N192" i="2"/>
  <c r="O192" i="2" s="1"/>
  <c r="M192" i="2"/>
  <c r="J193" i="2"/>
  <c r="A196" i="2"/>
  <c r="B195" i="2"/>
  <c r="Z194" i="2"/>
  <c r="D195" i="2"/>
  <c r="V194" i="2"/>
  <c r="W194" i="2"/>
  <c r="AB194" i="2"/>
  <c r="C195" i="2"/>
  <c r="X194" i="2"/>
  <c r="U194" i="2"/>
  <c r="K193" i="2"/>
  <c r="AA194" i="2"/>
  <c r="Y194" i="2"/>
  <c r="E195" i="2"/>
  <c r="F195" i="2"/>
  <c r="L193" i="2" l="1"/>
  <c r="T193" i="2"/>
  <c r="I194" i="2"/>
  <c r="R194" i="2"/>
  <c r="AC193" i="2" s="1"/>
  <c r="S194" i="2"/>
  <c r="P194" i="2" s="1"/>
  <c r="H194" i="2"/>
  <c r="G195" i="2"/>
  <c r="N193" i="2"/>
  <c r="O193" i="2" s="1"/>
  <c r="Q193" i="2"/>
  <c r="M193" i="2"/>
  <c r="J194" i="2"/>
  <c r="A197" i="2"/>
  <c r="B196" i="2"/>
  <c r="AA195" i="2"/>
  <c r="K194" i="2"/>
  <c r="U195" i="2"/>
  <c r="V195" i="2"/>
  <c r="Y195" i="2"/>
  <c r="C196" i="2"/>
  <c r="Z195" i="2"/>
  <c r="W195" i="2"/>
  <c r="D196" i="2"/>
  <c r="AB195" i="2"/>
  <c r="X195" i="2"/>
  <c r="E196" i="2"/>
  <c r="F196" i="2"/>
  <c r="L194" i="2" l="1"/>
  <c r="T194" i="2"/>
  <c r="I195" i="2"/>
  <c r="R195" i="2"/>
  <c r="AC194" i="2" s="1"/>
  <c r="S195" i="2"/>
  <c r="P195" i="2" s="1"/>
  <c r="H195" i="2"/>
  <c r="G196" i="2"/>
  <c r="N194" i="2"/>
  <c r="O194" i="2" s="1"/>
  <c r="M194" i="2"/>
  <c r="Q194" i="2"/>
  <c r="J195" i="2"/>
  <c r="A198" i="2"/>
  <c r="B197" i="2"/>
  <c r="V196" i="2"/>
  <c r="K195" i="2"/>
  <c r="U196" i="2"/>
  <c r="AA196" i="2"/>
  <c r="Y196" i="2"/>
  <c r="C197" i="2"/>
  <c r="AB196" i="2"/>
  <c r="W196" i="2"/>
  <c r="Z196" i="2"/>
  <c r="X196" i="2"/>
  <c r="E197" i="2"/>
  <c r="F197" i="2"/>
  <c r="L195" i="2" l="1"/>
  <c r="T195" i="2"/>
  <c r="I196" i="2"/>
  <c r="R196" i="2"/>
  <c r="AC195" i="2" s="1"/>
  <c r="S196" i="2"/>
  <c r="P196" i="2" s="1"/>
  <c r="H196" i="2"/>
  <c r="G197" i="2"/>
  <c r="Q195" i="2"/>
  <c r="N195" i="2"/>
  <c r="O195" i="2" s="1"/>
  <c r="M195" i="2"/>
  <c r="J196" i="2"/>
  <c r="A199" i="2"/>
  <c r="B198" i="2"/>
  <c r="D197" i="2"/>
  <c r="K196" i="2"/>
  <c r="U197" i="2"/>
  <c r="Y197" i="2"/>
  <c r="X197" i="2"/>
  <c r="C198" i="2"/>
  <c r="AB197" i="2"/>
  <c r="V197" i="2"/>
  <c r="D198" i="2"/>
  <c r="AA197" i="2"/>
  <c r="Z197" i="2"/>
  <c r="W197" i="2"/>
  <c r="E198" i="2"/>
  <c r="F198" i="2"/>
  <c r="L196" i="2" l="1"/>
  <c r="T196" i="2"/>
  <c r="I197" i="2"/>
  <c r="R197" i="2"/>
  <c r="AC196" i="2" s="1"/>
  <c r="S197" i="2"/>
  <c r="P197" i="2" s="1"/>
  <c r="H197" i="2"/>
  <c r="G198" i="2"/>
  <c r="N196" i="2"/>
  <c r="O196" i="2" s="1"/>
  <c r="M196" i="2"/>
  <c r="Q196" i="2"/>
  <c r="J197" i="2"/>
  <c r="A200" i="2"/>
  <c r="B199" i="2"/>
  <c r="W198" i="2"/>
  <c r="AB198" i="2"/>
  <c r="X198" i="2"/>
  <c r="U198" i="2"/>
  <c r="D199" i="2"/>
  <c r="Z198" i="2"/>
  <c r="C199" i="2"/>
  <c r="AA198" i="2"/>
  <c r="K197" i="2"/>
  <c r="V198" i="2"/>
  <c r="Y198" i="2"/>
  <c r="E199" i="2"/>
  <c r="F199" i="2"/>
  <c r="L197" i="2" l="1"/>
  <c r="T197" i="2"/>
  <c r="I198" i="2"/>
  <c r="R198" i="2"/>
  <c r="AC197" i="2" s="1"/>
  <c r="S198" i="2"/>
  <c r="P198" i="2" s="1"/>
  <c r="H198" i="2"/>
  <c r="G199" i="2"/>
  <c r="N197" i="2"/>
  <c r="O197" i="2" s="1"/>
  <c r="Q197" i="2"/>
  <c r="M197" i="2"/>
  <c r="J198" i="2"/>
  <c r="A201" i="2"/>
  <c r="B200" i="2"/>
  <c r="Y199" i="2"/>
  <c r="V199" i="2"/>
  <c r="X199" i="2"/>
  <c r="D200" i="2"/>
  <c r="AB199" i="2"/>
  <c r="C200" i="2"/>
  <c r="W199" i="2"/>
  <c r="AA199" i="2"/>
  <c r="U199" i="2"/>
  <c r="Z199" i="2"/>
  <c r="K198" i="2"/>
  <c r="E200" i="2"/>
  <c r="F200" i="2"/>
  <c r="L198" i="2" l="1"/>
  <c r="T198" i="2"/>
  <c r="I199" i="2"/>
  <c r="R199" i="2"/>
  <c r="AC198" i="2" s="1"/>
  <c r="S199" i="2"/>
  <c r="P199" i="2" s="1"/>
  <c r="H199" i="2"/>
  <c r="G200" i="2"/>
  <c r="Q198" i="2"/>
  <c r="M198" i="2"/>
  <c r="N198" i="2"/>
  <c r="O198" i="2" s="1"/>
  <c r="J199" i="2"/>
  <c r="A202" i="2"/>
  <c r="B201" i="2"/>
  <c r="U200" i="2"/>
  <c r="C201" i="2"/>
  <c r="AA200" i="2"/>
  <c r="V200" i="2"/>
  <c r="Z200" i="2"/>
  <c r="D201" i="2"/>
  <c r="W200" i="2"/>
  <c r="AB200" i="2"/>
  <c r="X200" i="2"/>
  <c r="Y200" i="2"/>
  <c r="K199" i="2"/>
  <c r="E201" i="2"/>
  <c r="F201" i="2"/>
  <c r="L199" i="2" l="1"/>
  <c r="T199" i="2"/>
  <c r="I200" i="2"/>
  <c r="R200" i="2"/>
  <c r="AC199" i="2" s="1"/>
  <c r="S200" i="2"/>
  <c r="P200" i="2" s="1"/>
  <c r="H200" i="2"/>
  <c r="G201" i="2"/>
  <c r="N199" i="2"/>
  <c r="O199" i="2" s="1"/>
  <c r="M199" i="2"/>
  <c r="Q199" i="2"/>
  <c r="J200" i="2"/>
  <c r="A203" i="2"/>
  <c r="B202" i="2"/>
  <c r="AB201" i="2"/>
  <c r="Y201" i="2"/>
  <c r="X201" i="2"/>
  <c r="AA201" i="2"/>
  <c r="D202" i="2"/>
  <c r="Z201" i="2"/>
  <c r="C202" i="2"/>
  <c r="W201" i="2"/>
  <c r="U201" i="2"/>
  <c r="K200" i="2"/>
  <c r="V201" i="2"/>
  <c r="E202" i="2"/>
  <c r="F202" i="2"/>
  <c r="L200" i="2" l="1"/>
  <c r="T200" i="2"/>
  <c r="I201" i="2"/>
  <c r="R201" i="2"/>
  <c r="AC200" i="2" s="1"/>
  <c r="S201" i="2"/>
  <c r="P201" i="2" s="1"/>
  <c r="H201" i="2"/>
  <c r="G202" i="2"/>
  <c r="Q200" i="2"/>
  <c r="N200" i="2"/>
  <c r="O200" i="2" s="1"/>
  <c r="M200" i="2"/>
  <c r="J201" i="2"/>
  <c r="A204" i="2"/>
  <c r="B203" i="2"/>
  <c r="D203" i="2"/>
  <c r="Y202" i="2"/>
  <c r="AA202" i="2"/>
  <c r="AB202" i="2"/>
  <c r="C203" i="2"/>
  <c r="Z202" i="2"/>
  <c r="W202" i="2"/>
  <c r="K201" i="2"/>
  <c r="V202" i="2"/>
  <c r="X202" i="2"/>
  <c r="U202" i="2"/>
  <c r="E203" i="2"/>
  <c r="F203" i="2"/>
  <c r="L201" i="2" l="1"/>
  <c r="T201" i="2"/>
  <c r="I202" i="2"/>
  <c r="R202" i="2"/>
  <c r="AC201" i="2" s="1"/>
  <c r="S202" i="2"/>
  <c r="P202" i="2" s="1"/>
  <c r="H202" i="2"/>
  <c r="G203" i="2"/>
  <c r="M201" i="2"/>
  <c r="Q201" i="2"/>
  <c r="N201" i="2"/>
  <c r="O201" i="2" s="1"/>
  <c r="J202" i="2"/>
  <c r="A205" i="2"/>
  <c r="B204" i="2"/>
  <c r="K202" i="2"/>
  <c r="W203" i="2"/>
  <c r="AB203" i="2"/>
  <c r="Y203" i="2"/>
  <c r="V203" i="2"/>
  <c r="X203" i="2"/>
  <c r="AA203" i="2"/>
  <c r="D204" i="2"/>
  <c r="C204" i="2"/>
  <c r="Z203" i="2"/>
  <c r="U203" i="2"/>
  <c r="E204" i="2"/>
  <c r="F204" i="2"/>
  <c r="L202" i="2" l="1"/>
  <c r="T202" i="2"/>
  <c r="I203" i="2"/>
  <c r="R203" i="2"/>
  <c r="AC202" i="2" s="1"/>
  <c r="S203" i="2"/>
  <c r="P203" i="2" s="1"/>
  <c r="H203" i="2"/>
  <c r="G204" i="2"/>
  <c r="M202" i="2"/>
  <c r="N202" i="2"/>
  <c r="O202" i="2" s="1"/>
  <c r="Q202" i="2"/>
  <c r="J203" i="2"/>
  <c r="A206" i="2"/>
  <c r="B205" i="2"/>
  <c r="V204" i="2"/>
  <c r="D205" i="2"/>
  <c r="Z204" i="2"/>
  <c r="AA204" i="2"/>
  <c r="K203" i="2"/>
  <c r="Y204" i="2"/>
  <c r="C205" i="2"/>
  <c r="U204" i="2"/>
  <c r="W204" i="2"/>
  <c r="AB204" i="2"/>
  <c r="X204" i="2"/>
  <c r="E205" i="2"/>
  <c r="F205" i="2"/>
  <c r="L203" i="2" l="1"/>
  <c r="T203" i="2"/>
  <c r="I204" i="2"/>
  <c r="R204" i="2"/>
  <c r="AC203" i="2" s="1"/>
  <c r="S204" i="2"/>
  <c r="P204" i="2" s="1"/>
  <c r="H204" i="2"/>
  <c r="G205" i="2"/>
  <c r="Q203" i="2"/>
  <c r="M203" i="2"/>
  <c r="N203" i="2"/>
  <c r="O203" i="2" s="1"/>
  <c r="J204" i="2"/>
  <c r="A207" i="2"/>
  <c r="B206" i="2"/>
  <c r="Z205" i="2"/>
  <c r="C206" i="2"/>
  <c r="X205" i="2"/>
  <c r="AB205" i="2"/>
  <c r="D206" i="2"/>
  <c r="Y205" i="2"/>
  <c r="W205" i="2"/>
  <c r="AA205" i="2"/>
  <c r="U205" i="2"/>
  <c r="K204" i="2"/>
  <c r="V205" i="2"/>
  <c r="E206" i="2"/>
  <c r="F206" i="2"/>
  <c r="L204" i="2" l="1"/>
  <c r="T204" i="2"/>
  <c r="I205" i="2"/>
  <c r="R205" i="2"/>
  <c r="AC204" i="2" s="1"/>
  <c r="S205" i="2"/>
  <c r="P205" i="2" s="1"/>
  <c r="H205" i="2"/>
  <c r="G206" i="2"/>
  <c r="N204" i="2"/>
  <c r="O204" i="2" s="1"/>
  <c r="M204" i="2"/>
  <c r="Q204" i="2"/>
  <c r="J205" i="2"/>
  <c r="A208" i="2"/>
  <c r="B207" i="2"/>
  <c r="AA206" i="2"/>
  <c r="D207" i="2"/>
  <c r="U206" i="2"/>
  <c r="V206" i="2"/>
  <c r="X206" i="2"/>
  <c r="C207" i="2"/>
  <c r="AB206" i="2"/>
  <c r="Z206" i="2"/>
  <c r="W206" i="2"/>
  <c r="K205" i="2"/>
  <c r="Y206" i="2"/>
  <c r="E207" i="2"/>
  <c r="F207" i="2"/>
  <c r="L205" i="2" l="1"/>
  <c r="T205" i="2"/>
  <c r="I206" i="2"/>
  <c r="R206" i="2"/>
  <c r="AC205" i="2" s="1"/>
  <c r="S206" i="2"/>
  <c r="P206" i="2" s="1"/>
  <c r="H206" i="2"/>
  <c r="G207" i="2"/>
  <c r="Q205" i="2"/>
  <c r="M205" i="2"/>
  <c r="N205" i="2"/>
  <c r="O205" i="2" s="1"/>
  <c r="J206" i="2"/>
  <c r="A209" i="2"/>
  <c r="B208" i="2"/>
  <c r="V207" i="2"/>
  <c r="K206" i="2"/>
  <c r="AA207" i="2"/>
  <c r="C208" i="2"/>
  <c r="Z207" i="2"/>
  <c r="AB207" i="2"/>
  <c r="D208" i="2"/>
  <c r="U207" i="2"/>
  <c r="X207" i="2"/>
  <c r="Y207" i="2"/>
  <c r="W207" i="2"/>
  <c r="E208" i="2"/>
  <c r="F208" i="2"/>
  <c r="L206" i="2" l="1"/>
  <c r="T206" i="2"/>
  <c r="I207" i="2"/>
  <c r="R207" i="2"/>
  <c r="AC206" i="2" s="1"/>
  <c r="S207" i="2"/>
  <c r="P207" i="2" s="1"/>
  <c r="H207" i="2"/>
  <c r="G208" i="2"/>
  <c r="Q206" i="2"/>
  <c r="N206" i="2"/>
  <c r="O206" i="2" s="1"/>
  <c r="M206" i="2"/>
  <c r="J207" i="2"/>
  <c r="A210" i="2"/>
  <c r="B209" i="2"/>
  <c r="W208" i="2"/>
  <c r="K207" i="2"/>
  <c r="Y208" i="2"/>
  <c r="AB208" i="2"/>
  <c r="C209" i="2"/>
  <c r="U208" i="2"/>
  <c r="V208" i="2"/>
  <c r="X208" i="2"/>
  <c r="Z208" i="2"/>
  <c r="AA208" i="2"/>
  <c r="E209" i="2"/>
  <c r="F209" i="2"/>
  <c r="L207" i="2" l="1"/>
  <c r="T207" i="2"/>
  <c r="I208" i="2"/>
  <c r="R208" i="2"/>
  <c r="AC207" i="2" s="1"/>
  <c r="S208" i="2"/>
  <c r="P208" i="2" s="1"/>
  <c r="H208" i="2"/>
  <c r="G209" i="2"/>
  <c r="N207" i="2"/>
  <c r="O207" i="2" s="1"/>
  <c r="M207" i="2"/>
  <c r="Q207" i="2"/>
  <c r="J208" i="2"/>
  <c r="A211" i="2"/>
  <c r="B210" i="2"/>
  <c r="D209" i="2"/>
  <c r="X209" i="2"/>
  <c r="K208" i="2"/>
  <c r="D210" i="2"/>
  <c r="Z209" i="2"/>
  <c r="W209" i="2"/>
  <c r="C210" i="2"/>
  <c r="V209" i="2"/>
  <c r="Y209" i="2"/>
  <c r="AA209" i="2"/>
  <c r="AB209" i="2"/>
  <c r="U209" i="2"/>
  <c r="E210" i="2"/>
  <c r="F210" i="2"/>
  <c r="L208" i="2" l="1"/>
  <c r="T208" i="2"/>
  <c r="I209" i="2"/>
  <c r="R209" i="2"/>
  <c r="AC208" i="2" s="1"/>
  <c r="S209" i="2"/>
  <c r="P209" i="2" s="1"/>
  <c r="H209" i="2"/>
  <c r="G210" i="2"/>
  <c r="Q208" i="2"/>
  <c r="N208" i="2"/>
  <c r="O208" i="2" s="1"/>
  <c r="M208" i="2"/>
  <c r="J209" i="2"/>
  <c r="A212" i="2"/>
  <c r="B211" i="2"/>
  <c r="Y210" i="2"/>
  <c r="C211" i="2"/>
  <c r="K209" i="2"/>
  <c r="W210" i="2"/>
  <c r="D211" i="2"/>
  <c r="Z210" i="2"/>
  <c r="U210" i="2"/>
  <c r="AB210" i="2"/>
  <c r="V210" i="2"/>
  <c r="AA210" i="2"/>
  <c r="X210" i="2"/>
  <c r="E211" i="2"/>
  <c r="F211" i="2"/>
  <c r="L209" i="2" l="1"/>
  <c r="T209" i="2"/>
  <c r="I210" i="2"/>
  <c r="R210" i="2"/>
  <c r="AC209" i="2" s="1"/>
  <c r="S210" i="2"/>
  <c r="P210" i="2" s="1"/>
  <c r="H210" i="2"/>
  <c r="G211" i="2"/>
  <c r="N209" i="2"/>
  <c r="O209" i="2" s="1"/>
  <c r="Q209" i="2"/>
  <c r="M209" i="2"/>
  <c r="J210" i="2"/>
  <c r="A213" i="2"/>
  <c r="B212" i="2"/>
  <c r="Y211" i="2"/>
  <c r="AB211" i="2"/>
  <c r="K210" i="2"/>
  <c r="V211" i="2"/>
  <c r="U211" i="2"/>
  <c r="AA211" i="2"/>
  <c r="C212" i="2"/>
  <c r="Z211" i="2"/>
  <c r="W211" i="2"/>
  <c r="X211" i="2"/>
  <c r="E212" i="2"/>
  <c r="F212" i="2"/>
  <c r="L210" i="2" l="1"/>
  <c r="T210" i="2"/>
  <c r="I211" i="2"/>
  <c r="R211" i="2"/>
  <c r="AC210" i="2" s="1"/>
  <c r="S211" i="2"/>
  <c r="P211" i="2" s="1"/>
  <c r="H211" i="2"/>
  <c r="G212" i="2"/>
  <c r="N210" i="2"/>
  <c r="O210" i="2" s="1"/>
  <c r="M210" i="2"/>
  <c r="Q210" i="2"/>
  <c r="J211" i="2"/>
  <c r="A214" i="2"/>
  <c r="B213" i="2"/>
  <c r="D212" i="2"/>
  <c r="Z212" i="2"/>
  <c r="K211" i="2"/>
  <c r="W212" i="2"/>
  <c r="C213" i="2"/>
  <c r="Y212" i="2"/>
  <c r="V212" i="2"/>
  <c r="U212" i="2"/>
  <c r="X212" i="2"/>
  <c r="AB212" i="2"/>
  <c r="AA212" i="2"/>
  <c r="E213" i="2"/>
  <c r="F213" i="2"/>
  <c r="L211" i="2" l="1"/>
  <c r="T211" i="2"/>
  <c r="I212" i="2"/>
  <c r="R212" i="2"/>
  <c r="AC211" i="2" s="1"/>
  <c r="S212" i="2"/>
  <c r="P212" i="2" s="1"/>
  <c r="H212" i="2"/>
  <c r="G213" i="2"/>
  <c r="Q211" i="2"/>
  <c r="N211" i="2"/>
  <c r="O211" i="2" s="1"/>
  <c r="M211" i="2"/>
  <c r="J212" i="2"/>
  <c r="A215" i="2"/>
  <c r="B214" i="2"/>
  <c r="D213" i="2"/>
  <c r="AB213" i="2"/>
  <c r="AA213" i="2"/>
  <c r="K212" i="2"/>
  <c r="Z213" i="2"/>
  <c r="U213" i="2"/>
  <c r="V213" i="2"/>
  <c r="C214" i="2"/>
  <c r="W213" i="2"/>
  <c r="Y213" i="2"/>
  <c r="X213" i="2"/>
  <c r="E214" i="2"/>
  <c r="F214" i="2"/>
  <c r="L212" i="2" l="1"/>
  <c r="T212" i="2"/>
  <c r="I213" i="2"/>
  <c r="R213" i="2"/>
  <c r="AC212" i="2" s="1"/>
  <c r="S213" i="2"/>
  <c r="P213" i="2" s="1"/>
  <c r="H213" i="2"/>
  <c r="G214" i="2"/>
  <c r="N212" i="2"/>
  <c r="O212" i="2" s="1"/>
  <c r="M212" i="2"/>
  <c r="Q212" i="2"/>
  <c r="J213" i="2"/>
  <c r="A216" i="2"/>
  <c r="B215" i="2"/>
  <c r="D214" i="2"/>
  <c r="AB214" i="2"/>
  <c r="W214" i="2"/>
  <c r="AA214" i="2"/>
  <c r="V214" i="2"/>
  <c r="U214" i="2"/>
  <c r="C215" i="2"/>
  <c r="Z214" i="2"/>
  <c r="Y214" i="2"/>
  <c r="X214" i="2"/>
  <c r="K213" i="2"/>
  <c r="E215" i="2"/>
  <c r="F215" i="2"/>
  <c r="L213" i="2" l="1"/>
  <c r="T213" i="2"/>
  <c r="I214" i="2"/>
  <c r="R214" i="2"/>
  <c r="AC213" i="2" s="1"/>
  <c r="S214" i="2"/>
  <c r="P214" i="2" s="1"/>
  <c r="H214" i="2"/>
  <c r="G215" i="2"/>
  <c r="N213" i="2"/>
  <c r="O213" i="2" s="1"/>
  <c r="M213" i="2"/>
  <c r="Q213" i="2"/>
  <c r="J214" i="2"/>
  <c r="A217" i="2"/>
  <c r="B216" i="2"/>
  <c r="D215" i="2"/>
  <c r="AB215" i="2"/>
  <c r="Z215" i="2"/>
  <c r="W215" i="2"/>
  <c r="X215" i="2"/>
  <c r="K214" i="2"/>
  <c r="V215" i="2"/>
  <c r="Y215" i="2"/>
  <c r="AA215" i="2"/>
  <c r="C216" i="2"/>
  <c r="U215" i="2"/>
  <c r="E216" i="2"/>
  <c r="F216" i="2"/>
  <c r="L214" i="2" l="1"/>
  <c r="T214" i="2"/>
  <c r="I215" i="2"/>
  <c r="R215" i="2"/>
  <c r="AC214" i="2" s="1"/>
  <c r="S215" i="2"/>
  <c r="P215" i="2" s="1"/>
  <c r="H215" i="2"/>
  <c r="G216" i="2"/>
  <c r="Q214" i="2"/>
  <c r="M214" i="2"/>
  <c r="N214" i="2"/>
  <c r="O214" i="2" s="1"/>
  <c r="J215" i="2"/>
  <c r="A218" i="2"/>
  <c r="B217" i="2"/>
  <c r="D216" i="2"/>
  <c r="W216" i="2"/>
  <c r="AA216" i="2"/>
  <c r="Z216" i="2"/>
  <c r="X216" i="2"/>
  <c r="AB216" i="2"/>
  <c r="C217" i="2"/>
  <c r="D217" i="2"/>
  <c r="Y216" i="2"/>
  <c r="U216" i="2"/>
  <c r="K215" i="2"/>
  <c r="V216" i="2"/>
  <c r="E217" i="2"/>
  <c r="F217" i="2"/>
  <c r="L215" i="2" l="1"/>
  <c r="T215" i="2"/>
  <c r="I216" i="2"/>
  <c r="R216" i="2"/>
  <c r="AC215" i="2" s="1"/>
  <c r="S216" i="2"/>
  <c r="P216" i="2" s="1"/>
  <c r="H216" i="2"/>
  <c r="G217" i="2"/>
  <c r="N215" i="2"/>
  <c r="O215" i="2" s="1"/>
  <c r="M215" i="2"/>
  <c r="Q215" i="2"/>
  <c r="J216" i="2"/>
  <c r="A219" i="2"/>
  <c r="B218" i="2"/>
  <c r="W217" i="2"/>
  <c r="V217" i="2"/>
  <c r="X217" i="2"/>
  <c r="Y217" i="2"/>
  <c r="C218" i="2"/>
  <c r="Z217" i="2"/>
  <c r="AA217" i="2"/>
  <c r="K216" i="2"/>
  <c r="AB217" i="2"/>
  <c r="U217" i="2"/>
  <c r="E218" i="2"/>
  <c r="F218" i="2"/>
  <c r="L216" i="2" l="1"/>
  <c r="T216" i="2"/>
  <c r="I217" i="2"/>
  <c r="R217" i="2"/>
  <c r="AC216" i="2" s="1"/>
  <c r="S217" i="2"/>
  <c r="P217" i="2" s="1"/>
  <c r="H217" i="2"/>
  <c r="G218" i="2"/>
  <c r="Q216" i="2"/>
  <c r="N216" i="2"/>
  <c r="O216" i="2" s="1"/>
  <c r="M216" i="2"/>
  <c r="J217" i="2"/>
  <c r="A220" i="2"/>
  <c r="B219" i="2"/>
  <c r="D218" i="2"/>
  <c r="U218" i="2"/>
  <c r="W218" i="2"/>
  <c r="C219" i="2"/>
  <c r="AA218" i="2"/>
  <c r="Y218" i="2"/>
  <c r="Z218" i="2"/>
  <c r="X218" i="2"/>
  <c r="K217" i="2"/>
  <c r="V218" i="2"/>
  <c r="AB218" i="2"/>
  <c r="E219" i="2"/>
  <c r="F219" i="2"/>
  <c r="L217" i="2" l="1"/>
  <c r="T217" i="2"/>
  <c r="I218" i="2"/>
  <c r="R218" i="2"/>
  <c r="AC217" i="2" s="1"/>
  <c r="S218" i="2"/>
  <c r="P218" i="2" s="1"/>
  <c r="H218" i="2"/>
  <c r="G219" i="2"/>
  <c r="M217" i="2"/>
  <c r="N217" i="2"/>
  <c r="O217" i="2" s="1"/>
  <c r="Q217" i="2"/>
  <c r="J218" i="2"/>
  <c r="A221" i="2"/>
  <c r="B220" i="2"/>
  <c r="D219" i="2"/>
  <c r="D220" i="2"/>
  <c r="K218" i="2"/>
  <c r="V219" i="2"/>
  <c r="W219" i="2"/>
  <c r="C220" i="2"/>
  <c r="Y219" i="2"/>
  <c r="Z219" i="2"/>
  <c r="AA219" i="2"/>
  <c r="X219" i="2"/>
  <c r="AB219" i="2"/>
  <c r="U219" i="2"/>
  <c r="E220" i="2"/>
  <c r="F220" i="2"/>
  <c r="L218" i="2" l="1"/>
  <c r="T218" i="2"/>
  <c r="I219" i="2"/>
  <c r="R219" i="2"/>
  <c r="AC218" i="2" s="1"/>
  <c r="S219" i="2"/>
  <c r="P219" i="2" s="1"/>
  <c r="H219" i="2"/>
  <c r="G220" i="2"/>
  <c r="M218" i="2"/>
  <c r="N218" i="2"/>
  <c r="O218" i="2" s="1"/>
  <c r="Q218" i="2"/>
  <c r="J219" i="2"/>
  <c r="A222" i="2"/>
  <c r="B221" i="2"/>
  <c r="D221" i="2"/>
  <c r="AB220" i="2"/>
  <c r="X220" i="2"/>
  <c r="AA220" i="2"/>
  <c r="Z220" i="2"/>
  <c r="V220" i="2"/>
  <c r="W220" i="2"/>
  <c r="U220" i="2"/>
  <c r="C221" i="2"/>
  <c r="K219" i="2"/>
  <c r="Y220" i="2"/>
  <c r="E221" i="2"/>
  <c r="F221" i="2"/>
  <c r="L219" i="2" l="1"/>
  <c r="T219" i="2"/>
  <c r="I220" i="2"/>
  <c r="R220" i="2"/>
  <c r="AC219" i="2" s="1"/>
  <c r="S220" i="2"/>
  <c r="P220" i="2" s="1"/>
  <c r="H220" i="2"/>
  <c r="G221" i="2"/>
  <c r="Q219" i="2"/>
  <c r="M219" i="2"/>
  <c r="N219" i="2"/>
  <c r="O219" i="2" s="1"/>
  <c r="J220" i="2"/>
  <c r="A223" i="2"/>
  <c r="B222" i="2"/>
  <c r="Z221" i="2"/>
  <c r="D222" i="2"/>
  <c r="K220" i="2"/>
  <c r="Y221" i="2"/>
  <c r="C222" i="2"/>
  <c r="AA221" i="2"/>
  <c r="U221" i="2"/>
  <c r="V221" i="2"/>
  <c r="X221" i="2"/>
  <c r="AB221" i="2"/>
  <c r="W221" i="2"/>
  <c r="E222" i="2"/>
  <c r="F222" i="2"/>
  <c r="L220" i="2" l="1"/>
  <c r="T220" i="2"/>
  <c r="I221" i="2"/>
  <c r="R221" i="2"/>
  <c r="AC220" i="2" s="1"/>
  <c r="S221" i="2"/>
  <c r="P221" i="2" s="1"/>
  <c r="H221" i="2"/>
  <c r="G222" i="2"/>
  <c r="N220" i="2"/>
  <c r="O220" i="2" s="1"/>
  <c r="M220" i="2"/>
  <c r="Q220" i="2"/>
  <c r="J221" i="2"/>
  <c r="A224" i="2"/>
  <c r="B223" i="2"/>
  <c r="AA222" i="2"/>
  <c r="Y222" i="2"/>
  <c r="K221" i="2"/>
  <c r="W222" i="2"/>
  <c r="U222" i="2"/>
  <c r="V222" i="2"/>
  <c r="D223" i="2"/>
  <c r="C223" i="2"/>
  <c r="AB222" i="2"/>
  <c r="Z222" i="2"/>
  <c r="X222" i="2"/>
  <c r="E223" i="2"/>
  <c r="F223" i="2"/>
  <c r="L221" i="2" l="1"/>
  <c r="T221" i="2"/>
  <c r="I222" i="2"/>
  <c r="R222" i="2"/>
  <c r="AC221" i="2" s="1"/>
  <c r="S222" i="2"/>
  <c r="P222" i="2" s="1"/>
  <c r="H222" i="2"/>
  <c r="G223" i="2"/>
  <c r="Q221" i="2"/>
  <c r="M221" i="2"/>
  <c r="N221" i="2"/>
  <c r="O221" i="2" s="1"/>
  <c r="J222" i="2"/>
  <c r="A225" i="2"/>
  <c r="B224" i="2"/>
  <c r="Z223" i="2"/>
  <c r="K222" i="2"/>
  <c r="X223" i="2"/>
  <c r="U223" i="2"/>
  <c r="D224" i="2"/>
  <c r="W223" i="2"/>
  <c r="C224" i="2"/>
  <c r="AB223" i="2"/>
  <c r="V223" i="2"/>
  <c r="AA223" i="2"/>
  <c r="Y223" i="2"/>
  <c r="E224" i="2"/>
  <c r="F224" i="2"/>
  <c r="L222" i="2" l="1"/>
  <c r="T222" i="2"/>
  <c r="I223" i="2"/>
  <c r="R223" i="2"/>
  <c r="AC222" i="2" s="1"/>
  <c r="S223" i="2"/>
  <c r="P223" i="2" s="1"/>
  <c r="H223" i="2"/>
  <c r="G224" i="2"/>
  <c r="Q222" i="2"/>
  <c r="N222" i="2"/>
  <c r="O222" i="2" s="1"/>
  <c r="M222" i="2"/>
  <c r="J223" i="2"/>
  <c r="A226" i="2"/>
  <c r="B225" i="2"/>
  <c r="W224" i="2"/>
  <c r="Z224" i="2"/>
  <c r="X224" i="2"/>
  <c r="AA224" i="2"/>
  <c r="Y224" i="2"/>
  <c r="D225" i="2"/>
  <c r="U224" i="2"/>
  <c r="AB224" i="2"/>
  <c r="K223" i="2"/>
  <c r="C225" i="2"/>
  <c r="V224" i="2"/>
  <c r="E225" i="2"/>
  <c r="F225" i="2"/>
  <c r="L223" i="2" l="1"/>
  <c r="T223" i="2"/>
  <c r="I224" i="2"/>
  <c r="R224" i="2"/>
  <c r="AC223" i="2" s="1"/>
  <c r="S224" i="2"/>
  <c r="P224" i="2" s="1"/>
  <c r="H224" i="2"/>
  <c r="G225" i="2"/>
  <c r="N223" i="2"/>
  <c r="O223" i="2" s="1"/>
  <c r="M223" i="2"/>
  <c r="Q223" i="2"/>
  <c r="J224" i="2"/>
  <c r="A227" i="2"/>
  <c r="B226" i="2"/>
  <c r="D226" i="2"/>
  <c r="K224" i="2"/>
  <c r="X225" i="2"/>
  <c r="W225" i="2"/>
  <c r="Z225" i="2"/>
  <c r="Y225" i="2"/>
  <c r="V225" i="2"/>
  <c r="C226" i="2"/>
  <c r="AA225" i="2"/>
  <c r="U225" i="2"/>
  <c r="AB225" i="2"/>
  <c r="E226" i="2"/>
  <c r="F226" i="2"/>
  <c r="L224" i="2" l="1"/>
  <c r="T224" i="2"/>
  <c r="I225" i="2"/>
  <c r="R225" i="2"/>
  <c r="AC224" i="2" s="1"/>
  <c r="S225" i="2"/>
  <c r="P225" i="2" s="1"/>
  <c r="H225" i="2"/>
  <c r="G226" i="2"/>
  <c r="N224" i="2"/>
  <c r="O224" i="2" s="1"/>
  <c r="Q224" i="2"/>
  <c r="M224" i="2"/>
  <c r="J225" i="2"/>
  <c r="A228" i="2"/>
  <c r="B227" i="2"/>
  <c r="X226" i="2"/>
  <c r="K225" i="2"/>
  <c r="Z226" i="2"/>
  <c r="U226" i="2"/>
  <c r="W226" i="2"/>
  <c r="Y226" i="2"/>
  <c r="V226" i="2"/>
  <c r="C227" i="2"/>
  <c r="AA226" i="2"/>
  <c r="D227" i="2"/>
  <c r="AB226" i="2"/>
  <c r="E227" i="2"/>
  <c r="F227" i="2"/>
  <c r="L225" i="2" l="1"/>
  <c r="T225" i="2"/>
  <c r="I226" i="2"/>
  <c r="R226" i="2"/>
  <c r="AC225" i="2" s="1"/>
  <c r="S226" i="2"/>
  <c r="P226" i="2" s="1"/>
  <c r="H226" i="2"/>
  <c r="G227" i="2"/>
  <c r="Q225" i="2"/>
  <c r="N225" i="2"/>
  <c r="O225" i="2" s="1"/>
  <c r="M225" i="2"/>
  <c r="J226" i="2"/>
  <c r="A229" i="2"/>
  <c r="B228" i="2"/>
  <c r="X227" i="2"/>
  <c r="K226" i="2"/>
  <c r="AA227" i="2"/>
  <c r="Z227" i="2"/>
  <c r="D228" i="2"/>
  <c r="W227" i="2"/>
  <c r="V227" i="2"/>
  <c r="U227" i="2"/>
  <c r="C228" i="2"/>
  <c r="Y227" i="2"/>
  <c r="AB227" i="2"/>
  <c r="E228" i="2"/>
  <c r="F228" i="2"/>
  <c r="L226" i="2" l="1"/>
  <c r="T226" i="2"/>
  <c r="I227" i="2"/>
  <c r="R227" i="2"/>
  <c r="AC226" i="2" s="1"/>
  <c r="S227" i="2"/>
  <c r="P227" i="2" s="1"/>
  <c r="H227" i="2"/>
  <c r="G228" i="2"/>
  <c r="Q226" i="2"/>
  <c r="N226" i="2"/>
  <c r="O226" i="2" s="1"/>
  <c r="M226" i="2"/>
  <c r="J227" i="2"/>
  <c r="A230" i="2"/>
  <c r="B229" i="2"/>
  <c r="Y228" i="2"/>
  <c r="AA228" i="2"/>
  <c r="C229" i="2"/>
  <c r="X228" i="2"/>
  <c r="Z228" i="2"/>
  <c r="W228" i="2"/>
  <c r="V228" i="2"/>
  <c r="K227" i="2"/>
  <c r="AB228" i="2"/>
  <c r="U228" i="2"/>
  <c r="E229" i="2"/>
  <c r="F229" i="2"/>
  <c r="L227" i="2" l="1"/>
  <c r="T227" i="2"/>
  <c r="I228" i="2"/>
  <c r="R228" i="2"/>
  <c r="AC227" i="2" s="1"/>
  <c r="S228" i="2"/>
  <c r="P228" i="2" s="1"/>
  <c r="H228" i="2"/>
  <c r="G229" i="2"/>
  <c r="N227" i="2"/>
  <c r="O227" i="2" s="1"/>
  <c r="M227" i="2"/>
  <c r="Q227" i="2"/>
  <c r="J228" i="2"/>
  <c r="A231" i="2"/>
  <c r="B230" i="2"/>
  <c r="D229" i="2"/>
  <c r="X229" i="2"/>
  <c r="Y229" i="2"/>
  <c r="D230" i="2"/>
  <c r="C230" i="2"/>
  <c r="AA229" i="2"/>
  <c r="U229" i="2"/>
  <c r="V229" i="2"/>
  <c r="K228" i="2"/>
  <c r="AB229" i="2"/>
  <c r="W229" i="2"/>
  <c r="Z229" i="2"/>
  <c r="E230" i="2"/>
  <c r="F230" i="2"/>
  <c r="L228" i="2" l="1"/>
  <c r="T228" i="2"/>
  <c r="I229" i="2"/>
  <c r="R229" i="2"/>
  <c r="AC228" i="2" s="1"/>
  <c r="S229" i="2"/>
  <c r="P229" i="2" s="1"/>
  <c r="H229" i="2"/>
  <c r="G230" i="2"/>
  <c r="N228" i="2"/>
  <c r="O228" i="2" s="1"/>
  <c r="Q228" i="2"/>
  <c r="M228" i="2"/>
  <c r="J229" i="2"/>
  <c r="A232" i="2"/>
  <c r="B231" i="2"/>
  <c r="C231" i="2"/>
  <c r="K229" i="2"/>
  <c r="AB230" i="2"/>
  <c r="U230" i="2"/>
  <c r="AA230" i="2"/>
  <c r="X230" i="2"/>
  <c r="Z230" i="2"/>
  <c r="D231" i="2"/>
  <c r="Y230" i="2"/>
  <c r="W230" i="2"/>
  <c r="V230" i="2"/>
  <c r="E231" i="2"/>
  <c r="F231" i="2"/>
  <c r="L229" i="2" l="1"/>
  <c r="T229" i="2"/>
  <c r="I230" i="2"/>
  <c r="R230" i="2"/>
  <c r="AC229" i="2" s="1"/>
  <c r="S230" i="2"/>
  <c r="P230" i="2" s="1"/>
  <c r="H230" i="2"/>
  <c r="G231" i="2"/>
  <c r="N229" i="2"/>
  <c r="O229" i="2" s="1"/>
  <c r="M229" i="2"/>
  <c r="Q229" i="2"/>
  <c r="J230" i="2"/>
  <c r="A233" i="2"/>
  <c r="D17" i="3" s="1"/>
  <c r="B232" i="2"/>
  <c r="AA231" i="2"/>
  <c r="Y231" i="2"/>
  <c r="Z231" i="2"/>
  <c r="D232" i="2"/>
  <c r="AB231" i="2"/>
  <c r="X231" i="2"/>
  <c r="W231" i="2"/>
  <c r="U231" i="2"/>
  <c r="K230" i="2"/>
  <c r="V231" i="2"/>
  <c r="C232" i="2"/>
  <c r="E232" i="2"/>
  <c r="F232" i="2"/>
  <c r="L230" i="2" l="1"/>
  <c r="A69" i="3"/>
  <c r="B69" i="3"/>
  <c r="A70" i="3"/>
  <c r="C69" i="3"/>
  <c r="A74" i="3"/>
  <c r="A73" i="3"/>
  <c r="B74" i="3"/>
  <c r="D69" i="3"/>
  <c r="B70" i="3"/>
  <c r="A71" i="3"/>
  <c r="A75" i="3"/>
  <c r="A72" i="3"/>
  <c r="B71" i="3"/>
  <c r="C74" i="3"/>
  <c r="E69" i="3"/>
  <c r="B73" i="3"/>
  <c r="B75" i="3"/>
  <c r="C70" i="3"/>
  <c r="B72" i="3"/>
  <c r="D74" i="3"/>
  <c r="C71" i="3"/>
  <c r="D70" i="3"/>
  <c r="C73" i="3"/>
  <c r="C75" i="3"/>
  <c r="F69" i="3"/>
  <c r="D71" i="3"/>
  <c r="D73" i="3"/>
  <c r="D75" i="3"/>
  <c r="E70" i="3"/>
  <c r="E74" i="3"/>
  <c r="G69" i="3"/>
  <c r="C72" i="3"/>
  <c r="E73" i="3"/>
  <c r="F70" i="3"/>
  <c r="F74" i="3"/>
  <c r="A79" i="3"/>
  <c r="D72" i="3"/>
  <c r="E71" i="3"/>
  <c r="E75" i="3"/>
  <c r="F73" i="3"/>
  <c r="F71" i="3"/>
  <c r="G74" i="3"/>
  <c r="B79" i="3"/>
  <c r="G70" i="3"/>
  <c r="E72" i="3"/>
  <c r="F75" i="3"/>
  <c r="G73" i="3"/>
  <c r="F72" i="3"/>
  <c r="G75" i="3"/>
  <c r="A80" i="3"/>
  <c r="G71" i="3"/>
  <c r="A84" i="3"/>
  <c r="C79" i="3"/>
  <c r="A83" i="3"/>
  <c r="G72" i="3"/>
  <c r="A85" i="3"/>
  <c r="B80" i="3"/>
  <c r="A81" i="3"/>
  <c r="B84" i="3"/>
  <c r="D79" i="3"/>
  <c r="A82" i="3"/>
  <c r="B81" i="3"/>
  <c r="C84" i="3"/>
  <c r="E79" i="3"/>
  <c r="C80" i="3"/>
  <c r="B83" i="3"/>
  <c r="B85" i="3"/>
  <c r="B82" i="3"/>
  <c r="C85" i="3"/>
  <c r="C83" i="3"/>
  <c r="C81" i="3"/>
  <c r="D84" i="3"/>
  <c r="D80" i="3"/>
  <c r="F79" i="3"/>
  <c r="C82" i="3"/>
  <c r="D85" i="3"/>
  <c r="D81" i="3"/>
  <c r="E80" i="3"/>
  <c r="D83" i="3"/>
  <c r="G79" i="3"/>
  <c r="E84" i="3"/>
  <c r="D82" i="3"/>
  <c r="F84" i="3"/>
  <c r="E81" i="3"/>
  <c r="E82" i="3"/>
  <c r="E85" i="3"/>
  <c r="A89" i="3"/>
  <c r="F80" i="3"/>
  <c r="E83" i="3"/>
  <c r="G80" i="3"/>
  <c r="F83" i="3"/>
  <c r="F85" i="3"/>
  <c r="F81" i="3"/>
  <c r="G84" i="3"/>
  <c r="B89" i="3"/>
  <c r="G83" i="3"/>
  <c r="F82" i="3"/>
  <c r="G85" i="3"/>
  <c r="A90" i="3"/>
  <c r="A94" i="3"/>
  <c r="C89" i="3"/>
  <c r="G81" i="3"/>
  <c r="G82" i="3"/>
  <c r="A95" i="3"/>
  <c r="A91" i="3"/>
  <c r="B91" i="3"/>
  <c r="B94" i="3"/>
  <c r="A93" i="3"/>
  <c r="D89" i="3"/>
  <c r="B90" i="3"/>
  <c r="B93" i="3"/>
  <c r="C94" i="3"/>
  <c r="E89" i="3"/>
  <c r="C90" i="3"/>
  <c r="A92" i="3"/>
  <c r="B95" i="3"/>
  <c r="B92" i="3"/>
  <c r="D94" i="3"/>
  <c r="C93" i="3"/>
  <c r="C91" i="3"/>
  <c r="C92" i="3"/>
  <c r="C95" i="3"/>
  <c r="D90" i="3"/>
  <c r="F89" i="3"/>
  <c r="D93" i="3"/>
  <c r="E94" i="3"/>
  <c r="D91" i="3"/>
  <c r="D95" i="3"/>
  <c r="E90" i="3"/>
  <c r="G89" i="3"/>
  <c r="F90" i="3"/>
  <c r="D92" i="3"/>
  <c r="F94" i="3"/>
  <c r="A99" i="3"/>
  <c r="E91" i="3"/>
  <c r="E93" i="3"/>
  <c r="E95" i="3"/>
  <c r="E92" i="3"/>
  <c r="G90" i="3"/>
  <c r="F93" i="3"/>
  <c r="F95" i="3"/>
  <c r="F91" i="3"/>
  <c r="G94" i="3"/>
  <c r="B99" i="3"/>
  <c r="G93" i="3"/>
  <c r="F92" i="3"/>
  <c r="A104" i="3"/>
  <c r="C99" i="3"/>
  <c r="G95" i="3"/>
  <c r="G91" i="3"/>
  <c r="A100" i="3"/>
  <c r="G92" i="3"/>
  <c r="A105" i="3"/>
  <c r="B100" i="3"/>
  <c r="D99" i="3"/>
  <c r="B104" i="3"/>
  <c r="A103" i="3"/>
  <c r="A101" i="3"/>
  <c r="A102" i="3"/>
  <c r="B105" i="3"/>
  <c r="B101" i="3"/>
  <c r="C100" i="3"/>
  <c r="B103" i="3"/>
  <c r="C104" i="3"/>
  <c r="E99" i="3"/>
  <c r="D104" i="3"/>
  <c r="B102" i="3"/>
  <c r="D100" i="3"/>
  <c r="F99" i="3"/>
  <c r="C105" i="3"/>
  <c r="C103" i="3"/>
  <c r="C101" i="3"/>
  <c r="D103" i="3"/>
  <c r="D105" i="3"/>
  <c r="E100" i="3"/>
  <c r="G99" i="3"/>
  <c r="E104" i="3"/>
  <c r="C102" i="3"/>
  <c r="D101" i="3"/>
  <c r="D102" i="3"/>
  <c r="F100" i="3"/>
  <c r="E103" i="3"/>
  <c r="E105" i="3"/>
  <c r="E102" i="3"/>
  <c r="E101" i="3"/>
  <c r="F104" i="3"/>
  <c r="A109" i="3"/>
  <c r="F103" i="3"/>
  <c r="F105" i="3"/>
  <c r="F101" i="3"/>
  <c r="F102" i="3"/>
  <c r="G104" i="3"/>
  <c r="G100" i="3"/>
  <c r="B109" i="3"/>
  <c r="G103" i="3"/>
  <c r="G105" i="3"/>
  <c r="G101" i="3"/>
  <c r="A114" i="3"/>
  <c r="A110" i="3"/>
  <c r="C109" i="3"/>
  <c r="G102" i="3"/>
  <c r="A111" i="3"/>
  <c r="B114" i="3"/>
  <c r="D109" i="3"/>
  <c r="B110" i="3"/>
  <c r="A113" i="3"/>
  <c r="A115" i="3"/>
  <c r="A112" i="3"/>
  <c r="C110" i="3"/>
  <c r="B113" i="3"/>
  <c r="B115" i="3"/>
  <c r="B111" i="3"/>
  <c r="C114" i="3"/>
  <c r="E109" i="3"/>
  <c r="C113" i="3"/>
  <c r="B112" i="3"/>
  <c r="C115" i="3"/>
  <c r="D110" i="3"/>
  <c r="C111" i="3"/>
  <c r="D114" i="3"/>
  <c r="F109" i="3"/>
  <c r="C112" i="3"/>
  <c r="D115" i="3"/>
  <c r="D111" i="3"/>
  <c r="E110" i="3"/>
  <c r="E114" i="3"/>
  <c r="D113" i="3"/>
  <c r="G109" i="3"/>
  <c r="F114" i="3"/>
  <c r="E113" i="3"/>
  <c r="F110" i="3"/>
  <c r="A119" i="3"/>
  <c r="E115" i="3"/>
  <c r="D112" i="3"/>
  <c r="E111" i="3"/>
  <c r="E112" i="3"/>
  <c r="G114" i="3"/>
  <c r="G110" i="3"/>
  <c r="B119" i="3"/>
  <c r="F113" i="3"/>
  <c r="F115" i="3"/>
  <c r="F111" i="3"/>
  <c r="F112" i="3"/>
  <c r="G113" i="3"/>
  <c r="G111" i="3"/>
  <c r="G115" i="3"/>
  <c r="A120" i="3"/>
  <c r="A124" i="3"/>
  <c r="A121" i="3"/>
  <c r="G112" i="3"/>
  <c r="B124" i="3"/>
  <c r="B120" i="3"/>
  <c r="A123" i="3"/>
  <c r="A125" i="3"/>
  <c r="B125" i="3"/>
  <c r="A122" i="3"/>
  <c r="B122" i="3"/>
  <c r="B123" i="3"/>
  <c r="B121" i="3"/>
  <c r="T230" i="2"/>
  <c r="G40" i="3"/>
  <c r="G36" i="3"/>
  <c r="G39" i="3"/>
  <c r="G35" i="3"/>
  <c r="G38" i="3"/>
  <c r="G34" i="3"/>
  <c r="G37" i="3"/>
  <c r="A48" i="3"/>
  <c r="A44" i="3"/>
  <c r="A47" i="3"/>
  <c r="A50" i="3"/>
  <c r="A46" i="3"/>
  <c r="A49" i="3"/>
  <c r="A45" i="3"/>
  <c r="B47" i="3"/>
  <c r="B50" i="3"/>
  <c r="B46" i="3"/>
  <c r="B49" i="3"/>
  <c r="B45" i="3"/>
  <c r="B48" i="3"/>
  <c r="B44" i="3"/>
  <c r="C48" i="3"/>
  <c r="C44" i="3"/>
  <c r="C47" i="3"/>
  <c r="C46" i="3"/>
  <c r="C49" i="3"/>
  <c r="C45" i="3"/>
  <c r="C50" i="3"/>
  <c r="D47" i="3"/>
  <c r="D50" i="3"/>
  <c r="D46" i="3"/>
  <c r="D49" i="3"/>
  <c r="D45" i="3"/>
  <c r="D48" i="3"/>
  <c r="D44" i="3"/>
  <c r="E48" i="3"/>
  <c r="E44" i="3"/>
  <c r="E47" i="3"/>
  <c r="E50" i="3"/>
  <c r="E46" i="3"/>
  <c r="E49" i="3"/>
  <c r="E45" i="3"/>
  <c r="F47" i="3"/>
  <c r="F50" i="3"/>
  <c r="F46" i="3"/>
  <c r="F49" i="3"/>
  <c r="F45" i="3"/>
  <c r="F48" i="3"/>
  <c r="F44" i="3"/>
  <c r="G48" i="3"/>
  <c r="G44" i="3"/>
  <c r="G47" i="3"/>
  <c r="G50" i="3"/>
  <c r="G46" i="3"/>
  <c r="G49" i="3"/>
  <c r="G45" i="3"/>
  <c r="A59" i="3"/>
  <c r="A57" i="3"/>
  <c r="A55" i="3"/>
  <c r="A60" i="3"/>
  <c r="A58" i="3"/>
  <c r="A56" i="3"/>
  <c r="A54" i="3"/>
  <c r="B59" i="3"/>
  <c r="B57" i="3"/>
  <c r="B55" i="3"/>
  <c r="B60" i="3"/>
  <c r="B56" i="3"/>
  <c r="B54" i="3"/>
  <c r="B58" i="3"/>
  <c r="F37" i="3"/>
  <c r="F40" i="3"/>
  <c r="F36" i="3"/>
  <c r="F39" i="3"/>
  <c r="F35" i="3"/>
  <c r="F38" i="3"/>
  <c r="F34" i="3"/>
  <c r="I231" i="2"/>
  <c r="R231" i="2"/>
  <c r="AC230" i="2" s="1"/>
  <c r="S231" i="2"/>
  <c r="P231" i="2" s="1"/>
  <c r="H231" i="2"/>
  <c r="A6" i="3"/>
  <c r="A10" i="3"/>
  <c r="A5" i="3"/>
  <c r="A7" i="3"/>
  <c r="A4" i="3"/>
  <c r="B5" i="3"/>
  <c r="B6" i="3"/>
  <c r="B7" i="3"/>
  <c r="B4" i="3"/>
  <c r="C5" i="3"/>
  <c r="C7" i="3"/>
  <c r="C4" i="3"/>
  <c r="A9" i="3"/>
  <c r="A8" i="3"/>
  <c r="C6" i="3"/>
  <c r="D4" i="3"/>
  <c r="D5" i="3"/>
  <c r="D6" i="3"/>
  <c r="D7" i="3"/>
  <c r="E6" i="3"/>
  <c r="E5" i="3"/>
  <c r="E7" i="3"/>
  <c r="E4" i="3"/>
  <c r="F4" i="3"/>
  <c r="F5" i="3"/>
  <c r="F6" i="3"/>
  <c r="F7" i="3"/>
  <c r="G5" i="3"/>
  <c r="G7" i="3"/>
  <c r="G4" i="3"/>
  <c r="B9" i="3"/>
  <c r="G6" i="3"/>
  <c r="A17" i="3"/>
  <c r="A14" i="3"/>
  <c r="B8" i="3"/>
  <c r="A15" i="3"/>
  <c r="A16" i="3"/>
  <c r="B17" i="3"/>
  <c r="B14" i="3"/>
  <c r="B10" i="3"/>
  <c r="D9" i="3"/>
  <c r="C10" i="3"/>
  <c r="C9" i="3"/>
  <c r="B15" i="3"/>
  <c r="B16" i="3"/>
  <c r="C17" i="3"/>
  <c r="C14" i="3"/>
  <c r="C8" i="3"/>
  <c r="D8" i="3"/>
  <c r="C16" i="3"/>
  <c r="C15" i="3"/>
  <c r="D10" i="3"/>
  <c r="E9" i="3"/>
  <c r="D14" i="3"/>
  <c r="F9" i="3"/>
  <c r="D15" i="3"/>
  <c r="D16" i="3"/>
  <c r="E10" i="3"/>
  <c r="E8" i="3"/>
  <c r="E17" i="3"/>
  <c r="E14" i="3"/>
  <c r="G9" i="3"/>
  <c r="E15" i="3"/>
  <c r="E16" i="3"/>
  <c r="F10" i="3"/>
  <c r="F8" i="3"/>
  <c r="F17" i="3"/>
  <c r="F14" i="3"/>
  <c r="A19" i="3"/>
  <c r="G10" i="3"/>
  <c r="G8" i="3"/>
  <c r="F15" i="3"/>
  <c r="F16" i="3"/>
  <c r="G17" i="3"/>
  <c r="G14" i="3"/>
  <c r="B19" i="3"/>
  <c r="A20" i="3"/>
  <c r="A18" i="3"/>
  <c r="G15" i="3"/>
  <c r="G16" i="3"/>
  <c r="A27" i="3"/>
  <c r="A30" i="3"/>
  <c r="A24" i="3"/>
  <c r="B20" i="3"/>
  <c r="B18" i="3"/>
  <c r="C19" i="3"/>
  <c r="A29" i="3"/>
  <c r="A25" i="3"/>
  <c r="A28" i="3"/>
  <c r="A26" i="3"/>
  <c r="B28" i="3"/>
  <c r="B24" i="3"/>
  <c r="B25" i="3"/>
  <c r="C20" i="3"/>
  <c r="C18" i="3"/>
  <c r="B30" i="3"/>
  <c r="B26" i="3"/>
  <c r="B29" i="3"/>
  <c r="B27" i="3"/>
  <c r="D19" i="3"/>
  <c r="C27" i="3"/>
  <c r="C30" i="3"/>
  <c r="C28" i="3"/>
  <c r="C29" i="3"/>
  <c r="C25" i="3"/>
  <c r="C26" i="3"/>
  <c r="C24" i="3"/>
  <c r="E19" i="3"/>
  <c r="D20" i="3"/>
  <c r="D18" i="3"/>
  <c r="D28" i="3"/>
  <c r="D24" i="3"/>
  <c r="D27" i="3"/>
  <c r="E20" i="3"/>
  <c r="D30" i="3"/>
  <c r="D26" i="3"/>
  <c r="D29" i="3"/>
  <c r="D25" i="3"/>
  <c r="F19" i="3"/>
  <c r="E18" i="3"/>
  <c r="E27" i="3"/>
  <c r="E30" i="3"/>
  <c r="E24" i="3"/>
  <c r="F20" i="3"/>
  <c r="F18" i="3"/>
  <c r="G19" i="3"/>
  <c r="E29" i="3"/>
  <c r="E25" i="3"/>
  <c r="E28" i="3"/>
  <c r="E26" i="3"/>
  <c r="F28" i="3"/>
  <c r="F24" i="3"/>
  <c r="F25" i="3"/>
  <c r="G20" i="3"/>
  <c r="F30" i="3"/>
  <c r="F26" i="3"/>
  <c r="F29" i="3"/>
  <c r="F27" i="3"/>
  <c r="G18" i="3"/>
  <c r="G27" i="3"/>
  <c r="G30" i="3"/>
  <c r="G26" i="3"/>
  <c r="G29" i="3"/>
  <c r="G25" i="3"/>
  <c r="G28" i="3"/>
  <c r="G24" i="3"/>
  <c r="A38" i="3"/>
  <c r="A34" i="3"/>
  <c r="A37" i="3"/>
  <c r="A40" i="3"/>
  <c r="A36" i="3"/>
  <c r="A39" i="3"/>
  <c r="A35" i="3"/>
  <c r="B37" i="3"/>
  <c r="B40" i="3"/>
  <c r="B36" i="3"/>
  <c r="B39" i="3"/>
  <c r="B35" i="3"/>
  <c r="B38" i="3"/>
  <c r="B34" i="3"/>
  <c r="C38" i="3"/>
  <c r="C34" i="3"/>
  <c r="C37" i="3"/>
  <c r="C40" i="3"/>
  <c r="C36" i="3"/>
  <c r="C39" i="3"/>
  <c r="C35" i="3"/>
  <c r="D37" i="3"/>
  <c r="D40" i="3"/>
  <c r="D36" i="3"/>
  <c r="D39" i="3"/>
  <c r="D35" i="3"/>
  <c r="D38" i="3"/>
  <c r="D34" i="3"/>
  <c r="E38" i="3"/>
  <c r="E34" i="3"/>
  <c r="E37" i="3"/>
  <c r="E40" i="3"/>
  <c r="E36" i="3"/>
  <c r="E39" i="3"/>
  <c r="E35" i="3"/>
  <c r="G232" i="2"/>
  <c r="N230" i="2"/>
  <c r="O230" i="2" s="1"/>
  <c r="M230" i="2"/>
  <c r="Q230" i="2"/>
  <c r="J231" i="2"/>
  <c r="A234" i="2"/>
  <c r="B233" i="2"/>
  <c r="C233" i="2"/>
  <c r="AA232" i="2"/>
  <c r="W232" i="2"/>
  <c r="X232" i="2"/>
  <c r="V232" i="2"/>
  <c r="Y232" i="2"/>
  <c r="AB232" i="2"/>
  <c r="U232" i="2"/>
  <c r="Z232" i="2"/>
  <c r="K231" i="2"/>
  <c r="E233" i="2"/>
  <c r="F233" i="2"/>
  <c r="L231" i="2" l="1"/>
  <c r="T231" i="2"/>
  <c r="I232" i="2"/>
  <c r="R232" i="2"/>
  <c r="AC231" i="2" s="1"/>
  <c r="S232" i="2"/>
  <c r="P232" i="2" s="1"/>
  <c r="H232" i="2"/>
  <c r="G233" i="2"/>
  <c r="Q231" i="2"/>
  <c r="M231" i="2"/>
  <c r="N231" i="2"/>
  <c r="O231" i="2" s="1"/>
  <c r="J232" i="2"/>
  <c r="A235" i="2"/>
  <c r="B234" i="2"/>
  <c r="D233" i="2"/>
  <c r="U233" i="2"/>
  <c r="K232" i="2"/>
  <c r="W233" i="2"/>
  <c r="C234" i="2"/>
  <c r="AA233" i="2"/>
  <c r="Y233" i="2"/>
  <c r="V233" i="2"/>
  <c r="AB233" i="2"/>
  <c r="D234" i="2"/>
  <c r="X233" i="2"/>
  <c r="Z233" i="2"/>
  <c r="E234" i="2"/>
  <c r="F234" i="2"/>
  <c r="L232" i="2" l="1"/>
  <c r="T232" i="2"/>
  <c r="I233" i="2"/>
  <c r="R233" i="2"/>
  <c r="AC232" i="2" s="1"/>
  <c r="S233" i="2"/>
  <c r="P233" i="2" s="1"/>
  <c r="H233" i="2"/>
  <c r="G234" i="2"/>
  <c r="M232" i="2"/>
  <c r="Q232" i="2"/>
  <c r="N232" i="2"/>
  <c r="O232" i="2" s="1"/>
  <c r="J233" i="2"/>
  <c r="A236" i="2"/>
  <c r="B235" i="2"/>
  <c r="AB234" i="2"/>
  <c r="K233" i="2"/>
  <c r="D235" i="2"/>
  <c r="V234" i="2"/>
  <c r="C235" i="2"/>
  <c r="W234" i="2"/>
  <c r="Z234" i="2"/>
  <c r="AA234" i="2"/>
  <c r="X234" i="2"/>
  <c r="U234" i="2"/>
  <c r="Y234" i="2"/>
  <c r="E235" i="2"/>
  <c r="F235" i="2"/>
  <c r="L233" i="2" l="1"/>
  <c r="T233" i="2"/>
  <c r="I234" i="2"/>
  <c r="R234" i="2"/>
  <c r="AC233" i="2" s="1"/>
  <c r="S234" i="2"/>
  <c r="P234" i="2" s="1"/>
  <c r="H234" i="2"/>
  <c r="G235" i="2"/>
  <c r="Q233" i="2"/>
  <c r="N233" i="2"/>
  <c r="O233" i="2" s="1"/>
  <c r="M233" i="2"/>
  <c r="J234" i="2"/>
  <c r="A237" i="2"/>
  <c r="B236" i="2"/>
  <c r="X235" i="2"/>
  <c r="V235" i="2"/>
  <c r="U235" i="2"/>
  <c r="K234" i="2"/>
  <c r="D236" i="2"/>
  <c r="AA235" i="2"/>
  <c r="Z235" i="2"/>
  <c r="W235" i="2"/>
  <c r="AB235" i="2"/>
  <c r="C236" i="2"/>
  <c r="Y235" i="2"/>
  <c r="E236" i="2"/>
  <c r="F236" i="2"/>
  <c r="L234" i="2" l="1"/>
  <c r="T234" i="2"/>
  <c r="I235" i="2"/>
  <c r="R235" i="2"/>
  <c r="AC234" i="2" s="1"/>
  <c r="S235" i="2"/>
  <c r="P235" i="2" s="1"/>
  <c r="H235" i="2"/>
  <c r="G236" i="2"/>
  <c r="Q234" i="2"/>
  <c r="M234" i="2"/>
  <c r="N234" i="2"/>
  <c r="O234" i="2" s="1"/>
  <c r="J235" i="2"/>
  <c r="A238" i="2"/>
  <c r="B237" i="2"/>
  <c r="V236" i="2"/>
  <c r="W236" i="2"/>
  <c r="Z236" i="2"/>
  <c r="AB236" i="2"/>
  <c r="K235" i="2"/>
  <c r="C237" i="2"/>
  <c r="X236" i="2"/>
  <c r="D237" i="2"/>
  <c r="AA236" i="2"/>
  <c r="Y236" i="2"/>
  <c r="U236" i="2"/>
  <c r="E237" i="2"/>
  <c r="F237" i="2"/>
  <c r="L235" i="2" l="1"/>
  <c r="T235" i="2"/>
  <c r="I236" i="2"/>
  <c r="R236" i="2"/>
  <c r="AC235" i="2" s="1"/>
  <c r="S236" i="2"/>
  <c r="P236" i="2" s="1"/>
  <c r="H236" i="2"/>
  <c r="G237" i="2"/>
  <c r="M235" i="2"/>
  <c r="N235" i="2"/>
  <c r="O235" i="2" s="1"/>
  <c r="Q235" i="2"/>
  <c r="J236" i="2"/>
  <c r="A239" i="2"/>
  <c r="B238" i="2"/>
  <c r="U237" i="2"/>
  <c r="C238" i="2"/>
  <c r="Y237" i="2"/>
  <c r="AB237" i="2"/>
  <c r="V237" i="2"/>
  <c r="Z237" i="2"/>
  <c r="D238" i="2"/>
  <c r="K236" i="2"/>
  <c r="W237" i="2"/>
  <c r="X237" i="2"/>
  <c r="AA237" i="2"/>
  <c r="E238" i="2"/>
  <c r="F238" i="2"/>
  <c r="L236" i="2" l="1"/>
  <c r="T236" i="2"/>
  <c r="I237" i="2"/>
  <c r="R237" i="2"/>
  <c r="AC236" i="2" s="1"/>
  <c r="S237" i="2"/>
  <c r="P237" i="2" s="1"/>
  <c r="H237" i="2"/>
  <c r="G238" i="2"/>
  <c r="Q236" i="2"/>
  <c r="M236" i="2"/>
  <c r="N236" i="2"/>
  <c r="O236" i="2" s="1"/>
  <c r="J237" i="2"/>
  <c r="A240" i="2"/>
  <c r="B239" i="2"/>
  <c r="Z238" i="2"/>
  <c r="K237" i="2"/>
  <c r="D239" i="2"/>
  <c r="AB238" i="2"/>
  <c r="W238" i="2"/>
  <c r="C239" i="2"/>
  <c r="V238" i="2"/>
  <c r="AA238" i="2"/>
  <c r="Y238" i="2"/>
  <c r="X238" i="2"/>
  <c r="U238" i="2"/>
  <c r="E239" i="2"/>
  <c r="F239" i="2"/>
  <c r="L237" i="2" l="1"/>
  <c r="T237" i="2"/>
  <c r="I238" i="2"/>
  <c r="R238" i="2"/>
  <c r="AC237" i="2" s="1"/>
  <c r="S238" i="2"/>
  <c r="P238" i="2" s="1"/>
  <c r="H238" i="2"/>
  <c r="G239" i="2"/>
  <c r="N237" i="2"/>
  <c r="O237" i="2" s="1"/>
  <c r="M237" i="2"/>
  <c r="Q237" i="2"/>
  <c r="J238" i="2"/>
  <c r="A241" i="2"/>
  <c r="B240" i="2"/>
  <c r="V239" i="2"/>
  <c r="Y239" i="2"/>
  <c r="X239" i="2"/>
  <c r="C240" i="2"/>
  <c r="W239" i="2"/>
  <c r="Z239" i="2"/>
  <c r="AB239" i="2"/>
  <c r="U239" i="2"/>
  <c r="K238" i="2"/>
  <c r="D240" i="2"/>
  <c r="AA239" i="2"/>
  <c r="E240" i="2"/>
  <c r="F240" i="2"/>
  <c r="L238" i="2" l="1"/>
  <c r="T238" i="2"/>
  <c r="I239" i="2"/>
  <c r="R239" i="2"/>
  <c r="AC238" i="2" s="1"/>
  <c r="S239" i="2"/>
  <c r="P239" i="2" s="1"/>
  <c r="H239" i="2"/>
  <c r="G240" i="2"/>
  <c r="N238" i="2"/>
  <c r="O238" i="2" s="1"/>
  <c r="M238" i="2"/>
  <c r="Q238" i="2"/>
  <c r="J239" i="2"/>
  <c r="A242" i="2"/>
  <c r="B241" i="2"/>
  <c r="Z240" i="2"/>
  <c r="K239" i="2"/>
  <c r="AB240" i="2"/>
  <c r="W240" i="2"/>
  <c r="U240" i="2"/>
  <c r="X240" i="2"/>
  <c r="D241" i="2"/>
  <c r="V240" i="2"/>
  <c r="AA240" i="2"/>
  <c r="Y240" i="2"/>
  <c r="C241" i="2"/>
  <c r="E241" i="2"/>
  <c r="F241" i="2"/>
  <c r="L239" i="2" l="1"/>
  <c r="T239" i="2"/>
  <c r="I240" i="2"/>
  <c r="R240" i="2"/>
  <c r="AC239" i="2" s="1"/>
  <c r="S240" i="2"/>
  <c r="P240" i="2" s="1"/>
  <c r="H240" i="2"/>
  <c r="G241" i="2"/>
  <c r="Q239" i="2"/>
  <c r="N239" i="2"/>
  <c r="O239" i="2" s="1"/>
  <c r="M239" i="2"/>
  <c r="J240" i="2"/>
  <c r="A243" i="2"/>
  <c r="B242" i="2"/>
  <c r="D242" i="2"/>
  <c r="Y241" i="2"/>
  <c r="K240" i="2"/>
  <c r="C242" i="2"/>
  <c r="V241" i="2"/>
  <c r="AA241" i="2"/>
  <c r="X241" i="2"/>
  <c r="U241" i="2"/>
  <c r="W241" i="2"/>
  <c r="AB241" i="2"/>
  <c r="Z241" i="2"/>
  <c r="E242" i="2"/>
  <c r="F242" i="2"/>
  <c r="L240" i="2" l="1"/>
  <c r="T240" i="2"/>
  <c r="I241" i="2"/>
  <c r="R241" i="2"/>
  <c r="AC240" i="2" s="1"/>
  <c r="S241" i="2"/>
  <c r="P241" i="2" s="1"/>
  <c r="H241" i="2"/>
  <c r="G242" i="2"/>
  <c r="N240" i="2"/>
  <c r="O240" i="2" s="1"/>
  <c r="Q240" i="2"/>
  <c r="M240" i="2"/>
  <c r="J241" i="2"/>
  <c r="A244" i="2"/>
  <c r="B243" i="2"/>
  <c r="Z242" i="2"/>
  <c r="C243" i="2"/>
  <c r="AA242" i="2"/>
  <c r="AB242" i="2"/>
  <c r="D243" i="2"/>
  <c r="X242" i="2"/>
  <c r="Y242" i="2"/>
  <c r="W242" i="2"/>
  <c r="K241" i="2"/>
  <c r="U242" i="2"/>
  <c r="V242" i="2"/>
  <c r="E243" i="2"/>
  <c r="F243" i="2"/>
  <c r="L241" i="2" l="1"/>
  <c r="T241" i="2"/>
  <c r="I242" i="2"/>
  <c r="R242" i="2"/>
  <c r="AC241" i="2" s="1"/>
  <c r="S242" i="2"/>
  <c r="P242" i="2" s="1"/>
  <c r="H242" i="2"/>
  <c r="G243" i="2"/>
  <c r="Q241" i="2"/>
  <c r="N241" i="2"/>
  <c r="O241" i="2" s="1"/>
  <c r="M241" i="2"/>
  <c r="J242" i="2"/>
  <c r="A245" i="2"/>
  <c r="B244" i="2"/>
  <c r="V243" i="2"/>
  <c r="C244" i="2"/>
  <c r="K242" i="2"/>
  <c r="AA243" i="2"/>
  <c r="U243" i="2"/>
  <c r="Y243" i="2"/>
  <c r="Z243" i="2"/>
  <c r="X243" i="2"/>
  <c r="AB243" i="2"/>
  <c r="W243" i="2"/>
  <c r="E244" i="2"/>
  <c r="F244" i="2"/>
  <c r="L242" i="2" l="1"/>
  <c r="T242" i="2"/>
  <c r="I243" i="2"/>
  <c r="R243" i="2"/>
  <c r="AC242" i="2" s="1"/>
  <c r="S243" i="2"/>
  <c r="P243" i="2" s="1"/>
  <c r="H243" i="2"/>
  <c r="G244" i="2"/>
  <c r="Q242" i="2"/>
  <c r="N242" i="2"/>
  <c r="O242" i="2" s="1"/>
  <c r="M242" i="2"/>
  <c r="J243" i="2"/>
  <c r="A246" i="2"/>
  <c r="B245" i="2"/>
  <c r="D244" i="2"/>
  <c r="X244" i="2"/>
  <c r="Y244" i="2"/>
  <c r="K243" i="2"/>
  <c r="V244" i="2"/>
  <c r="Z244" i="2"/>
  <c r="AA244" i="2"/>
  <c r="W244" i="2"/>
  <c r="C245" i="2"/>
  <c r="AB244" i="2"/>
  <c r="D245" i="2"/>
  <c r="U244" i="2"/>
  <c r="E245" i="2"/>
  <c r="F245" i="2"/>
  <c r="L243" i="2" l="1"/>
  <c r="T243" i="2"/>
  <c r="I244" i="2"/>
  <c r="R244" i="2"/>
  <c r="AC243" i="2" s="1"/>
  <c r="S244" i="2"/>
  <c r="P244" i="2" s="1"/>
  <c r="H244" i="2"/>
  <c r="G245" i="2"/>
  <c r="N243" i="2"/>
  <c r="O243" i="2" s="1"/>
  <c r="M243" i="2"/>
  <c r="Q243" i="2"/>
  <c r="J244" i="2"/>
  <c r="A247" i="2"/>
  <c r="B246" i="2"/>
  <c r="U245" i="2"/>
  <c r="AB245" i="2"/>
  <c r="Y245" i="2"/>
  <c r="V245" i="2"/>
  <c r="C246" i="2"/>
  <c r="X245" i="2"/>
  <c r="Z245" i="2"/>
  <c r="W245" i="2"/>
  <c r="D246" i="2"/>
  <c r="AA245" i="2"/>
  <c r="K244" i="2"/>
  <c r="E246" i="2"/>
  <c r="F246" i="2"/>
  <c r="L244" i="2" l="1"/>
  <c r="T244" i="2"/>
  <c r="I245" i="2"/>
  <c r="R245" i="2"/>
  <c r="AC244" i="2" s="1"/>
  <c r="S245" i="2"/>
  <c r="P245" i="2" s="1"/>
  <c r="H245" i="2"/>
  <c r="G246" i="2"/>
  <c r="N244" i="2"/>
  <c r="O244" i="2" s="1"/>
  <c r="M244" i="2"/>
  <c r="Q244" i="2"/>
  <c r="J245" i="2"/>
  <c r="A248" i="2"/>
  <c r="B247" i="2"/>
  <c r="W246" i="2"/>
  <c r="X246" i="2"/>
  <c r="V246" i="2"/>
  <c r="AB246" i="2"/>
  <c r="Y246" i="2"/>
  <c r="AA246" i="2"/>
  <c r="Z246" i="2"/>
  <c r="D247" i="2"/>
  <c r="C247" i="2"/>
  <c r="K245" i="2"/>
  <c r="U246" i="2"/>
  <c r="E247" i="2"/>
  <c r="F247" i="2"/>
  <c r="L245" i="2" l="1"/>
  <c r="T245" i="2"/>
  <c r="I246" i="2"/>
  <c r="R246" i="2"/>
  <c r="AC245" i="2" s="1"/>
  <c r="S246" i="2"/>
  <c r="P246" i="2" s="1"/>
  <c r="H246" i="2"/>
  <c r="G247" i="2"/>
  <c r="N245" i="2"/>
  <c r="O245" i="2" s="1"/>
  <c r="M245" i="2"/>
  <c r="Q245" i="2"/>
  <c r="J246" i="2"/>
  <c r="A249" i="2"/>
  <c r="B248" i="2"/>
  <c r="K246" i="2"/>
  <c r="Y247" i="2"/>
  <c r="AB247" i="2"/>
  <c r="C248" i="2"/>
  <c r="V247" i="2"/>
  <c r="D248" i="2"/>
  <c r="Z247" i="2"/>
  <c r="AA247" i="2"/>
  <c r="W247" i="2"/>
  <c r="U247" i="2"/>
  <c r="X247" i="2"/>
  <c r="E248" i="2"/>
  <c r="F248" i="2"/>
  <c r="L246" i="2" l="1"/>
  <c r="T246" i="2"/>
  <c r="I247" i="2"/>
  <c r="R247" i="2"/>
  <c r="AC246" i="2" s="1"/>
  <c r="S247" i="2"/>
  <c r="P247" i="2" s="1"/>
  <c r="H247" i="2"/>
  <c r="G248" i="2"/>
  <c r="N246" i="2"/>
  <c r="O246" i="2" s="1"/>
  <c r="M246" i="2"/>
  <c r="Q246" i="2"/>
  <c r="J247" i="2"/>
  <c r="A250" i="2"/>
  <c r="B249" i="2"/>
  <c r="V248" i="2"/>
  <c r="X248" i="2"/>
  <c r="Y248" i="2"/>
  <c r="AB248" i="2"/>
  <c r="Z248" i="2"/>
  <c r="D249" i="2"/>
  <c r="W248" i="2"/>
  <c r="C249" i="2"/>
  <c r="U248" i="2"/>
  <c r="AA248" i="2"/>
  <c r="K247" i="2"/>
  <c r="E249" i="2"/>
  <c r="F249" i="2"/>
  <c r="L247" i="2" l="1"/>
  <c r="T247" i="2"/>
  <c r="I248" i="2"/>
  <c r="R248" i="2"/>
  <c r="AC247" i="2" s="1"/>
  <c r="S248" i="2"/>
  <c r="P248" i="2" s="1"/>
  <c r="H248" i="2"/>
  <c r="G249" i="2"/>
  <c r="Q247" i="2"/>
  <c r="M247" i="2"/>
  <c r="N247" i="2"/>
  <c r="O247" i="2" s="1"/>
  <c r="J248" i="2"/>
  <c r="A251" i="2"/>
  <c r="B250" i="2"/>
  <c r="W249" i="2"/>
  <c r="K248" i="2"/>
  <c r="Y249" i="2"/>
  <c r="D250" i="2"/>
  <c r="U249" i="2"/>
  <c r="AA249" i="2"/>
  <c r="V249" i="2"/>
  <c r="AB249" i="2"/>
  <c r="Z249" i="2"/>
  <c r="C250" i="2"/>
  <c r="X249" i="2"/>
  <c r="E250" i="2"/>
  <c r="F250" i="2"/>
  <c r="L248" i="2" l="1"/>
  <c r="T248" i="2"/>
  <c r="I249" i="2"/>
  <c r="R249" i="2"/>
  <c r="AC248" i="2" s="1"/>
  <c r="S249" i="2"/>
  <c r="P249" i="2" s="1"/>
  <c r="H249" i="2"/>
  <c r="G250" i="2"/>
  <c r="M248" i="2"/>
  <c r="N248" i="2"/>
  <c r="O248" i="2" s="1"/>
  <c r="Q248" i="2"/>
  <c r="J249" i="2"/>
  <c r="A252" i="2"/>
  <c r="B251" i="2"/>
  <c r="Y250" i="2"/>
  <c r="U250" i="2"/>
  <c r="K249" i="2"/>
  <c r="V250" i="2"/>
  <c r="C251" i="2"/>
  <c r="AA250" i="2"/>
  <c r="W250" i="2"/>
  <c r="Z250" i="2"/>
  <c r="X250" i="2"/>
  <c r="D251" i="2"/>
  <c r="AB250" i="2"/>
  <c r="E251" i="2"/>
  <c r="F251" i="2"/>
  <c r="L249" i="2" l="1"/>
  <c r="T249" i="2"/>
  <c r="I250" i="2"/>
  <c r="R250" i="2"/>
  <c r="AC249" i="2" s="1"/>
  <c r="S250" i="2"/>
  <c r="P250" i="2" s="1"/>
  <c r="H250" i="2"/>
  <c r="G251" i="2"/>
  <c r="Q249" i="2"/>
  <c r="N249" i="2"/>
  <c r="O249" i="2" s="1"/>
  <c r="M249" i="2"/>
  <c r="J250" i="2"/>
  <c r="A253" i="2"/>
  <c r="B252" i="2"/>
  <c r="Z251" i="2"/>
  <c r="K250" i="2"/>
  <c r="X251" i="2"/>
  <c r="W251" i="2"/>
  <c r="AA251" i="2"/>
  <c r="D252" i="2"/>
  <c r="AB251" i="2"/>
  <c r="U251" i="2"/>
  <c r="C252" i="2"/>
  <c r="V251" i="2"/>
  <c r="Y251" i="2"/>
  <c r="E252" i="2"/>
  <c r="F252" i="2"/>
  <c r="L250" i="2" l="1"/>
  <c r="T250" i="2"/>
  <c r="I251" i="2"/>
  <c r="R251" i="2"/>
  <c r="AC250" i="2" s="1"/>
  <c r="S251" i="2"/>
  <c r="P251" i="2" s="1"/>
  <c r="H251" i="2"/>
  <c r="G252" i="2"/>
  <c r="Q250" i="2"/>
  <c r="M250" i="2"/>
  <c r="N250" i="2"/>
  <c r="O250" i="2" s="1"/>
  <c r="J251" i="2"/>
  <c r="A254" i="2"/>
  <c r="B253" i="2"/>
  <c r="X252" i="2"/>
  <c r="K251" i="2"/>
  <c r="Y252" i="2"/>
  <c r="V252" i="2"/>
  <c r="W252" i="2"/>
  <c r="U252" i="2"/>
  <c r="C253" i="2"/>
  <c r="AA252" i="2"/>
  <c r="Z252" i="2"/>
  <c r="AB252" i="2"/>
  <c r="E253" i="2"/>
  <c r="F253" i="2"/>
  <c r="L251" i="2" l="1"/>
  <c r="T251" i="2"/>
  <c r="I252" i="2"/>
  <c r="R252" i="2"/>
  <c r="AC251" i="2" s="1"/>
  <c r="S252" i="2"/>
  <c r="P252" i="2" s="1"/>
  <c r="H252" i="2"/>
  <c r="G253" i="2"/>
  <c r="M251" i="2"/>
  <c r="N251" i="2"/>
  <c r="O251" i="2" s="1"/>
  <c r="Q251" i="2"/>
  <c r="J252" i="2"/>
  <c r="A255" i="2"/>
  <c r="B254" i="2"/>
  <c r="D253" i="2"/>
  <c r="W253" i="2"/>
  <c r="AB253" i="2"/>
  <c r="AA253" i="2"/>
  <c r="X253" i="2"/>
  <c r="C254" i="2"/>
  <c r="D254" i="2"/>
  <c r="Y253" i="2"/>
  <c r="U253" i="2"/>
  <c r="K252" i="2"/>
  <c r="Z253" i="2"/>
  <c r="V253" i="2"/>
  <c r="E254" i="2"/>
  <c r="F254" i="2"/>
  <c r="L252" i="2" l="1"/>
  <c r="T252" i="2"/>
  <c r="I253" i="2"/>
  <c r="R253" i="2"/>
  <c r="AC252" i="2" s="1"/>
  <c r="S253" i="2"/>
  <c r="P253" i="2" s="1"/>
  <c r="H253" i="2"/>
  <c r="G254" i="2"/>
  <c r="Q252" i="2"/>
  <c r="M252" i="2"/>
  <c r="N252" i="2"/>
  <c r="O252" i="2" s="1"/>
  <c r="J253" i="2"/>
  <c r="A256" i="2"/>
  <c r="B255" i="2"/>
  <c r="C255" i="2"/>
  <c r="AB254" i="2"/>
  <c r="U254" i="2"/>
  <c r="AA254" i="2"/>
  <c r="D255" i="2"/>
  <c r="X254" i="2"/>
  <c r="Z254" i="2"/>
  <c r="V254" i="2"/>
  <c r="W254" i="2"/>
  <c r="K253" i="2"/>
  <c r="Y254" i="2"/>
  <c r="E255" i="2"/>
  <c r="F255" i="2"/>
  <c r="L253" i="2" l="1"/>
  <c r="T253" i="2"/>
  <c r="I254" i="2"/>
  <c r="R254" i="2"/>
  <c r="AC253" i="2" s="1"/>
  <c r="S254" i="2"/>
  <c r="P254" i="2" s="1"/>
  <c r="H254" i="2"/>
  <c r="G255" i="2"/>
  <c r="N253" i="2"/>
  <c r="O253" i="2" s="1"/>
  <c r="M253" i="2"/>
  <c r="Q253" i="2"/>
  <c r="J254" i="2"/>
  <c r="A257" i="2"/>
  <c r="B256" i="2"/>
  <c r="C256" i="2"/>
  <c r="V255" i="2"/>
  <c r="D256" i="2"/>
  <c r="W255" i="2"/>
  <c r="AA255" i="2"/>
  <c r="AB255" i="2"/>
  <c r="X255" i="2"/>
  <c r="Z255" i="2"/>
  <c r="Y255" i="2"/>
  <c r="K254" i="2"/>
  <c r="U255" i="2"/>
  <c r="E256" i="2"/>
  <c r="F256" i="2"/>
  <c r="L254" i="2" l="1"/>
  <c r="T254" i="2"/>
  <c r="I255" i="2"/>
  <c r="R255" i="2"/>
  <c r="AC254" i="2" s="1"/>
  <c r="S255" i="2"/>
  <c r="P255" i="2" s="1"/>
  <c r="H255" i="2"/>
  <c r="G256" i="2"/>
  <c r="N254" i="2"/>
  <c r="O254" i="2" s="1"/>
  <c r="M254" i="2"/>
  <c r="Q254" i="2"/>
  <c r="J255" i="2"/>
  <c r="A258" i="2"/>
  <c r="B257" i="2"/>
  <c r="Y256" i="2"/>
  <c r="AB256" i="2"/>
  <c r="C257" i="2"/>
  <c r="Z256" i="2"/>
  <c r="X256" i="2"/>
  <c r="V256" i="2"/>
  <c r="AA256" i="2"/>
  <c r="K255" i="2"/>
  <c r="W256" i="2"/>
  <c r="U256" i="2"/>
  <c r="E257" i="2"/>
  <c r="F257" i="2"/>
  <c r="L255" i="2" l="1"/>
  <c r="T255" i="2"/>
  <c r="I256" i="2"/>
  <c r="R256" i="2"/>
  <c r="AC255" i="2" s="1"/>
  <c r="S256" i="2"/>
  <c r="P256" i="2" s="1"/>
  <c r="H256" i="2"/>
  <c r="G257" i="2"/>
  <c r="Q255" i="2"/>
  <c r="N255" i="2"/>
  <c r="O255" i="2" s="1"/>
  <c r="M255" i="2"/>
  <c r="J256" i="2"/>
  <c r="A259" i="2"/>
  <c r="B258" i="2"/>
  <c r="D257" i="2"/>
  <c r="AA257" i="2"/>
  <c r="X257" i="2"/>
  <c r="D258" i="2"/>
  <c r="C258" i="2"/>
  <c r="AB257" i="2"/>
  <c r="Y257" i="2"/>
  <c r="Z257" i="2"/>
  <c r="W257" i="2"/>
  <c r="K256" i="2"/>
  <c r="V257" i="2"/>
  <c r="U257" i="2"/>
  <c r="E258" i="2"/>
  <c r="F258" i="2"/>
  <c r="L256" i="2" l="1"/>
  <c r="T256" i="2"/>
  <c r="I257" i="2"/>
  <c r="R257" i="2"/>
  <c r="AC256" i="2" s="1"/>
  <c r="S257" i="2"/>
  <c r="P257" i="2" s="1"/>
  <c r="H257" i="2"/>
  <c r="G258" i="2"/>
  <c r="N256" i="2"/>
  <c r="O256" i="2" s="1"/>
  <c r="Q256" i="2"/>
  <c r="M256" i="2"/>
  <c r="J257" i="2"/>
  <c r="A260" i="2"/>
  <c r="B259" i="2"/>
  <c r="AB258" i="2"/>
  <c r="V258" i="2"/>
  <c r="C259" i="2"/>
  <c r="AA258" i="2"/>
  <c r="D259" i="2"/>
  <c r="U258" i="2"/>
  <c r="W258" i="2"/>
  <c r="Y258" i="2"/>
  <c r="X258" i="2"/>
  <c r="K257" i="2"/>
  <c r="Z258" i="2"/>
  <c r="E259" i="2"/>
  <c r="F259" i="2"/>
  <c r="L257" i="2" l="1"/>
  <c r="T257" i="2"/>
  <c r="I258" i="2"/>
  <c r="R258" i="2"/>
  <c r="AC257" i="2" s="1"/>
  <c r="S258" i="2"/>
  <c r="P258" i="2" s="1"/>
  <c r="H258" i="2"/>
  <c r="G259" i="2"/>
  <c r="Q257" i="2"/>
  <c r="N257" i="2"/>
  <c r="O257" i="2" s="1"/>
  <c r="M257" i="2"/>
  <c r="J258" i="2"/>
  <c r="A261" i="2"/>
  <c r="B260" i="2"/>
  <c r="D260" i="2"/>
  <c r="K258" i="2"/>
  <c r="Y259" i="2"/>
  <c r="C260" i="2"/>
  <c r="W259" i="2"/>
  <c r="V259" i="2"/>
  <c r="X259" i="2"/>
  <c r="Z259" i="2"/>
  <c r="AB259" i="2"/>
  <c r="U259" i="2"/>
  <c r="AA259" i="2"/>
  <c r="E260" i="2"/>
  <c r="F260" i="2"/>
  <c r="L258" i="2" l="1"/>
  <c r="T258" i="2"/>
  <c r="I259" i="2"/>
  <c r="R259" i="2"/>
  <c r="AC258" i="2" s="1"/>
  <c r="S259" i="2"/>
  <c r="P259" i="2" s="1"/>
  <c r="H259" i="2"/>
  <c r="G260" i="2"/>
  <c r="N258" i="2"/>
  <c r="O258" i="2" s="1"/>
  <c r="Q258" i="2"/>
  <c r="M258" i="2"/>
  <c r="J259" i="2"/>
  <c r="A262" i="2"/>
  <c r="B261" i="2"/>
  <c r="C261" i="2"/>
  <c r="AB260" i="2"/>
  <c r="D261" i="2"/>
  <c r="V260" i="2"/>
  <c r="Z260" i="2"/>
  <c r="AA260" i="2"/>
  <c r="X260" i="2"/>
  <c r="K259" i="2"/>
  <c r="W260" i="2"/>
  <c r="U260" i="2"/>
  <c r="Y260" i="2"/>
  <c r="E261" i="2"/>
  <c r="F261" i="2"/>
  <c r="L259" i="2" l="1"/>
  <c r="T259" i="2"/>
  <c r="I260" i="2"/>
  <c r="R260" i="2"/>
  <c r="AC259" i="2" s="1"/>
  <c r="S260" i="2"/>
  <c r="P260" i="2" s="1"/>
  <c r="H260" i="2"/>
  <c r="G261" i="2"/>
  <c r="N259" i="2"/>
  <c r="O259" i="2" s="1"/>
  <c r="M259" i="2"/>
  <c r="Q259" i="2"/>
  <c r="J260" i="2"/>
  <c r="A263" i="2"/>
  <c r="B262" i="2"/>
  <c r="V261" i="2"/>
  <c r="AA261" i="2"/>
  <c r="D262" i="2"/>
  <c r="Y261" i="2"/>
  <c r="W261" i="2"/>
  <c r="C262" i="2"/>
  <c r="AB261" i="2"/>
  <c r="U261" i="2"/>
  <c r="X261" i="2"/>
  <c r="K260" i="2"/>
  <c r="Z261" i="2"/>
  <c r="E262" i="2"/>
  <c r="F262" i="2"/>
  <c r="L260" i="2" l="1"/>
  <c r="T260" i="2"/>
  <c r="I261" i="2"/>
  <c r="R261" i="2"/>
  <c r="AC260" i="2" s="1"/>
  <c r="S261" i="2"/>
  <c r="P261" i="2" s="1"/>
  <c r="H261" i="2"/>
  <c r="G262" i="2"/>
  <c r="N260" i="2"/>
  <c r="O260" i="2" s="1"/>
  <c r="Q260" i="2"/>
  <c r="M260" i="2"/>
  <c r="J261" i="2"/>
  <c r="A264" i="2"/>
  <c r="B263" i="2"/>
  <c r="W262" i="2"/>
  <c r="K261" i="2"/>
  <c r="X262" i="2"/>
  <c r="C263" i="2"/>
  <c r="Z262" i="2"/>
  <c r="AA262" i="2"/>
  <c r="V262" i="2"/>
  <c r="AB262" i="2"/>
  <c r="U262" i="2"/>
  <c r="Y262" i="2"/>
  <c r="E263" i="2"/>
  <c r="F263" i="2"/>
  <c r="L261" i="2" l="1"/>
  <c r="T261" i="2"/>
  <c r="I262" i="2"/>
  <c r="R262" i="2"/>
  <c r="AC261" i="2" s="1"/>
  <c r="S262" i="2"/>
  <c r="P262" i="2" s="1"/>
  <c r="H262" i="2"/>
  <c r="G263" i="2"/>
  <c r="N261" i="2"/>
  <c r="O261" i="2" s="1"/>
  <c r="M261" i="2"/>
  <c r="Q261" i="2"/>
  <c r="J262" i="2"/>
  <c r="A265" i="2"/>
  <c r="B264" i="2"/>
  <c r="D264" i="2"/>
  <c r="AA263" i="2"/>
  <c r="K262" i="2"/>
  <c r="C264" i="2"/>
  <c r="X263" i="2"/>
  <c r="AB263" i="2"/>
  <c r="Y263" i="2"/>
  <c r="V263" i="2"/>
  <c r="U263" i="2"/>
  <c r="W263" i="2"/>
  <c r="Z263" i="2"/>
  <c r="D263" i="2"/>
  <c r="E264" i="2"/>
  <c r="F264" i="2"/>
  <c r="L262" i="2" l="1"/>
  <c r="T262" i="2"/>
  <c r="I263" i="2"/>
  <c r="R263" i="2"/>
  <c r="AC262" i="2" s="1"/>
  <c r="S263" i="2"/>
  <c r="P263" i="2" s="1"/>
  <c r="H263" i="2"/>
  <c r="G264" i="2"/>
  <c r="Q262" i="2"/>
  <c r="N262" i="2"/>
  <c r="O262" i="2" s="1"/>
  <c r="M262" i="2"/>
  <c r="J263" i="2"/>
  <c r="A266" i="2"/>
  <c r="B265" i="2"/>
  <c r="AA264" i="2"/>
  <c r="D265" i="2"/>
  <c r="K263" i="2"/>
  <c r="X264" i="2"/>
  <c r="Z264" i="2"/>
  <c r="C265" i="2"/>
  <c r="U264" i="2"/>
  <c r="AB264" i="2"/>
  <c r="W264" i="2"/>
  <c r="Y264" i="2"/>
  <c r="V264" i="2"/>
  <c r="E265" i="2"/>
  <c r="F265" i="2"/>
  <c r="L263" i="2" l="1"/>
  <c r="T263" i="2"/>
  <c r="I264" i="2"/>
  <c r="R264" i="2"/>
  <c r="AC263" i="2" s="1"/>
  <c r="S264" i="2"/>
  <c r="P264" i="2" s="1"/>
  <c r="H264" i="2"/>
  <c r="G265" i="2"/>
  <c r="Q263" i="2"/>
  <c r="M263" i="2"/>
  <c r="N263" i="2"/>
  <c r="O263" i="2" s="1"/>
  <c r="J264" i="2"/>
  <c r="A267" i="2"/>
  <c r="B266" i="2"/>
  <c r="Y265" i="2"/>
  <c r="AB265" i="2"/>
  <c r="C266" i="2"/>
  <c r="V265" i="2"/>
  <c r="AA265" i="2"/>
  <c r="W265" i="2"/>
  <c r="D266" i="2"/>
  <c r="Z265" i="2"/>
  <c r="X265" i="2"/>
  <c r="K264" i="2"/>
  <c r="U265" i="2"/>
  <c r="E266" i="2"/>
  <c r="F266" i="2"/>
  <c r="L264" i="2" l="1"/>
  <c r="T264" i="2"/>
  <c r="I265" i="2"/>
  <c r="R265" i="2"/>
  <c r="AC264" i="2" s="1"/>
  <c r="S265" i="2"/>
  <c r="P265" i="2" s="1"/>
  <c r="H265" i="2"/>
  <c r="G266" i="2"/>
  <c r="M264" i="2"/>
  <c r="Q264" i="2"/>
  <c r="N264" i="2"/>
  <c r="O264" i="2" s="1"/>
  <c r="J265" i="2"/>
  <c r="A268" i="2"/>
  <c r="B267" i="2"/>
  <c r="Y266" i="2"/>
  <c r="W266" i="2"/>
  <c r="D267" i="2"/>
  <c r="U266" i="2"/>
  <c r="AA266" i="2"/>
  <c r="V266" i="2"/>
  <c r="Z266" i="2"/>
  <c r="K265" i="2"/>
  <c r="C267" i="2"/>
  <c r="AB266" i="2"/>
  <c r="X266" i="2"/>
  <c r="E267" i="2"/>
  <c r="F267" i="2"/>
  <c r="L265" i="2" l="1"/>
  <c r="T265" i="2"/>
  <c r="I266" i="2"/>
  <c r="R266" i="2"/>
  <c r="AC265" i="2" s="1"/>
  <c r="S266" i="2"/>
  <c r="P266" i="2" s="1"/>
  <c r="H266" i="2"/>
  <c r="G267" i="2"/>
  <c r="Q265" i="2"/>
  <c r="N265" i="2"/>
  <c r="O265" i="2" s="1"/>
  <c r="M265" i="2"/>
  <c r="J266" i="2"/>
  <c r="A269" i="2"/>
  <c r="B268" i="2"/>
  <c r="AB267" i="2"/>
  <c r="U267" i="2"/>
  <c r="Y267" i="2"/>
  <c r="AA267" i="2"/>
  <c r="X267" i="2"/>
  <c r="V267" i="2"/>
  <c r="W267" i="2"/>
  <c r="D268" i="2"/>
  <c r="K266" i="2"/>
  <c r="Z267" i="2"/>
  <c r="C268" i="2"/>
  <c r="E268" i="2"/>
  <c r="F268" i="2"/>
  <c r="L266" i="2" l="1"/>
  <c r="T266" i="2"/>
  <c r="I267" i="2"/>
  <c r="R267" i="2"/>
  <c r="AC266" i="2" s="1"/>
  <c r="S267" i="2"/>
  <c r="P267" i="2" s="1"/>
  <c r="H267" i="2"/>
  <c r="G268" i="2"/>
  <c r="N266" i="2"/>
  <c r="O266" i="2" s="1"/>
  <c r="M266" i="2"/>
  <c r="Q266" i="2"/>
  <c r="J267" i="2"/>
  <c r="A270" i="2"/>
  <c r="B269" i="2"/>
  <c r="AB268" i="2"/>
  <c r="K267" i="2"/>
  <c r="Z268" i="2"/>
  <c r="X268" i="2"/>
  <c r="D269" i="2"/>
  <c r="W268" i="2"/>
  <c r="AA268" i="2"/>
  <c r="C269" i="2"/>
  <c r="V268" i="2"/>
  <c r="Y268" i="2"/>
  <c r="U268" i="2"/>
  <c r="E269" i="2"/>
  <c r="F269" i="2"/>
  <c r="L267" i="2" l="1"/>
  <c r="T267" i="2"/>
  <c r="I268" i="2"/>
  <c r="R268" i="2"/>
  <c r="AC267" i="2" s="1"/>
  <c r="S268" i="2"/>
  <c r="P268" i="2" s="1"/>
  <c r="H268" i="2"/>
  <c r="G269" i="2"/>
  <c r="M267" i="2"/>
  <c r="N267" i="2"/>
  <c r="O267" i="2" s="1"/>
  <c r="Q267" i="2"/>
  <c r="J268" i="2"/>
  <c r="A271" i="2"/>
  <c r="B270" i="2"/>
  <c r="U269" i="2"/>
  <c r="Y269" i="2"/>
  <c r="D270" i="2"/>
  <c r="K268" i="2"/>
  <c r="AB269" i="2"/>
  <c r="AA269" i="2"/>
  <c r="V269" i="2"/>
  <c r="Z269" i="2"/>
  <c r="C270" i="2"/>
  <c r="X269" i="2"/>
  <c r="W269" i="2"/>
  <c r="E270" i="2"/>
  <c r="F270" i="2"/>
  <c r="L268" i="2" l="1"/>
  <c r="T268" i="2"/>
  <c r="I269" i="2"/>
  <c r="R269" i="2"/>
  <c r="AC268" i="2" s="1"/>
  <c r="S269" i="2"/>
  <c r="P269" i="2" s="1"/>
  <c r="H269" i="2"/>
  <c r="G270" i="2"/>
  <c r="Q268" i="2"/>
  <c r="M268" i="2"/>
  <c r="N268" i="2"/>
  <c r="O268" i="2" s="1"/>
  <c r="J269" i="2"/>
  <c r="A272" i="2"/>
  <c r="B271" i="2"/>
  <c r="Y270" i="2"/>
  <c r="K269" i="2"/>
  <c r="C271" i="2"/>
  <c r="U270" i="2"/>
  <c r="X270" i="2"/>
  <c r="AA270" i="2"/>
  <c r="W270" i="2"/>
  <c r="Z270" i="2"/>
  <c r="AB270" i="2"/>
  <c r="V270" i="2"/>
  <c r="E271" i="2"/>
  <c r="F271" i="2"/>
  <c r="L269" i="2" l="1"/>
  <c r="T269" i="2"/>
  <c r="I270" i="2"/>
  <c r="R270" i="2"/>
  <c r="AC269" i="2" s="1"/>
  <c r="S270" i="2"/>
  <c r="P270" i="2" s="1"/>
  <c r="H270" i="2"/>
  <c r="G271" i="2"/>
  <c r="N269" i="2"/>
  <c r="O269" i="2" s="1"/>
  <c r="M269" i="2"/>
  <c r="Q269" i="2"/>
  <c r="J270" i="2"/>
  <c r="A273" i="2"/>
  <c r="B272" i="2"/>
  <c r="D271" i="2"/>
  <c r="U271" i="2"/>
  <c r="W271" i="2"/>
  <c r="C272" i="2"/>
  <c r="AA271" i="2"/>
  <c r="Y271" i="2"/>
  <c r="D272" i="2"/>
  <c r="X271" i="2"/>
  <c r="V271" i="2"/>
  <c r="AB271" i="2"/>
  <c r="K270" i="2"/>
  <c r="Z271" i="2"/>
  <c r="E272" i="2"/>
  <c r="F272" i="2"/>
  <c r="L270" i="2" l="1"/>
  <c r="T270" i="2"/>
  <c r="I271" i="2"/>
  <c r="R271" i="2"/>
  <c r="AC270" i="2" s="1"/>
  <c r="S271" i="2"/>
  <c r="P271" i="2" s="1"/>
  <c r="H271" i="2"/>
  <c r="G272" i="2"/>
  <c r="Q270" i="2"/>
  <c r="N270" i="2"/>
  <c r="O270" i="2" s="1"/>
  <c r="M270" i="2"/>
  <c r="J271" i="2"/>
  <c r="A274" i="2"/>
  <c r="B273" i="2"/>
  <c r="U272" i="2"/>
  <c r="W272" i="2"/>
  <c r="K271" i="2"/>
  <c r="AB272" i="2"/>
  <c r="D273" i="2"/>
  <c r="Z272" i="2"/>
  <c r="AA272" i="2"/>
  <c r="Y272" i="2"/>
  <c r="C273" i="2"/>
  <c r="V272" i="2"/>
  <c r="X272" i="2"/>
  <c r="E273" i="2"/>
  <c r="F273" i="2"/>
  <c r="L271" i="2" l="1"/>
  <c r="T271" i="2"/>
  <c r="I272" i="2"/>
  <c r="R272" i="2"/>
  <c r="AC271" i="2" s="1"/>
  <c r="S272" i="2"/>
  <c r="P272" i="2" s="1"/>
  <c r="H272" i="2"/>
  <c r="G273" i="2"/>
  <c r="Q271" i="2"/>
  <c r="N271" i="2"/>
  <c r="O271" i="2" s="1"/>
  <c r="M271" i="2"/>
  <c r="J272" i="2"/>
  <c r="A275" i="2"/>
  <c r="B274" i="2"/>
  <c r="AB273" i="2"/>
  <c r="K272" i="2"/>
  <c r="C274" i="2"/>
  <c r="X273" i="2"/>
  <c r="Y273" i="2"/>
  <c r="U273" i="2"/>
  <c r="D274" i="2"/>
  <c r="Z273" i="2"/>
  <c r="V273" i="2"/>
  <c r="W273" i="2"/>
  <c r="AA273" i="2"/>
  <c r="E274" i="2"/>
  <c r="F274" i="2"/>
  <c r="L272" i="2" l="1"/>
  <c r="T272" i="2"/>
  <c r="I273" i="2"/>
  <c r="R273" i="2"/>
  <c r="AC272" i="2" s="1"/>
  <c r="S273" i="2"/>
  <c r="P273" i="2" s="1"/>
  <c r="H273" i="2"/>
  <c r="G274" i="2"/>
  <c r="N272" i="2"/>
  <c r="O272" i="2" s="1"/>
  <c r="Q272" i="2"/>
  <c r="M272" i="2"/>
  <c r="J273" i="2"/>
  <c r="A276" i="2"/>
  <c r="B275" i="2"/>
  <c r="V274" i="2"/>
  <c r="U274" i="2"/>
  <c r="K273" i="2"/>
  <c r="AA274" i="2"/>
  <c r="Z274" i="2"/>
  <c r="X274" i="2"/>
  <c r="C275" i="2"/>
  <c r="AB274" i="2"/>
  <c r="W274" i="2"/>
  <c r="Y274" i="2"/>
  <c r="E275" i="2"/>
  <c r="F275" i="2"/>
  <c r="L273" i="2" l="1"/>
  <c r="T273" i="2"/>
  <c r="I274" i="2"/>
  <c r="R274" i="2"/>
  <c r="AC273" i="2" s="1"/>
  <c r="S274" i="2"/>
  <c r="P274" i="2" s="1"/>
  <c r="H274" i="2"/>
  <c r="G275" i="2"/>
  <c r="Q273" i="2"/>
  <c r="N273" i="2"/>
  <c r="O273" i="2" s="1"/>
  <c r="M273" i="2"/>
  <c r="J274" i="2"/>
  <c r="A277" i="2"/>
  <c r="B276" i="2"/>
  <c r="D275" i="2"/>
  <c r="X275" i="2"/>
  <c r="K274" i="2"/>
  <c r="C276" i="2"/>
  <c r="U275" i="2"/>
  <c r="Z275" i="2"/>
  <c r="Y275" i="2"/>
  <c r="AA275" i="2"/>
  <c r="D276" i="2"/>
  <c r="V275" i="2"/>
  <c r="W275" i="2"/>
  <c r="AB275" i="2"/>
  <c r="E276" i="2"/>
  <c r="F276" i="2"/>
  <c r="L274" i="2" l="1"/>
  <c r="T274" i="2"/>
  <c r="I275" i="2"/>
  <c r="R275" i="2"/>
  <c r="AC274" i="2" s="1"/>
  <c r="S275" i="2"/>
  <c r="P275" i="2" s="1"/>
  <c r="H275" i="2"/>
  <c r="G276" i="2"/>
  <c r="N274" i="2"/>
  <c r="O274" i="2" s="1"/>
  <c r="M274" i="2"/>
  <c r="Q274" i="2"/>
  <c r="J275" i="2"/>
  <c r="A278" i="2"/>
  <c r="B277" i="2"/>
  <c r="K275" i="2"/>
  <c r="V276" i="2"/>
  <c r="U276" i="2"/>
  <c r="Y276" i="2"/>
  <c r="AB276" i="2"/>
  <c r="AA276" i="2"/>
  <c r="D277" i="2"/>
  <c r="W276" i="2"/>
  <c r="Z276" i="2"/>
  <c r="X276" i="2"/>
  <c r="C277" i="2"/>
  <c r="E277" i="2"/>
  <c r="F277" i="2"/>
  <c r="L275" i="2" l="1"/>
  <c r="T275" i="2"/>
  <c r="I276" i="2"/>
  <c r="R276" i="2"/>
  <c r="AC275" i="2" s="1"/>
  <c r="S276" i="2"/>
  <c r="P276" i="2" s="1"/>
  <c r="H276" i="2"/>
  <c r="G277" i="2"/>
  <c r="N275" i="2"/>
  <c r="O275" i="2" s="1"/>
  <c r="M275" i="2"/>
  <c r="Q275" i="2"/>
  <c r="J276" i="2"/>
  <c r="A279" i="2"/>
  <c r="B278" i="2"/>
  <c r="Z277" i="2"/>
  <c r="K276" i="2"/>
  <c r="AA277" i="2"/>
  <c r="V277" i="2"/>
  <c r="D278" i="2"/>
  <c r="C278" i="2"/>
  <c r="X277" i="2"/>
  <c r="Y277" i="2"/>
  <c r="AB277" i="2"/>
  <c r="W277" i="2"/>
  <c r="U277" i="2"/>
  <c r="E278" i="2"/>
  <c r="F278" i="2"/>
  <c r="L276" i="2" l="1"/>
  <c r="T276" i="2"/>
  <c r="I277" i="2"/>
  <c r="R277" i="2"/>
  <c r="AC276" i="2" s="1"/>
  <c r="S277" i="2"/>
  <c r="P277" i="2" s="1"/>
  <c r="H277" i="2"/>
  <c r="G278" i="2"/>
  <c r="N276" i="2"/>
  <c r="O276" i="2" s="1"/>
  <c r="M276" i="2"/>
  <c r="Q276" i="2"/>
  <c r="J277" i="2"/>
  <c r="A280" i="2"/>
  <c r="B279" i="2"/>
  <c r="V278" i="2"/>
  <c r="K277" i="2"/>
  <c r="W278" i="2"/>
  <c r="AB278" i="2"/>
  <c r="Z278" i="2"/>
  <c r="Y278" i="2"/>
  <c r="AA278" i="2"/>
  <c r="C279" i="2"/>
  <c r="X278" i="2"/>
  <c r="U278" i="2"/>
  <c r="E279" i="2"/>
  <c r="F279" i="2"/>
  <c r="L277" i="2" l="1"/>
  <c r="T277" i="2"/>
  <c r="I278" i="2"/>
  <c r="R278" i="2"/>
  <c r="AC277" i="2" s="1"/>
  <c r="S278" i="2"/>
  <c r="P278" i="2" s="1"/>
  <c r="H278" i="2"/>
  <c r="G279" i="2"/>
  <c r="N277" i="2"/>
  <c r="O277" i="2" s="1"/>
  <c r="M277" i="2"/>
  <c r="Q277" i="2"/>
  <c r="J278" i="2"/>
  <c r="A281" i="2"/>
  <c r="B280" i="2"/>
  <c r="D279" i="2"/>
  <c r="X279" i="2"/>
  <c r="Z279" i="2"/>
  <c r="AB279" i="2"/>
  <c r="AA279" i="2"/>
  <c r="D280" i="2"/>
  <c r="Y279" i="2"/>
  <c r="C280" i="2"/>
  <c r="V279" i="2"/>
  <c r="W279" i="2"/>
  <c r="K278" i="2"/>
  <c r="U279" i="2"/>
  <c r="E280" i="2"/>
  <c r="F280" i="2"/>
  <c r="L278" i="2" l="1"/>
  <c r="T278" i="2"/>
  <c r="I279" i="2"/>
  <c r="R279" i="2"/>
  <c r="AC278" i="2" s="1"/>
  <c r="S279" i="2"/>
  <c r="P279" i="2" s="1"/>
  <c r="H279" i="2"/>
  <c r="G280" i="2"/>
  <c r="Q278" i="2"/>
  <c r="N278" i="2"/>
  <c r="O278" i="2" s="1"/>
  <c r="M278" i="2"/>
  <c r="J279" i="2"/>
  <c r="A282" i="2"/>
  <c r="B281" i="2"/>
  <c r="AA280" i="2"/>
  <c r="K279" i="2"/>
  <c r="Y280" i="2"/>
  <c r="U280" i="2"/>
  <c r="C281" i="2"/>
  <c r="X280" i="2"/>
  <c r="AB280" i="2"/>
  <c r="Z280" i="2"/>
  <c r="W280" i="2"/>
  <c r="D281" i="2"/>
  <c r="V280" i="2"/>
  <c r="E281" i="2"/>
  <c r="F281" i="2"/>
  <c r="L279" i="2" l="1"/>
  <c r="T279" i="2"/>
  <c r="I280" i="2"/>
  <c r="R280" i="2"/>
  <c r="AC279" i="2" s="1"/>
  <c r="S280" i="2"/>
  <c r="P280" i="2" s="1"/>
  <c r="H280" i="2"/>
  <c r="G281" i="2"/>
  <c r="Q279" i="2"/>
  <c r="M279" i="2"/>
  <c r="N279" i="2"/>
  <c r="O279" i="2" s="1"/>
  <c r="J280" i="2"/>
  <c r="A283" i="2"/>
  <c r="B282" i="2"/>
  <c r="U281" i="2"/>
  <c r="K280" i="2"/>
  <c r="V281" i="2"/>
  <c r="X281" i="2"/>
  <c r="W281" i="2"/>
  <c r="C282" i="2"/>
  <c r="AB281" i="2"/>
  <c r="AA281" i="2"/>
  <c r="Y281" i="2"/>
  <c r="D282" i="2"/>
  <c r="Z281" i="2"/>
  <c r="E282" i="2"/>
  <c r="F282" i="2"/>
  <c r="L280" i="2" l="1"/>
  <c r="T280" i="2"/>
  <c r="I281" i="2"/>
  <c r="R281" i="2"/>
  <c r="AC280" i="2" s="1"/>
  <c r="S281" i="2"/>
  <c r="P281" i="2" s="1"/>
  <c r="H281" i="2"/>
  <c r="G282" i="2"/>
  <c r="M280" i="2"/>
  <c r="N280" i="2"/>
  <c r="O280" i="2" s="1"/>
  <c r="Q280" i="2"/>
  <c r="J281" i="2"/>
  <c r="A284" i="2"/>
  <c r="B283" i="2"/>
  <c r="AA282" i="2"/>
  <c r="C283" i="2"/>
  <c r="X282" i="2"/>
  <c r="W282" i="2"/>
  <c r="Y282" i="2"/>
  <c r="U282" i="2"/>
  <c r="V282" i="2"/>
  <c r="D283" i="2"/>
  <c r="Z282" i="2"/>
  <c r="K281" i="2"/>
  <c r="AB282" i="2"/>
  <c r="E283" i="2"/>
  <c r="F283" i="2"/>
  <c r="L281" i="2" l="1"/>
  <c r="T281" i="2"/>
  <c r="I282" i="2"/>
  <c r="R282" i="2"/>
  <c r="AC281" i="2" s="1"/>
  <c r="S282" i="2"/>
  <c r="P282" i="2" s="1"/>
  <c r="H282" i="2"/>
  <c r="G283" i="2"/>
  <c r="Q281" i="2"/>
  <c r="N281" i="2"/>
  <c r="O281" i="2" s="1"/>
  <c r="M281" i="2"/>
  <c r="J282" i="2"/>
  <c r="A285" i="2"/>
  <c r="B284" i="2"/>
  <c r="X283" i="2"/>
  <c r="AA283" i="2"/>
  <c r="U283" i="2"/>
  <c r="AB283" i="2"/>
  <c r="Z283" i="2"/>
  <c r="K282" i="2"/>
  <c r="W283" i="2"/>
  <c r="C284" i="2"/>
  <c r="D284" i="2"/>
  <c r="Y283" i="2"/>
  <c r="V283" i="2"/>
  <c r="E284" i="2"/>
  <c r="F284" i="2"/>
  <c r="L282" i="2" l="1"/>
  <c r="T282" i="2"/>
  <c r="I283" i="2"/>
  <c r="R283" i="2"/>
  <c r="AC282" i="2" s="1"/>
  <c r="S283" i="2"/>
  <c r="P283" i="2" s="1"/>
  <c r="H283" i="2"/>
  <c r="G284" i="2"/>
  <c r="N282" i="2"/>
  <c r="O282" i="2" s="1"/>
  <c r="M282" i="2"/>
  <c r="Q282" i="2"/>
  <c r="J283" i="2"/>
  <c r="A286" i="2"/>
  <c r="B285" i="2"/>
  <c r="AA284" i="2"/>
  <c r="X284" i="2"/>
  <c r="K283" i="2"/>
  <c r="Y284" i="2"/>
  <c r="W284" i="2"/>
  <c r="AB284" i="2"/>
  <c r="C285" i="2"/>
  <c r="D285" i="2"/>
  <c r="Z284" i="2"/>
  <c r="U284" i="2"/>
  <c r="V284" i="2"/>
  <c r="E285" i="2"/>
  <c r="F285" i="2"/>
  <c r="L283" i="2" l="1"/>
  <c r="T283" i="2"/>
  <c r="I284" i="2"/>
  <c r="R284" i="2"/>
  <c r="AC283" i="2" s="1"/>
  <c r="S284" i="2"/>
  <c r="P284" i="2" s="1"/>
  <c r="H284" i="2"/>
  <c r="G285" i="2"/>
  <c r="M283" i="2"/>
  <c r="N283" i="2"/>
  <c r="O283" i="2" s="1"/>
  <c r="Q283" i="2"/>
  <c r="J284" i="2"/>
  <c r="A287" i="2"/>
  <c r="B286" i="2"/>
  <c r="C286" i="2"/>
  <c r="X285" i="2"/>
  <c r="K284" i="2"/>
  <c r="AB285" i="2"/>
  <c r="Z285" i="2"/>
  <c r="U285" i="2"/>
  <c r="D286" i="2"/>
  <c r="V285" i="2"/>
  <c r="Y285" i="2"/>
  <c r="AA285" i="2"/>
  <c r="W285" i="2"/>
  <c r="E286" i="2"/>
  <c r="F286" i="2"/>
  <c r="L284" i="2" l="1"/>
  <c r="T284" i="2"/>
  <c r="I285" i="2"/>
  <c r="R285" i="2"/>
  <c r="AC284" i="2" s="1"/>
  <c r="S285" i="2"/>
  <c r="P285" i="2" s="1"/>
  <c r="H285" i="2"/>
  <c r="G286" i="2"/>
  <c r="Q284" i="2"/>
  <c r="M284" i="2"/>
  <c r="N284" i="2"/>
  <c r="O284" i="2" s="1"/>
  <c r="J285" i="2"/>
  <c r="A288" i="2"/>
  <c r="B287" i="2"/>
  <c r="X286" i="2"/>
  <c r="C287" i="2"/>
  <c r="K285" i="2"/>
  <c r="AB286" i="2"/>
  <c r="V286" i="2"/>
  <c r="D287" i="2"/>
  <c r="AA286" i="2"/>
  <c r="U286" i="2"/>
  <c r="Y286" i="2"/>
  <c r="Z286" i="2"/>
  <c r="W286" i="2"/>
  <c r="E287" i="2"/>
  <c r="F287" i="2"/>
  <c r="L285" i="2" l="1"/>
  <c r="T285" i="2"/>
  <c r="I286" i="2"/>
  <c r="R286" i="2"/>
  <c r="AC285" i="2" s="1"/>
  <c r="S286" i="2"/>
  <c r="P286" i="2" s="1"/>
  <c r="H286" i="2"/>
  <c r="G287" i="2"/>
  <c r="N285" i="2"/>
  <c r="O285" i="2" s="1"/>
  <c r="M285" i="2"/>
  <c r="Q285" i="2"/>
  <c r="J286" i="2"/>
  <c r="A289" i="2"/>
  <c r="B288" i="2"/>
  <c r="X287" i="2"/>
  <c r="U287" i="2"/>
  <c r="K286" i="2"/>
  <c r="V287" i="2"/>
  <c r="W287" i="2"/>
  <c r="Z287" i="2"/>
  <c r="C288" i="2"/>
  <c r="Y287" i="2"/>
  <c r="AB287" i="2"/>
  <c r="AA287" i="2"/>
  <c r="E288" i="2"/>
  <c r="F288" i="2"/>
  <c r="L286" i="2" l="1"/>
  <c r="T286" i="2"/>
  <c r="I287" i="2"/>
  <c r="R287" i="2"/>
  <c r="AC286" i="2" s="1"/>
  <c r="S287" i="2"/>
  <c r="P287" i="2" s="1"/>
  <c r="H287" i="2"/>
  <c r="G288" i="2"/>
  <c r="Q286" i="2"/>
  <c r="N286" i="2"/>
  <c r="O286" i="2" s="1"/>
  <c r="M286" i="2"/>
  <c r="J287" i="2"/>
  <c r="A290" i="2"/>
  <c r="B289" i="2"/>
  <c r="D288" i="2"/>
  <c r="AA288" i="2"/>
  <c r="K287" i="2"/>
  <c r="AB288" i="2"/>
  <c r="C289" i="2"/>
  <c r="W288" i="2"/>
  <c r="U288" i="2"/>
  <c r="Z288" i="2"/>
  <c r="V288" i="2"/>
  <c r="Y288" i="2"/>
  <c r="X288" i="2"/>
  <c r="E289" i="2"/>
  <c r="F289" i="2"/>
  <c r="L287" i="2" l="1"/>
  <c r="T287" i="2"/>
  <c r="I288" i="2"/>
  <c r="R288" i="2"/>
  <c r="AC287" i="2" s="1"/>
  <c r="S288" i="2"/>
  <c r="P288" i="2" s="1"/>
  <c r="H288" i="2"/>
  <c r="G289" i="2"/>
  <c r="Q287" i="2"/>
  <c r="N287" i="2"/>
  <c r="O287" i="2" s="1"/>
  <c r="M287" i="2"/>
  <c r="J288" i="2"/>
  <c r="A291" i="2"/>
  <c r="B290" i="2"/>
  <c r="W289" i="2"/>
  <c r="AB289" i="2"/>
  <c r="V289" i="2"/>
  <c r="AA289" i="2"/>
  <c r="X289" i="2"/>
  <c r="Y289" i="2"/>
  <c r="K288" i="2"/>
  <c r="Z289" i="2"/>
  <c r="C290" i="2"/>
  <c r="D290" i="2"/>
  <c r="U289" i="2"/>
  <c r="D289" i="2"/>
  <c r="E290" i="2"/>
  <c r="F290" i="2"/>
  <c r="L288" i="2" l="1"/>
  <c r="T288" i="2"/>
  <c r="I289" i="2"/>
  <c r="R289" i="2"/>
  <c r="AC288" i="2" s="1"/>
  <c r="S289" i="2"/>
  <c r="P289" i="2" s="1"/>
  <c r="H289" i="2"/>
  <c r="G290" i="2"/>
  <c r="N288" i="2"/>
  <c r="O288" i="2" s="1"/>
  <c r="Q288" i="2"/>
  <c r="M288" i="2"/>
  <c r="J289" i="2"/>
  <c r="A292" i="2"/>
  <c r="B291" i="2"/>
  <c r="F291" i="2"/>
  <c r="E291" i="2"/>
  <c r="AA290" i="2"/>
  <c r="Y290" i="2"/>
  <c r="Z290" i="2"/>
  <c r="C291" i="2"/>
  <c r="W290" i="2"/>
  <c r="AB290" i="2"/>
  <c r="X290" i="2"/>
  <c r="K289" i="2"/>
  <c r="V290" i="2"/>
  <c r="U290" i="2"/>
  <c r="L289" i="2" l="1"/>
  <c r="T289" i="2"/>
  <c r="I290" i="2"/>
  <c r="R290" i="2"/>
  <c r="AC289" i="2" s="1"/>
  <c r="S290" i="2"/>
  <c r="P290" i="2" s="1"/>
  <c r="H290" i="2"/>
  <c r="G291" i="2"/>
  <c r="Q289" i="2"/>
  <c r="N289" i="2"/>
  <c r="O289" i="2" s="1"/>
  <c r="M289" i="2"/>
  <c r="J290" i="2"/>
  <c r="A293" i="2"/>
  <c r="B292" i="2"/>
  <c r="F292" i="2"/>
  <c r="D291" i="2"/>
  <c r="E292" i="2"/>
  <c r="D292" i="2"/>
  <c r="K290" i="2"/>
  <c r="C292" i="2"/>
  <c r="X291" i="2"/>
  <c r="AB291" i="2"/>
  <c r="Y291" i="2"/>
  <c r="V291" i="2"/>
  <c r="W291" i="2"/>
  <c r="U291" i="2"/>
  <c r="AA291" i="2"/>
  <c r="Z291" i="2"/>
  <c r="L290" i="2" l="1"/>
  <c r="T290" i="2"/>
  <c r="I291" i="2"/>
  <c r="R291" i="2"/>
  <c r="AC290" i="2" s="1"/>
  <c r="S291" i="2"/>
  <c r="P291" i="2" s="1"/>
  <c r="H291" i="2"/>
  <c r="G292" i="2"/>
  <c r="N290" i="2"/>
  <c r="O290" i="2" s="1"/>
  <c r="M290" i="2"/>
  <c r="Q290" i="2"/>
  <c r="J291" i="2"/>
  <c r="A294" i="2"/>
  <c r="B293" i="2"/>
  <c r="F293" i="2"/>
  <c r="E293" i="2"/>
  <c r="U292" i="2"/>
  <c r="K291" i="2"/>
  <c r="W292" i="2"/>
  <c r="X292" i="2"/>
  <c r="V292" i="2"/>
  <c r="C293" i="2"/>
  <c r="AB292" i="2"/>
  <c r="Y292" i="2"/>
  <c r="AA292" i="2"/>
  <c r="Z292" i="2"/>
  <c r="L291" i="2" l="1"/>
  <c r="T291" i="2"/>
  <c r="I292" i="2"/>
  <c r="R292" i="2"/>
  <c r="AC291" i="2" s="1"/>
  <c r="S292" i="2"/>
  <c r="P292" i="2" s="1"/>
  <c r="H292" i="2"/>
  <c r="G293" i="2"/>
  <c r="N291" i="2"/>
  <c r="O291" i="2" s="1"/>
  <c r="M291" i="2"/>
  <c r="Q291" i="2"/>
  <c r="J292" i="2"/>
  <c r="A295" i="2"/>
  <c r="B294" i="2"/>
  <c r="F294" i="2"/>
  <c r="D293" i="2"/>
  <c r="E294" i="2"/>
  <c r="Y293" i="2"/>
  <c r="K292" i="2"/>
  <c r="U293" i="2"/>
  <c r="X293" i="2"/>
  <c r="D294" i="2"/>
  <c r="AB293" i="2"/>
  <c r="C294" i="2"/>
  <c r="Z293" i="2"/>
  <c r="W293" i="2"/>
  <c r="V293" i="2"/>
  <c r="AA293" i="2"/>
  <c r="L292" i="2" l="1"/>
  <c r="T292" i="2"/>
  <c r="I293" i="2"/>
  <c r="R293" i="2"/>
  <c r="AC292" i="2" s="1"/>
  <c r="S293" i="2"/>
  <c r="P293" i="2" s="1"/>
  <c r="H293" i="2"/>
  <c r="G294" i="2"/>
  <c r="N292" i="2"/>
  <c r="O292" i="2" s="1"/>
  <c r="Q292" i="2"/>
  <c r="M292" i="2"/>
  <c r="J293" i="2"/>
  <c r="A296" i="2"/>
  <c r="B295" i="2"/>
  <c r="F295" i="2"/>
  <c r="E295" i="2"/>
  <c r="AB294" i="2"/>
  <c r="C295" i="2"/>
  <c r="V294" i="2"/>
  <c r="Y294" i="2"/>
  <c r="Z294" i="2"/>
  <c r="D295" i="2"/>
  <c r="W294" i="2"/>
  <c r="AA294" i="2"/>
  <c r="X294" i="2"/>
  <c r="K293" i="2"/>
  <c r="U294" i="2"/>
  <c r="L293" i="2" l="1"/>
  <c r="T293" i="2"/>
  <c r="I294" i="2"/>
  <c r="R294" i="2"/>
  <c r="AC293" i="2" s="1"/>
  <c r="S294" i="2"/>
  <c r="P294" i="2" s="1"/>
  <c r="H294" i="2"/>
  <c r="G295" i="2"/>
  <c r="N293" i="2"/>
  <c r="O293" i="2" s="1"/>
  <c r="M293" i="2"/>
  <c r="Q293" i="2"/>
  <c r="J294" i="2"/>
  <c r="A297" i="2"/>
  <c r="B296" i="2"/>
  <c r="F296" i="2"/>
  <c r="E296" i="2"/>
  <c r="Z295" i="2"/>
  <c r="K294" i="2"/>
  <c r="D296" i="2"/>
  <c r="AB295" i="2"/>
  <c r="X295" i="2"/>
  <c r="V295" i="2"/>
  <c r="Y295" i="2"/>
  <c r="U295" i="2"/>
  <c r="W295" i="2"/>
  <c r="C296" i="2"/>
  <c r="AA295" i="2"/>
  <c r="L294" i="2" l="1"/>
  <c r="T294" i="2"/>
  <c r="I295" i="2"/>
  <c r="R295" i="2"/>
  <c r="AC294" i="2" s="1"/>
  <c r="S295" i="2"/>
  <c r="P295" i="2" s="1"/>
  <c r="H295" i="2"/>
  <c r="G296" i="2"/>
  <c r="Q294" i="2"/>
  <c r="N294" i="2"/>
  <c r="O294" i="2" s="1"/>
  <c r="M294" i="2"/>
  <c r="J295" i="2"/>
  <c r="A298" i="2"/>
  <c r="B297" i="2"/>
  <c r="F297" i="2"/>
  <c r="E297" i="2"/>
  <c r="C297" i="2"/>
  <c r="U296" i="2"/>
  <c r="Z296" i="2"/>
  <c r="AA296" i="2"/>
  <c r="W296" i="2"/>
  <c r="D297" i="2"/>
  <c r="X296" i="2"/>
  <c r="V296" i="2"/>
  <c r="AB296" i="2"/>
  <c r="K295" i="2"/>
  <c r="Y296" i="2"/>
  <c r="L295" i="2" l="1"/>
  <c r="T295" i="2"/>
  <c r="I296" i="2"/>
  <c r="R296" i="2"/>
  <c r="AC295" i="2" s="1"/>
  <c r="S296" i="2"/>
  <c r="P296" i="2" s="1"/>
  <c r="H296" i="2"/>
  <c r="G297" i="2"/>
  <c r="Q295" i="2"/>
  <c r="M295" i="2"/>
  <c r="N295" i="2"/>
  <c r="O295" i="2" s="1"/>
  <c r="J296" i="2"/>
  <c r="A299" i="2"/>
  <c r="B298" i="2"/>
  <c r="F298" i="2"/>
  <c r="E298" i="2"/>
  <c r="X297" i="2"/>
  <c r="AB297" i="2"/>
  <c r="K296" i="2"/>
  <c r="W297" i="2"/>
  <c r="AA297" i="2"/>
  <c r="Z297" i="2"/>
  <c r="D298" i="2"/>
  <c r="V297" i="2"/>
  <c r="C298" i="2"/>
  <c r="U297" i="2"/>
  <c r="Y297" i="2"/>
  <c r="L296" i="2" l="1"/>
  <c r="T296" i="2"/>
  <c r="I297" i="2"/>
  <c r="R297" i="2"/>
  <c r="AC296" i="2" s="1"/>
  <c r="S297" i="2"/>
  <c r="P297" i="2" s="1"/>
  <c r="H297" i="2"/>
  <c r="G298" i="2"/>
  <c r="M296" i="2"/>
  <c r="N296" i="2"/>
  <c r="O296" i="2" s="1"/>
  <c r="Q296" i="2"/>
  <c r="J297" i="2"/>
  <c r="A300" i="2"/>
  <c r="B299" i="2"/>
  <c r="F299" i="2"/>
  <c r="E299" i="2"/>
  <c r="K297" i="2"/>
  <c r="AB298" i="2"/>
  <c r="C299" i="2"/>
  <c r="AA298" i="2"/>
  <c r="U298" i="2"/>
  <c r="V298" i="2"/>
  <c r="X298" i="2"/>
  <c r="D299" i="2"/>
  <c r="W298" i="2"/>
  <c r="Z298" i="2"/>
  <c r="Y298" i="2"/>
  <c r="L297" i="2" l="1"/>
  <c r="T297" i="2"/>
  <c r="I298" i="2"/>
  <c r="R298" i="2"/>
  <c r="AC297" i="2" s="1"/>
  <c r="S298" i="2"/>
  <c r="P298" i="2" s="1"/>
  <c r="H298" i="2"/>
  <c r="G299" i="2"/>
  <c r="M297" i="2"/>
  <c r="Q297" i="2"/>
  <c r="N297" i="2"/>
  <c r="O297" i="2" s="1"/>
  <c r="J298" i="2"/>
  <c r="A301" i="2"/>
  <c r="B300" i="2"/>
  <c r="F300" i="2"/>
  <c r="D300" i="2"/>
  <c r="E300" i="2"/>
  <c r="K298" i="2"/>
  <c r="C300" i="2"/>
  <c r="Y299" i="2"/>
  <c r="X299" i="2"/>
  <c r="W299" i="2"/>
  <c r="U299" i="2"/>
  <c r="AB299" i="2"/>
  <c r="Z299" i="2"/>
  <c r="AA299" i="2"/>
  <c r="V299" i="2"/>
  <c r="L298" i="2" l="1"/>
  <c r="T298" i="2"/>
  <c r="I299" i="2"/>
  <c r="R299" i="2"/>
  <c r="AC298" i="2" s="1"/>
  <c r="S299" i="2"/>
  <c r="P299" i="2" s="1"/>
  <c r="H299" i="2"/>
  <c r="G300" i="2"/>
  <c r="Q298" i="2"/>
  <c r="N298" i="2"/>
  <c r="O298" i="2" s="1"/>
  <c r="M298" i="2"/>
  <c r="J299" i="2"/>
  <c r="A302" i="2"/>
  <c r="B301" i="2"/>
  <c r="F301" i="2"/>
  <c r="E301" i="2"/>
  <c r="C301" i="2"/>
  <c r="K299" i="2"/>
  <c r="Z300" i="2"/>
  <c r="AB300" i="2"/>
  <c r="V300" i="2"/>
  <c r="W300" i="2"/>
  <c r="X300" i="2"/>
  <c r="D301" i="2"/>
  <c r="Y300" i="2"/>
  <c r="AA300" i="2"/>
  <c r="U300" i="2"/>
  <c r="L299" i="2" l="1"/>
  <c r="T299" i="2"/>
  <c r="I300" i="2"/>
  <c r="R300" i="2"/>
  <c r="AC299" i="2" s="1"/>
  <c r="S300" i="2"/>
  <c r="P300" i="2" s="1"/>
  <c r="H300" i="2"/>
  <c r="G301" i="2"/>
  <c r="N299" i="2"/>
  <c r="O299" i="2" s="1"/>
  <c r="Q299" i="2"/>
  <c r="M299" i="2"/>
  <c r="J300" i="2"/>
  <c r="A303" i="2"/>
  <c r="B302" i="2"/>
  <c r="F302" i="2"/>
  <c r="E302" i="2"/>
  <c r="U301" i="2"/>
  <c r="Y301" i="2"/>
  <c r="K300" i="2"/>
  <c r="Z301" i="2"/>
  <c r="V301" i="2"/>
  <c r="AA301" i="2"/>
  <c r="D302" i="2"/>
  <c r="X301" i="2"/>
  <c r="W301" i="2"/>
  <c r="AB301" i="2"/>
  <c r="C302" i="2"/>
  <c r="L300" i="2" l="1"/>
  <c r="T300" i="2"/>
  <c r="I301" i="2"/>
  <c r="R301" i="2"/>
  <c r="AC300" i="2" s="1"/>
  <c r="S301" i="2"/>
  <c r="P301" i="2" s="1"/>
  <c r="H301" i="2"/>
  <c r="G302" i="2"/>
  <c r="M300" i="2"/>
  <c r="N300" i="2"/>
  <c r="O300" i="2" s="1"/>
  <c r="Q300" i="2"/>
  <c r="J301" i="2"/>
  <c r="A304" i="2"/>
  <c r="B303" i="2"/>
  <c r="F303" i="2"/>
  <c r="E303" i="2"/>
  <c r="X302" i="2"/>
  <c r="W302" i="2"/>
  <c r="AB302" i="2"/>
  <c r="U302" i="2"/>
  <c r="Z302" i="2"/>
  <c r="Y302" i="2"/>
  <c r="AA302" i="2"/>
  <c r="C303" i="2"/>
  <c r="V302" i="2"/>
  <c r="K301" i="2"/>
  <c r="L301" i="2" l="1"/>
  <c r="T301" i="2"/>
  <c r="I302" i="2"/>
  <c r="R302" i="2"/>
  <c r="AC301" i="2" s="1"/>
  <c r="S302" i="2"/>
  <c r="P302" i="2" s="1"/>
  <c r="H302" i="2"/>
  <c r="G303" i="2"/>
  <c r="Q301" i="2"/>
  <c r="N301" i="2"/>
  <c r="O301" i="2" s="1"/>
  <c r="M301" i="2"/>
  <c r="J302" i="2"/>
  <c r="A305" i="2"/>
  <c r="B304" i="2"/>
  <c r="F304" i="2"/>
  <c r="D303" i="2"/>
  <c r="E304" i="2"/>
  <c r="U303" i="2"/>
  <c r="X303" i="2"/>
  <c r="C304" i="2"/>
  <c r="AA303" i="2"/>
  <c r="W303" i="2"/>
  <c r="Z303" i="2"/>
  <c r="Y303" i="2"/>
  <c r="K302" i="2"/>
  <c r="D304" i="2"/>
  <c r="V303" i="2"/>
  <c r="AB303" i="2"/>
  <c r="L302" i="2" l="1"/>
  <c r="T302" i="2"/>
  <c r="I303" i="2"/>
  <c r="R303" i="2"/>
  <c r="AC302" i="2" s="1"/>
  <c r="S303" i="2"/>
  <c r="P303" i="2" s="1"/>
  <c r="H303" i="2"/>
  <c r="G304" i="2"/>
  <c r="M302" i="2"/>
  <c r="Q302" i="2"/>
  <c r="N302" i="2"/>
  <c r="O302" i="2" s="1"/>
  <c r="J303" i="2"/>
  <c r="A306" i="2"/>
  <c r="B305" i="2"/>
  <c r="F305" i="2"/>
  <c r="E305" i="2"/>
  <c r="Y304" i="2"/>
  <c r="K303" i="2"/>
  <c r="AA304" i="2"/>
  <c r="AB304" i="2"/>
  <c r="U304" i="2"/>
  <c r="C305" i="2"/>
  <c r="D305" i="2"/>
  <c r="X304" i="2"/>
  <c r="W304" i="2"/>
  <c r="V304" i="2"/>
  <c r="Z304" i="2"/>
  <c r="L303" i="2" l="1"/>
  <c r="T303" i="2"/>
  <c r="I304" i="2"/>
  <c r="R304" i="2"/>
  <c r="AC303" i="2" s="1"/>
  <c r="S304" i="2"/>
  <c r="P304" i="2" s="1"/>
  <c r="H304" i="2"/>
  <c r="G305" i="2"/>
  <c r="M303" i="2"/>
  <c r="Q303" i="2"/>
  <c r="N303" i="2"/>
  <c r="O303" i="2" s="1"/>
  <c r="J304" i="2"/>
  <c r="A307" i="2"/>
  <c r="B306" i="2"/>
  <c r="F306" i="2"/>
  <c r="E306" i="2"/>
  <c r="U305" i="2"/>
  <c r="X305" i="2"/>
  <c r="AB305" i="2"/>
  <c r="W305" i="2"/>
  <c r="D306" i="2"/>
  <c r="Z305" i="2"/>
  <c r="Y305" i="2"/>
  <c r="C306" i="2"/>
  <c r="K304" i="2"/>
  <c r="AA305" i="2"/>
  <c r="V305" i="2"/>
  <c r="L304" i="2" l="1"/>
  <c r="T304" i="2"/>
  <c r="I305" i="2"/>
  <c r="R305" i="2"/>
  <c r="AC304" i="2" s="1"/>
  <c r="S305" i="2"/>
  <c r="P305" i="2" s="1"/>
  <c r="H305" i="2"/>
  <c r="G306" i="2"/>
  <c r="Q304" i="2"/>
  <c r="M304" i="2"/>
  <c r="N304" i="2"/>
  <c r="O304" i="2" s="1"/>
  <c r="J305" i="2"/>
  <c r="A308" i="2"/>
  <c r="B307" i="2"/>
  <c r="F307" i="2"/>
  <c r="E307" i="2"/>
  <c r="X306" i="2"/>
  <c r="W306" i="2"/>
  <c r="K305" i="2"/>
  <c r="U306" i="2"/>
  <c r="Y306" i="2"/>
  <c r="Z306" i="2"/>
  <c r="C307" i="2"/>
  <c r="V306" i="2"/>
  <c r="AB306" i="2"/>
  <c r="AA306" i="2"/>
  <c r="L305" i="2" l="1"/>
  <c r="T305" i="2"/>
  <c r="I306" i="2"/>
  <c r="R306" i="2"/>
  <c r="AC305" i="2" s="1"/>
  <c r="S306" i="2"/>
  <c r="P306" i="2" s="1"/>
  <c r="H306" i="2"/>
  <c r="G307" i="2"/>
  <c r="M305" i="2"/>
  <c r="Q305" i="2"/>
  <c r="N305" i="2"/>
  <c r="O305" i="2" s="1"/>
  <c r="J306" i="2"/>
  <c r="A309" i="2"/>
  <c r="B308" i="2"/>
  <c r="F308" i="2"/>
  <c r="D307" i="2"/>
  <c r="E308" i="2"/>
  <c r="W307" i="2"/>
  <c r="K306" i="2"/>
  <c r="AA307" i="2"/>
  <c r="X307" i="2"/>
  <c r="C308" i="2"/>
  <c r="D308" i="2"/>
  <c r="V307" i="2"/>
  <c r="U307" i="2"/>
  <c r="AB307" i="2"/>
  <c r="Z307" i="2"/>
  <c r="Y307" i="2"/>
  <c r="L306" i="2" l="1"/>
  <c r="T306" i="2"/>
  <c r="I307" i="2"/>
  <c r="R307" i="2"/>
  <c r="AC306" i="2" s="1"/>
  <c r="S307" i="2"/>
  <c r="P307" i="2" s="1"/>
  <c r="H307" i="2"/>
  <c r="G308" i="2"/>
  <c r="Q306" i="2"/>
  <c r="N306" i="2"/>
  <c r="O306" i="2" s="1"/>
  <c r="M306" i="2"/>
  <c r="J307" i="2"/>
  <c r="A310" i="2"/>
  <c r="B309" i="2"/>
  <c r="F309" i="2"/>
  <c r="E309" i="2"/>
  <c r="Y308" i="2"/>
  <c r="K307" i="2"/>
  <c r="W308" i="2"/>
  <c r="C309" i="2"/>
  <c r="X308" i="2"/>
  <c r="V308" i="2"/>
  <c r="Z308" i="2"/>
  <c r="U308" i="2"/>
  <c r="AB308" i="2"/>
  <c r="AA308" i="2"/>
  <c r="L307" i="2" l="1"/>
  <c r="T307" i="2"/>
  <c r="I308" i="2"/>
  <c r="R308" i="2"/>
  <c r="AC307" i="2" s="1"/>
  <c r="S308" i="2"/>
  <c r="P308" i="2" s="1"/>
  <c r="H308" i="2"/>
  <c r="G309" i="2"/>
  <c r="Q307" i="2"/>
  <c r="N307" i="2"/>
  <c r="O307" i="2" s="1"/>
  <c r="M307" i="2"/>
  <c r="J308" i="2"/>
  <c r="A311" i="2"/>
  <c r="B310" i="2"/>
  <c r="F310" i="2"/>
  <c r="D309" i="2"/>
  <c r="E310" i="2"/>
  <c r="X309" i="2"/>
  <c r="AA309" i="2"/>
  <c r="AB309" i="2"/>
  <c r="D310" i="2"/>
  <c r="W309" i="2"/>
  <c r="V309" i="2"/>
  <c r="Y309" i="2"/>
  <c r="U309" i="2"/>
  <c r="K308" i="2"/>
  <c r="C310" i="2"/>
  <c r="Z309" i="2"/>
  <c r="L308" i="2" l="1"/>
  <c r="T308" i="2"/>
  <c r="I309" i="2"/>
  <c r="R309" i="2"/>
  <c r="AC308" i="2" s="1"/>
  <c r="S309" i="2"/>
  <c r="P309" i="2" s="1"/>
  <c r="H309" i="2"/>
  <c r="G310" i="2"/>
  <c r="Q308" i="2"/>
  <c r="N308" i="2"/>
  <c r="O308" i="2" s="1"/>
  <c r="M308" i="2"/>
  <c r="J309" i="2"/>
  <c r="A312" i="2"/>
  <c r="B311" i="2"/>
  <c r="F311" i="2"/>
  <c r="E311" i="2"/>
  <c r="C311" i="2"/>
  <c r="K309" i="2"/>
  <c r="W310" i="2"/>
  <c r="AA310" i="2"/>
  <c r="V310" i="2"/>
  <c r="U310" i="2"/>
  <c r="D311" i="2"/>
  <c r="X310" i="2"/>
  <c r="Z310" i="2"/>
  <c r="AB310" i="2"/>
  <c r="Y310" i="2"/>
  <c r="L309" i="2" l="1"/>
  <c r="T309" i="2"/>
  <c r="I310" i="2"/>
  <c r="R310" i="2"/>
  <c r="AC309" i="2" s="1"/>
  <c r="S310" i="2"/>
  <c r="P310" i="2" s="1"/>
  <c r="H310" i="2"/>
  <c r="G311" i="2"/>
  <c r="Q309" i="2"/>
  <c r="N309" i="2"/>
  <c r="O309" i="2" s="1"/>
  <c r="M309" i="2"/>
  <c r="J310" i="2"/>
  <c r="A313" i="2"/>
  <c r="B312" i="2"/>
  <c r="F312" i="2"/>
  <c r="E312" i="2"/>
  <c r="Y311" i="2"/>
  <c r="AB311" i="2"/>
  <c r="Z311" i="2"/>
  <c r="C312" i="2"/>
  <c r="V311" i="2"/>
  <c r="U311" i="2"/>
  <c r="W311" i="2"/>
  <c r="AA311" i="2"/>
  <c r="D312" i="2"/>
  <c r="X311" i="2"/>
  <c r="K310" i="2"/>
  <c r="L310" i="2" l="1"/>
  <c r="T310" i="2"/>
  <c r="I311" i="2"/>
  <c r="R311" i="2"/>
  <c r="AC310" i="2" s="1"/>
  <c r="S311" i="2"/>
  <c r="P311" i="2" s="1"/>
  <c r="H311" i="2"/>
  <c r="G312" i="2"/>
  <c r="M310" i="2"/>
  <c r="Q310" i="2"/>
  <c r="N310" i="2"/>
  <c r="O310" i="2" s="1"/>
  <c r="J311" i="2"/>
  <c r="A314" i="2"/>
  <c r="B313" i="2"/>
  <c r="F313" i="2"/>
  <c r="E313" i="2"/>
  <c r="U312" i="2"/>
  <c r="V312" i="2"/>
  <c r="C313" i="2"/>
  <c r="D313" i="2"/>
  <c r="Z312" i="2"/>
  <c r="AB312" i="2"/>
  <c r="W312" i="2"/>
  <c r="AA312" i="2"/>
  <c r="K311" i="2"/>
  <c r="Y312" i="2"/>
  <c r="X312" i="2"/>
  <c r="L311" i="2" l="1"/>
  <c r="T311" i="2"/>
  <c r="I312" i="2"/>
  <c r="R312" i="2"/>
  <c r="AC311" i="2" s="1"/>
  <c r="S312" i="2"/>
  <c r="P312" i="2" s="1"/>
  <c r="H312" i="2"/>
  <c r="G313" i="2"/>
  <c r="M311" i="2"/>
  <c r="N311" i="2"/>
  <c r="O311" i="2" s="1"/>
  <c r="Q311" i="2"/>
  <c r="J312" i="2"/>
  <c r="A315" i="2"/>
  <c r="B314" i="2"/>
  <c r="F314" i="2"/>
  <c r="E314" i="2"/>
  <c r="U313" i="2"/>
  <c r="D314" i="2"/>
  <c r="K312" i="2"/>
  <c r="C314" i="2"/>
  <c r="X313" i="2"/>
  <c r="AA313" i="2"/>
  <c r="AB313" i="2"/>
  <c r="Z313" i="2"/>
  <c r="V313" i="2"/>
  <c r="W313" i="2"/>
  <c r="Y313" i="2"/>
  <c r="L312" i="2" l="1"/>
  <c r="T312" i="2"/>
  <c r="I313" i="2"/>
  <c r="R313" i="2"/>
  <c r="AC312" i="2" s="1"/>
  <c r="S313" i="2"/>
  <c r="P313" i="2" s="1"/>
  <c r="H313" i="2"/>
  <c r="G314" i="2"/>
  <c r="N312" i="2"/>
  <c r="O312" i="2" s="1"/>
  <c r="Q312" i="2"/>
  <c r="M312" i="2"/>
  <c r="J313" i="2"/>
  <c r="A316" i="2"/>
  <c r="B315" i="2"/>
  <c r="F315" i="2"/>
  <c r="E315" i="2"/>
  <c r="U314" i="2"/>
  <c r="Z314" i="2"/>
  <c r="AA314" i="2"/>
  <c r="V314" i="2"/>
  <c r="X314" i="2"/>
  <c r="W314" i="2"/>
  <c r="D315" i="2"/>
  <c r="Y314" i="2"/>
  <c r="K313" i="2"/>
  <c r="C315" i="2"/>
  <c r="AB314" i="2"/>
  <c r="L313" i="2" l="1"/>
  <c r="T313" i="2"/>
  <c r="I314" i="2"/>
  <c r="R314" i="2"/>
  <c r="AC313" i="2" s="1"/>
  <c r="S314" i="2"/>
  <c r="P314" i="2" s="1"/>
  <c r="H314" i="2"/>
  <c r="G315" i="2"/>
  <c r="M313" i="2"/>
  <c r="Q313" i="2"/>
  <c r="N313" i="2"/>
  <c r="O313" i="2" s="1"/>
  <c r="J314" i="2"/>
  <c r="A317" i="2"/>
  <c r="B316" i="2"/>
  <c r="F316" i="2"/>
  <c r="E316" i="2"/>
  <c r="Z315" i="2"/>
  <c r="X315" i="2"/>
  <c r="D316" i="2"/>
  <c r="U315" i="2"/>
  <c r="Y315" i="2"/>
  <c r="W315" i="2"/>
  <c r="V315" i="2"/>
  <c r="K314" i="2"/>
  <c r="C316" i="2"/>
  <c r="AB315" i="2"/>
  <c r="AA315" i="2"/>
  <c r="L314" i="2" l="1"/>
  <c r="T314" i="2"/>
  <c r="I315" i="2"/>
  <c r="R315" i="2"/>
  <c r="AC314" i="2" s="1"/>
  <c r="S315" i="2"/>
  <c r="P315" i="2" s="1"/>
  <c r="H315" i="2"/>
  <c r="G316" i="2"/>
  <c r="Q314" i="2"/>
  <c r="N314" i="2"/>
  <c r="O314" i="2" s="1"/>
  <c r="M314" i="2"/>
  <c r="J315" i="2"/>
  <c r="A318" i="2"/>
  <c r="B317" i="2"/>
  <c r="F317" i="2"/>
  <c r="E317" i="2"/>
  <c r="D317" i="2"/>
  <c r="V316" i="2"/>
  <c r="W316" i="2"/>
  <c r="U316" i="2"/>
  <c r="Z316" i="2"/>
  <c r="AB316" i="2"/>
  <c r="X316" i="2"/>
  <c r="Y316" i="2"/>
  <c r="K315" i="2"/>
  <c r="C317" i="2"/>
  <c r="AA316" i="2"/>
  <c r="L315" i="2" l="1"/>
  <c r="T315" i="2"/>
  <c r="I316" i="2"/>
  <c r="R316" i="2"/>
  <c r="AC315" i="2" s="1"/>
  <c r="S316" i="2"/>
  <c r="P316" i="2" s="1"/>
  <c r="H316" i="2"/>
  <c r="G317" i="2"/>
  <c r="N315" i="2"/>
  <c r="O315" i="2" s="1"/>
  <c r="Q315" i="2"/>
  <c r="M315" i="2"/>
  <c r="J316" i="2"/>
  <c r="A319" i="2"/>
  <c r="B318" i="2"/>
  <c r="F318" i="2"/>
  <c r="E318" i="2"/>
  <c r="U317" i="2"/>
  <c r="AA317" i="2"/>
  <c r="W317" i="2"/>
  <c r="C318" i="2"/>
  <c r="V317" i="2"/>
  <c r="D318" i="2"/>
  <c r="AB317" i="2"/>
  <c r="K316" i="2"/>
  <c r="Y317" i="2"/>
  <c r="X317" i="2"/>
  <c r="Z317" i="2"/>
  <c r="L316" i="2" l="1"/>
  <c r="T316" i="2"/>
  <c r="I317" i="2"/>
  <c r="R317" i="2"/>
  <c r="AC316" i="2" s="1"/>
  <c r="S317" i="2"/>
  <c r="P317" i="2" s="1"/>
  <c r="H317" i="2"/>
  <c r="G318" i="2"/>
  <c r="M316" i="2"/>
  <c r="N316" i="2"/>
  <c r="O316" i="2" s="1"/>
  <c r="Q316" i="2"/>
  <c r="J317" i="2"/>
  <c r="A320" i="2"/>
  <c r="B319" i="2"/>
  <c r="F319" i="2"/>
  <c r="E319" i="2"/>
  <c r="AA318" i="2"/>
  <c r="V318" i="2"/>
  <c r="AB318" i="2"/>
  <c r="W318" i="2"/>
  <c r="D319" i="2"/>
  <c r="K317" i="2"/>
  <c r="Z318" i="2"/>
  <c r="U318" i="2"/>
  <c r="X318" i="2"/>
  <c r="C319" i="2"/>
  <c r="Y318" i="2"/>
  <c r="L317" i="2" l="1"/>
  <c r="T317" i="2"/>
  <c r="I318" i="2"/>
  <c r="R318" i="2"/>
  <c r="AC317" i="2" s="1"/>
  <c r="S318" i="2"/>
  <c r="P318" i="2" s="1"/>
  <c r="H318" i="2"/>
  <c r="G319" i="2"/>
  <c r="Q317" i="2"/>
  <c r="N317" i="2"/>
  <c r="O317" i="2" s="1"/>
  <c r="M317" i="2"/>
  <c r="J318" i="2"/>
  <c r="A321" i="2"/>
  <c r="B320" i="2"/>
  <c r="F320" i="2"/>
  <c r="E320" i="2"/>
  <c r="Y319" i="2"/>
  <c r="C320" i="2"/>
  <c r="W319" i="2"/>
  <c r="U319" i="2"/>
  <c r="D320" i="2"/>
  <c r="AB319" i="2"/>
  <c r="X319" i="2"/>
  <c r="AA319" i="2"/>
  <c r="K318" i="2"/>
  <c r="Z319" i="2"/>
  <c r="V319" i="2"/>
  <c r="L318" i="2" l="1"/>
  <c r="T318" i="2"/>
  <c r="I319" i="2"/>
  <c r="R319" i="2"/>
  <c r="AC318" i="2" s="1"/>
  <c r="S319" i="2"/>
  <c r="P319" i="2" s="1"/>
  <c r="H319" i="2"/>
  <c r="G320" i="2"/>
  <c r="M318" i="2"/>
  <c r="Q318" i="2"/>
  <c r="N318" i="2"/>
  <c r="O318" i="2" s="1"/>
  <c r="J319" i="2"/>
  <c r="A322" i="2"/>
  <c r="B321" i="2"/>
  <c r="F321" i="2"/>
  <c r="E321" i="2"/>
  <c r="X320" i="2"/>
  <c r="K319" i="2"/>
  <c r="Z320" i="2"/>
  <c r="AB320" i="2"/>
  <c r="D321" i="2"/>
  <c r="Y320" i="2"/>
  <c r="W320" i="2"/>
  <c r="V320" i="2"/>
  <c r="AA320" i="2"/>
  <c r="C321" i="2"/>
  <c r="U320" i="2"/>
  <c r="L319" i="2" l="1"/>
  <c r="T319" i="2"/>
  <c r="I320" i="2"/>
  <c r="R320" i="2"/>
  <c r="AC319" i="2" s="1"/>
  <c r="S320" i="2"/>
  <c r="P320" i="2" s="1"/>
  <c r="H320" i="2"/>
  <c r="G321" i="2"/>
  <c r="M319" i="2"/>
  <c r="Q319" i="2"/>
  <c r="N319" i="2"/>
  <c r="O319" i="2" s="1"/>
  <c r="J320" i="2"/>
  <c r="A323" i="2"/>
  <c r="B322" i="2"/>
  <c r="F322" i="2"/>
  <c r="E322" i="2"/>
  <c r="W321" i="2"/>
  <c r="V321" i="2"/>
  <c r="AA321" i="2"/>
  <c r="C322" i="2"/>
  <c r="X321" i="2"/>
  <c r="Z321" i="2"/>
  <c r="K320" i="2"/>
  <c r="AB321" i="2"/>
  <c r="Y321" i="2"/>
  <c r="U321" i="2"/>
  <c r="L320" i="2" l="1"/>
  <c r="T320" i="2"/>
  <c r="I321" i="2"/>
  <c r="R321" i="2"/>
  <c r="AC320" i="2" s="1"/>
  <c r="S321" i="2"/>
  <c r="P321" i="2" s="1"/>
  <c r="H321" i="2"/>
  <c r="G322" i="2"/>
  <c r="Q320" i="2"/>
  <c r="M320" i="2"/>
  <c r="N320" i="2"/>
  <c r="O320" i="2" s="1"/>
  <c r="J321" i="2"/>
  <c r="A324" i="2"/>
  <c r="B323" i="2"/>
  <c r="F323" i="2"/>
  <c r="D322" i="2"/>
  <c r="E323" i="2"/>
  <c r="AB322" i="2"/>
  <c r="W322" i="2"/>
  <c r="Z322" i="2"/>
  <c r="X322" i="2"/>
  <c r="C323" i="2"/>
  <c r="K321" i="2"/>
  <c r="Y322" i="2"/>
  <c r="AA322" i="2"/>
  <c r="V322" i="2"/>
  <c r="U322" i="2"/>
  <c r="L321" i="2" l="1"/>
  <c r="T321" i="2"/>
  <c r="I322" i="2"/>
  <c r="R322" i="2"/>
  <c r="AC321" i="2" s="1"/>
  <c r="S322" i="2"/>
  <c r="P322" i="2" s="1"/>
  <c r="H322" i="2"/>
  <c r="G323" i="2"/>
  <c r="M321" i="2"/>
  <c r="Q321" i="2"/>
  <c r="N321" i="2"/>
  <c r="O321" i="2" s="1"/>
  <c r="J322" i="2"/>
  <c r="A325" i="2"/>
  <c r="B324" i="2"/>
  <c r="F324" i="2"/>
  <c r="D323" i="2"/>
  <c r="E324" i="2"/>
  <c r="AA323" i="2"/>
  <c r="Y323" i="2"/>
  <c r="X323" i="2"/>
  <c r="V323" i="2"/>
  <c r="K322" i="2"/>
  <c r="C324" i="2"/>
  <c r="U323" i="2"/>
  <c r="W323" i="2"/>
  <c r="AB323" i="2"/>
  <c r="D324" i="2"/>
  <c r="Z323" i="2"/>
  <c r="L322" i="2" l="1"/>
  <c r="T322" i="2"/>
  <c r="I323" i="2"/>
  <c r="R323" i="2"/>
  <c r="AC322" i="2" s="1"/>
  <c r="S323" i="2"/>
  <c r="P323" i="2" s="1"/>
  <c r="H323" i="2"/>
  <c r="G324" i="2"/>
  <c r="Q322" i="2"/>
  <c r="N322" i="2"/>
  <c r="O322" i="2" s="1"/>
  <c r="M322" i="2"/>
  <c r="J323" i="2"/>
  <c r="A326" i="2"/>
  <c r="B325" i="2"/>
  <c r="F325" i="2"/>
  <c r="E325" i="2"/>
  <c r="AA324" i="2"/>
  <c r="V324" i="2"/>
  <c r="X324" i="2"/>
  <c r="K323" i="2"/>
  <c r="Y324" i="2"/>
  <c r="U324" i="2"/>
  <c r="AB324" i="2"/>
  <c r="C325" i="2"/>
  <c r="Z324" i="2"/>
  <c r="W324" i="2"/>
  <c r="L323" i="2" l="1"/>
  <c r="T323" i="2"/>
  <c r="I324" i="2"/>
  <c r="R324" i="2"/>
  <c r="AC323" i="2" s="1"/>
  <c r="S324" i="2"/>
  <c r="P324" i="2" s="1"/>
  <c r="H324" i="2"/>
  <c r="G325" i="2"/>
  <c r="N323" i="2"/>
  <c r="O323" i="2" s="1"/>
  <c r="Q323" i="2"/>
  <c r="M323" i="2"/>
  <c r="J324" i="2"/>
  <c r="A327" i="2"/>
  <c r="B326" i="2"/>
  <c r="F326" i="2"/>
  <c r="D325" i="2"/>
  <c r="E326" i="2"/>
  <c r="V325" i="2"/>
  <c r="K324" i="2"/>
  <c r="AA325" i="2"/>
  <c r="W325" i="2"/>
  <c r="D326" i="2"/>
  <c r="Y325" i="2"/>
  <c r="X325" i="2"/>
  <c r="Z325" i="2"/>
  <c r="U325" i="2"/>
  <c r="C326" i="2"/>
  <c r="AB325" i="2"/>
  <c r="L324" i="2" l="1"/>
  <c r="T324" i="2"/>
  <c r="I325" i="2"/>
  <c r="R325" i="2"/>
  <c r="AC324" i="2" s="1"/>
  <c r="S325" i="2"/>
  <c r="P325" i="2" s="1"/>
  <c r="H325" i="2"/>
  <c r="G326" i="2"/>
  <c r="Q324" i="2"/>
  <c r="M324" i="2"/>
  <c r="N324" i="2"/>
  <c r="O324" i="2" s="1"/>
  <c r="J325" i="2"/>
  <c r="A328" i="2"/>
  <c r="B327" i="2"/>
  <c r="F327" i="2"/>
  <c r="E327" i="2"/>
  <c r="W326" i="2"/>
  <c r="AA326" i="2"/>
  <c r="C327" i="2"/>
  <c r="Z326" i="2"/>
  <c r="X326" i="2"/>
  <c r="K325" i="2"/>
  <c r="Y326" i="2"/>
  <c r="AB326" i="2"/>
  <c r="V326" i="2"/>
  <c r="U326" i="2"/>
  <c r="L325" i="2" l="1"/>
  <c r="T325" i="2"/>
  <c r="I326" i="2"/>
  <c r="R326" i="2"/>
  <c r="AC325" i="2" s="1"/>
  <c r="S326" i="2"/>
  <c r="P326" i="2" s="1"/>
  <c r="H326" i="2"/>
  <c r="G327" i="2"/>
  <c r="Q325" i="2"/>
  <c r="N325" i="2"/>
  <c r="O325" i="2" s="1"/>
  <c r="M325" i="2"/>
  <c r="J326" i="2"/>
  <c r="A329" i="2"/>
  <c r="B328" i="2"/>
  <c r="F328" i="2"/>
  <c r="D327" i="2"/>
  <c r="E328" i="2"/>
  <c r="AB327" i="2"/>
  <c r="K326" i="2"/>
  <c r="C328" i="2"/>
  <c r="D328" i="2"/>
  <c r="Y327" i="2"/>
  <c r="Z327" i="2"/>
  <c r="W327" i="2"/>
  <c r="X327" i="2"/>
  <c r="AA327" i="2"/>
  <c r="U327" i="2"/>
  <c r="V327" i="2"/>
  <c r="L326" i="2" l="1"/>
  <c r="T326" i="2"/>
  <c r="I327" i="2"/>
  <c r="R327" i="2"/>
  <c r="AC326" i="2" s="1"/>
  <c r="S327" i="2"/>
  <c r="P327" i="2" s="1"/>
  <c r="H327" i="2"/>
  <c r="G328" i="2"/>
  <c r="M326" i="2"/>
  <c r="Q326" i="2"/>
  <c r="N326" i="2"/>
  <c r="O326" i="2" s="1"/>
  <c r="J327" i="2"/>
  <c r="A330" i="2"/>
  <c r="B329" i="2"/>
  <c r="F329" i="2"/>
  <c r="E329" i="2"/>
  <c r="K327" i="2"/>
  <c r="V328" i="2"/>
  <c r="AB328" i="2"/>
  <c r="X328" i="2"/>
  <c r="Y328" i="2"/>
  <c r="AA328" i="2"/>
  <c r="W328" i="2"/>
  <c r="U328" i="2"/>
  <c r="Z328" i="2"/>
  <c r="D329" i="2"/>
  <c r="C329" i="2"/>
  <c r="L327" i="2" l="1"/>
  <c r="T327" i="2"/>
  <c r="I328" i="2"/>
  <c r="R328" i="2"/>
  <c r="AC327" i="2" s="1"/>
  <c r="S328" i="2"/>
  <c r="P328" i="2" s="1"/>
  <c r="H328" i="2"/>
  <c r="G329" i="2"/>
  <c r="M327" i="2"/>
  <c r="N327" i="2"/>
  <c r="O327" i="2" s="1"/>
  <c r="Q327" i="2"/>
  <c r="J328" i="2"/>
  <c r="A331" i="2"/>
  <c r="B330" i="2"/>
  <c r="F330" i="2"/>
  <c r="E330" i="2"/>
  <c r="W329" i="2"/>
  <c r="K328" i="2"/>
  <c r="X329" i="2"/>
  <c r="Z329" i="2"/>
  <c r="U329" i="2"/>
  <c r="AB329" i="2"/>
  <c r="D330" i="2"/>
  <c r="AA329" i="2"/>
  <c r="V329" i="2"/>
  <c r="C330" i="2"/>
  <c r="Y329" i="2"/>
  <c r="L328" i="2" l="1"/>
  <c r="T328" i="2"/>
  <c r="I329" i="2"/>
  <c r="R329" i="2"/>
  <c r="AC328" i="2" s="1"/>
  <c r="S329" i="2"/>
  <c r="P329" i="2" s="1"/>
  <c r="H329" i="2"/>
  <c r="G330" i="2"/>
  <c r="N328" i="2"/>
  <c r="O328" i="2" s="1"/>
  <c r="M328" i="2"/>
  <c r="Q328" i="2"/>
  <c r="J329" i="2"/>
  <c r="A332" i="2"/>
  <c r="B331" i="2"/>
  <c r="F331" i="2"/>
  <c r="E331" i="2"/>
  <c r="Y330" i="2"/>
  <c r="X330" i="2"/>
  <c r="AB330" i="2"/>
  <c r="Z330" i="2"/>
  <c r="W330" i="2"/>
  <c r="V330" i="2"/>
  <c r="D331" i="2"/>
  <c r="U330" i="2"/>
  <c r="C331" i="2"/>
  <c r="AA330" i="2"/>
  <c r="K329" i="2"/>
  <c r="L329" i="2" l="1"/>
  <c r="T329" i="2"/>
  <c r="I330" i="2"/>
  <c r="R330" i="2"/>
  <c r="AC329" i="2" s="1"/>
  <c r="S330" i="2"/>
  <c r="P330" i="2" s="1"/>
  <c r="H330" i="2"/>
  <c r="G331" i="2"/>
  <c r="M329" i="2"/>
  <c r="Q329" i="2"/>
  <c r="N329" i="2"/>
  <c r="O329" i="2" s="1"/>
  <c r="J330" i="2"/>
  <c r="A333" i="2"/>
  <c r="B332" i="2"/>
  <c r="F332" i="2"/>
  <c r="E332" i="2"/>
  <c r="C332" i="2"/>
  <c r="V331" i="2"/>
  <c r="K330" i="2"/>
  <c r="X331" i="2"/>
  <c r="U331" i="2"/>
  <c r="Y331" i="2"/>
  <c r="Z331" i="2"/>
  <c r="D332" i="2"/>
  <c r="W331" i="2"/>
  <c r="AB331" i="2"/>
  <c r="AA331" i="2"/>
  <c r="L330" i="2" l="1"/>
  <c r="T330" i="2"/>
  <c r="I331" i="2"/>
  <c r="R331" i="2"/>
  <c r="AC330" i="2" s="1"/>
  <c r="S331" i="2"/>
  <c r="P331" i="2" s="1"/>
  <c r="H331" i="2"/>
  <c r="G332" i="2"/>
  <c r="Q330" i="2"/>
  <c r="N330" i="2"/>
  <c r="O330" i="2" s="1"/>
  <c r="M330" i="2"/>
  <c r="J331" i="2"/>
  <c r="A334" i="2"/>
  <c r="B333" i="2"/>
  <c r="F333" i="2"/>
  <c r="E333" i="2"/>
  <c r="AA332" i="2"/>
  <c r="U332" i="2"/>
  <c r="Z332" i="2"/>
  <c r="K331" i="2"/>
  <c r="AB332" i="2"/>
  <c r="Y332" i="2"/>
  <c r="V332" i="2"/>
  <c r="X332" i="2"/>
  <c r="D333" i="2"/>
  <c r="W332" i="2"/>
  <c r="C333" i="2"/>
  <c r="L331" i="2" l="1"/>
  <c r="T331" i="2"/>
  <c r="I332" i="2"/>
  <c r="R332" i="2"/>
  <c r="AC331" i="2" s="1"/>
  <c r="S332" i="2"/>
  <c r="P332" i="2" s="1"/>
  <c r="H332" i="2"/>
  <c r="G333" i="2"/>
  <c r="Q331" i="2"/>
  <c r="N331" i="2"/>
  <c r="O331" i="2" s="1"/>
  <c r="M331" i="2"/>
  <c r="J332" i="2"/>
  <c r="A335" i="2"/>
  <c r="B334" i="2"/>
  <c r="F334" i="2"/>
  <c r="E334" i="2"/>
  <c r="C334" i="2"/>
  <c r="U333" i="2"/>
  <c r="Z333" i="2"/>
  <c r="V333" i="2"/>
  <c r="X333" i="2"/>
  <c r="D334" i="2"/>
  <c r="W333" i="2"/>
  <c r="AA333" i="2"/>
  <c r="Y333" i="2"/>
  <c r="AB333" i="2"/>
  <c r="K332" i="2"/>
  <c r="L332" i="2" l="1"/>
  <c r="T332" i="2"/>
  <c r="I333" i="2"/>
  <c r="R333" i="2"/>
  <c r="AC332" i="2" s="1"/>
  <c r="S333" i="2"/>
  <c r="P333" i="2" s="1"/>
  <c r="H333" i="2"/>
  <c r="G334" i="2"/>
  <c r="M332" i="2"/>
  <c r="N332" i="2"/>
  <c r="O332" i="2" s="1"/>
  <c r="Q332" i="2"/>
  <c r="J333" i="2"/>
  <c r="A336" i="2"/>
  <c r="B335" i="2"/>
  <c r="F335" i="2"/>
  <c r="E335" i="2"/>
  <c r="AA334" i="2"/>
  <c r="K333" i="2"/>
  <c r="U334" i="2"/>
  <c r="X334" i="2"/>
  <c r="Y334" i="2"/>
  <c r="W334" i="2"/>
  <c r="D335" i="2"/>
  <c r="C335" i="2"/>
  <c r="AB334" i="2"/>
  <c r="V334" i="2"/>
  <c r="Z334" i="2"/>
  <c r="L333" i="2" l="1"/>
  <c r="T333" i="2"/>
  <c r="I334" i="2"/>
  <c r="R334" i="2"/>
  <c r="AC333" i="2" s="1"/>
  <c r="S334" i="2"/>
  <c r="P334" i="2" s="1"/>
  <c r="H334" i="2"/>
  <c r="G335" i="2"/>
  <c r="Q333" i="2"/>
  <c r="N333" i="2"/>
  <c r="O333" i="2" s="1"/>
  <c r="M333" i="2"/>
  <c r="J334" i="2"/>
  <c r="A337" i="2"/>
  <c r="B336" i="2"/>
  <c r="F336" i="2"/>
  <c r="E336" i="2"/>
  <c r="C336" i="2"/>
  <c r="Z335" i="2"/>
  <c r="K334" i="2"/>
  <c r="V335" i="2"/>
  <c r="Y335" i="2"/>
  <c r="AB335" i="2"/>
  <c r="AA335" i="2"/>
  <c r="D336" i="2"/>
  <c r="U335" i="2"/>
  <c r="W335" i="2"/>
  <c r="X335" i="2"/>
  <c r="L334" i="2" l="1"/>
  <c r="T334" i="2"/>
  <c r="I335" i="2"/>
  <c r="R335" i="2"/>
  <c r="AC334" i="2" s="1"/>
  <c r="S335" i="2"/>
  <c r="P335" i="2" s="1"/>
  <c r="H335" i="2"/>
  <c r="G336" i="2"/>
  <c r="M334" i="2"/>
  <c r="Q334" i="2"/>
  <c r="N334" i="2"/>
  <c r="O334" i="2" s="1"/>
  <c r="J335" i="2"/>
  <c r="A338" i="2"/>
  <c r="B337" i="2"/>
  <c r="F337" i="2"/>
  <c r="E337" i="2"/>
  <c r="C337" i="2"/>
  <c r="W336" i="2"/>
  <c r="K335" i="2"/>
  <c r="AA336" i="2"/>
  <c r="Y336" i="2"/>
  <c r="X336" i="2"/>
  <c r="AB336" i="2"/>
  <c r="D337" i="2"/>
  <c r="Z336" i="2"/>
  <c r="V336" i="2"/>
  <c r="U336" i="2"/>
  <c r="L335" i="2" l="1"/>
  <c r="T335" i="2"/>
  <c r="I336" i="2"/>
  <c r="R336" i="2"/>
  <c r="AC335" i="2" s="1"/>
  <c r="S336" i="2"/>
  <c r="P336" i="2" s="1"/>
  <c r="H336" i="2"/>
  <c r="G337" i="2"/>
  <c r="M335" i="2"/>
  <c r="Q335" i="2"/>
  <c r="N335" i="2"/>
  <c r="O335" i="2" s="1"/>
  <c r="J336" i="2"/>
  <c r="A339" i="2"/>
  <c r="B338" i="2"/>
  <c r="F338" i="2"/>
  <c r="E338" i="2"/>
  <c r="AA337" i="2"/>
  <c r="K336" i="2"/>
  <c r="C338" i="2"/>
  <c r="U337" i="2"/>
  <c r="AB337" i="2"/>
  <c r="W337" i="2"/>
  <c r="D338" i="2"/>
  <c r="X337" i="2"/>
  <c r="V337" i="2"/>
  <c r="Y337" i="2"/>
  <c r="Z337" i="2"/>
  <c r="L336" i="2" l="1"/>
  <c r="T336" i="2"/>
  <c r="I337" i="2"/>
  <c r="R337" i="2"/>
  <c r="AC336" i="2" s="1"/>
  <c r="S337" i="2"/>
  <c r="P337" i="2" s="1"/>
  <c r="H337" i="2"/>
  <c r="G338" i="2"/>
  <c r="Q336" i="2"/>
  <c r="M336" i="2"/>
  <c r="N336" i="2"/>
  <c r="O336" i="2" s="1"/>
  <c r="J337" i="2"/>
  <c r="A340" i="2"/>
  <c r="B339" i="2"/>
  <c r="F339" i="2"/>
  <c r="E339" i="2"/>
  <c r="Y338" i="2"/>
  <c r="K337" i="2"/>
  <c r="D339" i="2"/>
  <c r="AB338" i="2"/>
  <c r="AA338" i="2"/>
  <c r="Z338" i="2"/>
  <c r="C339" i="2"/>
  <c r="W338" i="2"/>
  <c r="X338" i="2"/>
  <c r="V338" i="2"/>
  <c r="U338" i="2"/>
  <c r="L337" i="2" l="1"/>
  <c r="T337" i="2"/>
  <c r="I338" i="2"/>
  <c r="R338" i="2"/>
  <c r="AC337" i="2" s="1"/>
  <c r="S338" i="2"/>
  <c r="P338" i="2" s="1"/>
  <c r="H338" i="2"/>
  <c r="G339" i="2"/>
  <c r="M337" i="2"/>
  <c r="Q337" i="2"/>
  <c r="N337" i="2"/>
  <c r="O337" i="2" s="1"/>
  <c r="J338" i="2"/>
  <c r="A341" i="2"/>
  <c r="B340" i="2"/>
  <c r="F340" i="2"/>
  <c r="E340" i="2"/>
  <c r="K338" i="2"/>
  <c r="C340" i="2"/>
  <c r="AA339" i="2"/>
  <c r="Y339" i="2"/>
  <c r="Z339" i="2"/>
  <c r="V339" i="2"/>
  <c r="X339" i="2"/>
  <c r="U339" i="2"/>
  <c r="AB339" i="2"/>
  <c r="D340" i="2"/>
  <c r="W339" i="2"/>
  <c r="L338" i="2" l="1"/>
  <c r="T338" i="2"/>
  <c r="I339" i="2"/>
  <c r="R339" i="2"/>
  <c r="AC338" i="2" s="1"/>
  <c r="S339" i="2"/>
  <c r="P339" i="2" s="1"/>
  <c r="H339" i="2"/>
  <c r="G340" i="2"/>
  <c r="Q338" i="2"/>
  <c r="N338" i="2"/>
  <c r="O338" i="2" s="1"/>
  <c r="M338" i="2"/>
  <c r="J339" i="2"/>
  <c r="A342" i="2"/>
  <c r="B341" i="2"/>
  <c r="F341" i="2"/>
  <c r="E341" i="2"/>
  <c r="C341" i="2"/>
  <c r="Z340" i="2"/>
  <c r="U340" i="2"/>
  <c r="W340" i="2"/>
  <c r="D341" i="2"/>
  <c r="AB340" i="2"/>
  <c r="V340" i="2"/>
  <c r="Y340" i="2"/>
  <c r="AA340" i="2"/>
  <c r="K339" i="2"/>
  <c r="X340" i="2"/>
  <c r="L339" i="2" l="1"/>
  <c r="T339" i="2"/>
  <c r="I340" i="2"/>
  <c r="R340" i="2"/>
  <c r="AC339" i="2" s="1"/>
  <c r="S340" i="2"/>
  <c r="P340" i="2" s="1"/>
  <c r="H340" i="2"/>
  <c r="G341" i="2"/>
  <c r="N339" i="2"/>
  <c r="O339" i="2" s="1"/>
  <c r="Q339" i="2"/>
  <c r="M339" i="2"/>
  <c r="J340" i="2"/>
  <c r="A343" i="2"/>
  <c r="B342" i="2"/>
  <c r="F342" i="2"/>
  <c r="E342" i="2"/>
  <c r="AA341" i="2"/>
  <c r="V341" i="2"/>
  <c r="Y341" i="2"/>
  <c r="U341" i="2"/>
  <c r="W341" i="2"/>
  <c r="Z341" i="2"/>
  <c r="D342" i="2"/>
  <c r="AB341" i="2"/>
  <c r="C342" i="2"/>
  <c r="K340" i="2"/>
  <c r="X341" i="2"/>
  <c r="L340" i="2" l="1"/>
  <c r="T340" i="2"/>
  <c r="I341" i="2"/>
  <c r="R341" i="2"/>
  <c r="AC340" i="2" s="1"/>
  <c r="S341" i="2"/>
  <c r="P341" i="2" s="1"/>
  <c r="H341" i="2"/>
  <c r="G342" i="2"/>
  <c r="Q340" i="2"/>
  <c r="N340" i="2"/>
  <c r="O340" i="2" s="1"/>
  <c r="M340" i="2"/>
  <c r="J341" i="2"/>
  <c r="A344" i="2"/>
  <c r="B343" i="2"/>
  <c r="F343" i="2"/>
  <c r="E343" i="2"/>
  <c r="U342" i="2"/>
  <c r="W342" i="2"/>
  <c r="K341" i="2"/>
  <c r="AB342" i="2"/>
  <c r="C343" i="2"/>
  <c r="Z342" i="2"/>
  <c r="D343" i="2"/>
  <c r="X342" i="2"/>
  <c r="AA342" i="2"/>
  <c r="V342" i="2"/>
  <c r="Y342" i="2"/>
  <c r="L341" i="2" l="1"/>
  <c r="T341" i="2"/>
  <c r="I342" i="2"/>
  <c r="R342" i="2"/>
  <c r="AC341" i="2" s="1"/>
  <c r="S342" i="2"/>
  <c r="P342" i="2" s="1"/>
  <c r="H342" i="2"/>
  <c r="G343" i="2"/>
  <c r="Q341" i="2"/>
  <c r="N341" i="2"/>
  <c r="O341" i="2" s="1"/>
  <c r="M341" i="2"/>
  <c r="J342" i="2"/>
  <c r="A345" i="2"/>
  <c r="B344" i="2"/>
  <c r="F344" i="2"/>
  <c r="E344" i="2"/>
  <c r="X343" i="2"/>
  <c r="AB343" i="2"/>
  <c r="Y343" i="2"/>
  <c r="W343" i="2"/>
  <c r="C344" i="2"/>
  <c r="D344" i="2"/>
  <c r="Z343" i="2"/>
  <c r="V343" i="2"/>
  <c r="AA343" i="2"/>
  <c r="K342" i="2"/>
  <c r="U343" i="2"/>
  <c r="L342" i="2" l="1"/>
  <c r="T342" i="2"/>
  <c r="I343" i="2"/>
  <c r="R343" i="2"/>
  <c r="AC342" i="2" s="1"/>
  <c r="S343" i="2"/>
  <c r="P343" i="2" s="1"/>
  <c r="H343" i="2"/>
  <c r="G344" i="2"/>
  <c r="M342" i="2"/>
  <c r="Q342" i="2"/>
  <c r="N342" i="2"/>
  <c r="O342" i="2" s="1"/>
  <c r="J343" i="2"/>
  <c r="A346" i="2"/>
  <c r="B345" i="2"/>
  <c r="F345" i="2"/>
  <c r="E345" i="2"/>
  <c r="W344" i="2"/>
  <c r="C345" i="2"/>
  <c r="K343" i="2"/>
  <c r="X344" i="2"/>
  <c r="V344" i="2"/>
  <c r="Y344" i="2"/>
  <c r="U344" i="2"/>
  <c r="AB344" i="2"/>
  <c r="AA344" i="2"/>
  <c r="Z344" i="2"/>
  <c r="L343" i="2" l="1"/>
  <c r="T343" i="2"/>
  <c r="I344" i="2"/>
  <c r="R344" i="2"/>
  <c r="AC343" i="2" s="1"/>
  <c r="S344" i="2"/>
  <c r="P344" i="2" s="1"/>
  <c r="H344" i="2"/>
  <c r="G345" i="2"/>
  <c r="M343" i="2"/>
  <c r="N343" i="2"/>
  <c r="O343" i="2" s="1"/>
  <c r="Q343" i="2"/>
  <c r="J344" i="2"/>
  <c r="A347" i="2"/>
  <c r="B346" i="2"/>
  <c r="F346" i="2"/>
  <c r="D345" i="2"/>
  <c r="E346" i="2"/>
  <c r="U345" i="2"/>
  <c r="AB345" i="2"/>
  <c r="W345" i="2"/>
  <c r="Z345" i="2"/>
  <c r="D346" i="2"/>
  <c r="V345" i="2"/>
  <c r="AA345" i="2"/>
  <c r="Y345" i="2"/>
  <c r="C346" i="2"/>
  <c r="K344" i="2"/>
  <c r="X345" i="2"/>
  <c r="L344" i="2" l="1"/>
  <c r="T344" i="2"/>
  <c r="I345" i="2"/>
  <c r="R345" i="2"/>
  <c r="AC344" i="2" s="1"/>
  <c r="S345" i="2"/>
  <c r="P345" i="2" s="1"/>
  <c r="H345" i="2"/>
  <c r="G346" i="2"/>
  <c r="N344" i="2"/>
  <c r="O344" i="2" s="1"/>
  <c r="Q344" i="2"/>
  <c r="M344" i="2"/>
  <c r="J345" i="2"/>
  <c r="A348" i="2"/>
  <c r="B347" i="2"/>
  <c r="F347" i="2"/>
  <c r="E347" i="2"/>
  <c r="V346" i="2"/>
  <c r="W346" i="2"/>
  <c r="K345" i="2"/>
  <c r="Y346" i="2"/>
  <c r="X346" i="2"/>
  <c r="Z346" i="2"/>
  <c r="D347" i="2"/>
  <c r="AA346" i="2"/>
  <c r="C347" i="2"/>
  <c r="AB346" i="2"/>
  <c r="U346" i="2"/>
  <c r="L345" i="2" l="1"/>
  <c r="T345" i="2"/>
  <c r="I346" i="2"/>
  <c r="R346" i="2"/>
  <c r="AC345" i="2" s="1"/>
  <c r="S346" i="2"/>
  <c r="P346" i="2" s="1"/>
  <c r="H346" i="2"/>
  <c r="G347" i="2"/>
  <c r="M345" i="2"/>
  <c r="Q345" i="2"/>
  <c r="N345" i="2"/>
  <c r="O345" i="2" s="1"/>
  <c r="J346" i="2"/>
  <c r="A349" i="2"/>
  <c r="B348" i="2"/>
  <c r="F348" i="2"/>
  <c r="E348" i="2"/>
  <c r="C348" i="2"/>
  <c r="K346" i="2"/>
  <c r="U347" i="2"/>
  <c r="AB347" i="2"/>
  <c r="D348" i="2"/>
  <c r="Z347" i="2"/>
  <c r="Y347" i="2"/>
  <c r="W347" i="2"/>
  <c r="X347" i="2"/>
  <c r="V347" i="2"/>
  <c r="AA347" i="2"/>
  <c r="L346" i="2" l="1"/>
  <c r="T346" i="2"/>
  <c r="I347" i="2"/>
  <c r="R347" i="2"/>
  <c r="AC346" i="2" s="1"/>
  <c r="S347" i="2"/>
  <c r="P347" i="2" s="1"/>
  <c r="H347" i="2"/>
  <c r="G348" i="2"/>
  <c r="Q346" i="2"/>
  <c r="N346" i="2"/>
  <c r="O346" i="2" s="1"/>
  <c r="M346" i="2"/>
  <c r="J347" i="2"/>
  <c r="A350" i="2"/>
  <c r="B349" i="2"/>
  <c r="F349" i="2"/>
  <c r="E349" i="2"/>
  <c r="Z348" i="2"/>
  <c r="AB348" i="2"/>
  <c r="Y348" i="2"/>
  <c r="U348" i="2"/>
  <c r="D349" i="2"/>
  <c r="C349" i="2"/>
  <c r="X348" i="2"/>
  <c r="AA348" i="2"/>
  <c r="V348" i="2"/>
  <c r="K347" i="2"/>
  <c r="W348" i="2"/>
  <c r="L347" i="2" l="1"/>
  <c r="T347" i="2"/>
  <c r="I348" i="2"/>
  <c r="R348" i="2"/>
  <c r="AC347" i="2" s="1"/>
  <c r="S348" i="2"/>
  <c r="P348" i="2" s="1"/>
  <c r="H348" i="2"/>
  <c r="G349" i="2"/>
  <c r="Q347" i="2"/>
  <c r="N347" i="2"/>
  <c r="O347" i="2" s="1"/>
  <c r="M347" i="2"/>
  <c r="J348" i="2"/>
  <c r="A351" i="2"/>
  <c r="B350" i="2"/>
  <c r="F350" i="2"/>
  <c r="E350" i="2"/>
  <c r="AB349" i="2"/>
  <c r="K348" i="2"/>
  <c r="U349" i="2"/>
  <c r="V349" i="2"/>
  <c r="Z349" i="2"/>
  <c r="D350" i="2"/>
  <c r="X349" i="2"/>
  <c r="W349" i="2"/>
  <c r="AA349" i="2"/>
  <c r="Y349" i="2"/>
  <c r="C350" i="2"/>
  <c r="L348" i="2" l="1"/>
  <c r="T348" i="2"/>
  <c r="I349" i="2"/>
  <c r="R349" i="2"/>
  <c r="AC348" i="2" s="1"/>
  <c r="S349" i="2"/>
  <c r="P349" i="2" s="1"/>
  <c r="H349" i="2"/>
  <c r="G350" i="2"/>
  <c r="M348" i="2"/>
  <c r="N348" i="2"/>
  <c r="O348" i="2" s="1"/>
  <c r="Q348" i="2"/>
  <c r="J349" i="2"/>
  <c r="A352" i="2"/>
  <c r="B351" i="2"/>
  <c r="F351" i="2"/>
  <c r="E351" i="2"/>
  <c r="D351" i="2"/>
  <c r="X350" i="2"/>
  <c r="K349" i="2"/>
  <c r="AB350" i="2"/>
  <c r="V350" i="2"/>
  <c r="U350" i="2"/>
  <c r="C351" i="2"/>
  <c r="Y350" i="2"/>
  <c r="AA350" i="2"/>
  <c r="W350" i="2"/>
  <c r="Z350" i="2"/>
  <c r="L349" i="2" l="1"/>
  <c r="T349" i="2"/>
  <c r="I350" i="2"/>
  <c r="R350" i="2"/>
  <c r="AC349" i="2" s="1"/>
  <c r="S350" i="2"/>
  <c r="P350" i="2" s="1"/>
  <c r="H350" i="2"/>
  <c r="G351" i="2"/>
  <c r="Q349" i="2"/>
  <c r="N349" i="2"/>
  <c r="O349" i="2" s="1"/>
  <c r="M349" i="2"/>
  <c r="J350" i="2"/>
  <c r="A353" i="2"/>
  <c r="B352" i="2"/>
  <c r="F352" i="2"/>
  <c r="E352" i="2"/>
  <c r="Y351" i="2"/>
  <c r="U351" i="2"/>
  <c r="W351" i="2"/>
  <c r="AB351" i="2"/>
  <c r="V351" i="2"/>
  <c r="X351" i="2"/>
  <c r="D352" i="2"/>
  <c r="C352" i="2"/>
  <c r="Z351" i="2"/>
  <c r="K350" i="2"/>
  <c r="AA351" i="2"/>
  <c r="L350" i="2" l="1"/>
  <c r="T350" i="2"/>
  <c r="I351" i="2"/>
  <c r="R351" i="2"/>
  <c r="AC350" i="2" s="1"/>
  <c r="S351" i="2"/>
  <c r="P351" i="2" s="1"/>
  <c r="H351" i="2"/>
  <c r="G352" i="2"/>
  <c r="M350" i="2"/>
  <c r="Q350" i="2"/>
  <c r="N350" i="2"/>
  <c r="O350" i="2" s="1"/>
  <c r="J351" i="2"/>
  <c r="A354" i="2"/>
  <c r="B353" i="2"/>
  <c r="F353" i="2"/>
  <c r="E353" i="2"/>
  <c r="X352" i="2"/>
  <c r="U352" i="2"/>
  <c r="AB352" i="2"/>
  <c r="AA352" i="2"/>
  <c r="Y352" i="2"/>
  <c r="Z352" i="2"/>
  <c r="D353" i="2"/>
  <c r="V352" i="2"/>
  <c r="C353" i="2"/>
  <c r="W352" i="2"/>
  <c r="K351" i="2"/>
  <c r="L351" i="2" l="1"/>
  <c r="T351" i="2"/>
  <c r="I352" i="2"/>
  <c r="R352" i="2"/>
  <c r="AC351" i="2" s="1"/>
  <c r="S352" i="2"/>
  <c r="P352" i="2" s="1"/>
  <c r="H352" i="2"/>
  <c r="G353" i="2"/>
  <c r="M351" i="2"/>
  <c r="Q351" i="2"/>
  <c r="N351" i="2"/>
  <c r="O351" i="2" s="1"/>
  <c r="J352" i="2"/>
  <c r="A355" i="2"/>
  <c r="B354" i="2"/>
  <c r="F354" i="2"/>
  <c r="E354" i="2"/>
  <c r="D354" i="2"/>
  <c r="AB353" i="2"/>
  <c r="X353" i="2"/>
  <c r="U353" i="2"/>
  <c r="Y353" i="2"/>
  <c r="V353" i="2"/>
  <c r="W353" i="2"/>
  <c r="AA353" i="2"/>
  <c r="Z353" i="2"/>
  <c r="K352" i="2"/>
  <c r="C354" i="2"/>
  <c r="L352" i="2" l="1"/>
  <c r="T352" i="2"/>
  <c r="I353" i="2"/>
  <c r="R353" i="2"/>
  <c r="AC352" i="2" s="1"/>
  <c r="S353" i="2"/>
  <c r="P353" i="2" s="1"/>
  <c r="H353" i="2"/>
  <c r="G354" i="2"/>
  <c r="Q352" i="2"/>
  <c r="M352" i="2"/>
  <c r="N352" i="2"/>
  <c r="O352" i="2" s="1"/>
  <c r="J353" i="2"/>
  <c r="A356" i="2"/>
  <c r="B355" i="2"/>
  <c r="F355" i="2"/>
  <c r="E355" i="2"/>
  <c r="AA354" i="2"/>
  <c r="K353" i="2"/>
  <c r="C355" i="2"/>
  <c r="U354" i="2"/>
  <c r="W354" i="2"/>
  <c r="Z354" i="2"/>
  <c r="AB354" i="2"/>
  <c r="X354" i="2"/>
  <c r="D355" i="2"/>
  <c r="Y354" i="2"/>
  <c r="V354" i="2"/>
  <c r="L353" i="2" l="1"/>
  <c r="T353" i="2"/>
  <c r="I354" i="2"/>
  <c r="R354" i="2"/>
  <c r="AC353" i="2" s="1"/>
  <c r="S354" i="2"/>
  <c r="P354" i="2" s="1"/>
  <c r="H354" i="2"/>
  <c r="G355" i="2"/>
  <c r="M353" i="2"/>
  <c r="Q353" i="2"/>
  <c r="N353" i="2"/>
  <c r="O353" i="2" s="1"/>
  <c r="J354" i="2"/>
  <c r="A357" i="2"/>
  <c r="B356" i="2"/>
  <c r="F356" i="2"/>
  <c r="E356" i="2"/>
  <c r="AB355" i="2"/>
  <c r="C356" i="2"/>
  <c r="Z355" i="2"/>
  <c r="K354" i="2"/>
  <c r="Y355" i="2"/>
  <c r="V355" i="2"/>
  <c r="U355" i="2"/>
  <c r="X355" i="2"/>
  <c r="D356" i="2"/>
  <c r="W355" i="2"/>
  <c r="AA355" i="2"/>
  <c r="L354" i="2" l="1"/>
  <c r="T354" i="2"/>
  <c r="I355" i="2"/>
  <c r="R355" i="2"/>
  <c r="AC354" i="2" s="1"/>
  <c r="S355" i="2"/>
  <c r="P355" i="2" s="1"/>
  <c r="H355" i="2"/>
  <c r="G356" i="2"/>
  <c r="Q354" i="2"/>
  <c r="N354" i="2"/>
  <c r="O354" i="2" s="1"/>
  <c r="M354" i="2"/>
  <c r="J355" i="2"/>
  <c r="A358" i="2"/>
  <c r="B357" i="2"/>
  <c r="F357" i="2"/>
  <c r="E357" i="2"/>
  <c r="C357" i="2"/>
  <c r="X356" i="2"/>
  <c r="D357" i="2"/>
  <c r="W356" i="2"/>
  <c r="AB356" i="2"/>
  <c r="Z356" i="2"/>
  <c r="V356" i="2"/>
  <c r="U356" i="2"/>
  <c r="K355" i="2"/>
  <c r="AA356" i="2"/>
  <c r="Y356" i="2"/>
  <c r="L355" i="2" l="1"/>
  <c r="T355" i="2"/>
  <c r="I356" i="2"/>
  <c r="R356" i="2"/>
  <c r="AC355" i="2" s="1"/>
  <c r="S356" i="2"/>
  <c r="P356" i="2" s="1"/>
  <c r="H356" i="2"/>
  <c r="G357" i="2"/>
  <c r="N355" i="2"/>
  <c r="O355" i="2" s="1"/>
  <c r="Q355" i="2"/>
  <c r="M355" i="2"/>
  <c r="J356" i="2"/>
  <c r="A359" i="2"/>
  <c r="B358" i="2"/>
  <c r="F358" i="2"/>
  <c r="E358" i="2"/>
  <c r="Y357" i="2"/>
  <c r="K356" i="2"/>
  <c r="U357" i="2"/>
  <c r="W357" i="2"/>
  <c r="X357" i="2"/>
  <c r="Z357" i="2"/>
  <c r="D358" i="2"/>
  <c r="AA357" i="2"/>
  <c r="C358" i="2"/>
  <c r="V357" i="2"/>
  <c r="AB357" i="2"/>
  <c r="L356" i="2" l="1"/>
  <c r="T356" i="2"/>
  <c r="I357" i="2"/>
  <c r="R357" i="2"/>
  <c r="AC356" i="2" s="1"/>
  <c r="S357" i="2"/>
  <c r="P357" i="2" s="1"/>
  <c r="H357" i="2"/>
  <c r="G358" i="2"/>
  <c r="Q356" i="2"/>
  <c r="M356" i="2"/>
  <c r="N356" i="2"/>
  <c r="O356" i="2" s="1"/>
  <c r="J357" i="2"/>
  <c r="A360" i="2"/>
  <c r="B359" i="2"/>
  <c r="F359" i="2"/>
  <c r="E359" i="2"/>
  <c r="W358" i="2"/>
  <c r="U358" i="2"/>
  <c r="K357" i="2"/>
  <c r="D359" i="2"/>
  <c r="AB358" i="2"/>
  <c r="V358" i="2"/>
  <c r="AA358" i="2"/>
  <c r="X358" i="2"/>
  <c r="Z358" i="2"/>
  <c r="Y358" i="2"/>
  <c r="C359" i="2"/>
  <c r="L357" i="2" l="1"/>
  <c r="T357" i="2"/>
  <c r="I358" i="2"/>
  <c r="R358" i="2"/>
  <c r="AC357" i="2" s="1"/>
  <c r="S358" i="2"/>
  <c r="P358" i="2" s="1"/>
  <c r="H358" i="2"/>
  <c r="G359" i="2"/>
  <c r="Q357" i="2"/>
  <c r="N357" i="2"/>
  <c r="O357" i="2" s="1"/>
  <c r="M357" i="2"/>
  <c r="J358" i="2"/>
  <c r="A361" i="2"/>
  <c r="B360" i="2"/>
  <c r="F360" i="2"/>
  <c r="E360" i="2"/>
  <c r="Y359" i="2"/>
  <c r="D360" i="2"/>
  <c r="K358" i="2"/>
  <c r="X359" i="2"/>
  <c r="V359" i="2"/>
  <c r="Z359" i="2"/>
  <c r="AA359" i="2"/>
  <c r="AB359" i="2"/>
  <c r="U359" i="2"/>
  <c r="W359" i="2"/>
  <c r="C360" i="2"/>
  <c r="L358" i="2" l="1"/>
  <c r="T358" i="2"/>
  <c r="I359" i="2"/>
  <c r="R359" i="2"/>
  <c r="AC358" i="2" s="1"/>
  <c r="S359" i="2"/>
  <c r="P359" i="2" s="1"/>
  <c r="H359" i="2"/>
  <c r="G360" i="2"/>
  <c r="M358" i="2"/>
  <c r="Q358" i="2"/>
  <c r="N358" i="2"/>
  <c r="O358" i="2" s="1"/>
  <c r="J359" i="2"/>
  <c r="A362" i="2"/>
  <c r="B361" i="2"/>
  <c r="F361" i="2"/>
  <c r="E361" i="2"/>
  <c r="C361" i="2"/>
  <c r="K359" i="2"/>
  <c r="Z360" i="2"/>
  <c r="X360" i="2"/>
  <c r="Y360" i="2"/>
  <c r="W360" i="2"/>
  <c r="U360" i="2"/>
  <c r="D361" i="2"/>
  <c r="AB360" i="2"/>
  <c r="AA360" i="2"/>
  <c r="V360" i="2"/>
  <c r="L359" i="2" l="1"/>
  <c r="T359" i="2"/>
  <c r="I360" i="2"/>
  <c r="R360" i="2"/>
  <c r="AC359" i="2" s="1"/>
  <c r="S360" i="2"/>
  <c r="P360" i="2" s="1"/>
  <c r="H360" i="2"/>
  <c r="G361" i="2"/>
  <c r="M359" i="2"/>
  <c r="N359" i="2"/>
  <c r="O359" i="2" s="1"/>
  <c r="Q359" i="2"/>
  <c r="J360" i="2"/>
  <c r="A363" i="2"/>
  <c r="B362" i="2"/>
  <c r="F362" i="2"/>
  <c r="E362" i="2"/>
  <c r="W361" i="2"/>
  <c r="K360" i="2"/>
  <c r="U361" i="2"/>
  <c r="X361" i="2"/>
  <c r="D362" i="2"/>
  <c r="AB361" i="2"/>
  <c r="V361" i="2"/>
  <c r="Y361" i="2"/>
  <c r="AA361" i="2"/>
  <c r="Z361" i="2"/>
  <c r="C362" i="2"/>
  <c r="L360" i="2" l="1"/>
  <c r="T360" i="2"/>
  <c r="I361" i="2"/>
  <c r="R361" i="2"/>
  <c r="AC360" i="2" s="1"/>
  <c r="S361" i="2"/>
  <c r="P361" i="2" s="1"/>
  <c r="H361" i="2"/>
  <c r="G362" i="2"/>
  <c r="N360" i="2"/>
  <c r="O360" i="2" s="1"/>
  <c r="M360" i="2"/>
  <c r="Q360" i="2"/>
  <c r="J361" i="2"/>
  <c r="A364" i="2"/>
  <c r="B363" i="2"/>
  <c r="F363" i="2"/>
  <c r="E363" i="2"/>
  <c r="Z362" i="2"/>
  <c r="K361" i="2"/>
  <c r="AB362" i="2"/>
  <c r="AA362" i="2"/>
  <c r="C363" i="2"/>
  <c r="Y362" i="2"/>
  <c r="U362" i="2"/>
  <c r="W362" i="2"/>
  <c r="V362" i="2"/>
  <c r="X362" i="2"/>
  <c r="L361" i="2" l="1"/>
  <c r="T361" i="2"/>
  <c r="I362" i="2"/>
  <c r="R362" i="2"/>
  <c r="AC361" i="2" s="1"/>
  <c r="S362" i="2"/>
  <c r="P362" i="2" s="1"/>
  <c r="H362" i="2"/>
  <c r="G363" i="2"/>
  <c r="M361" i="2"/>
  <c r="Q361" i="2"/>
  <c r="N361" i="2"/>
  <c r="O361" i="2" s="1"/>
  <c r="J362" i="2"/>
  <c r="A365" i="2"/>
  <c r="B364" i="2"/>
  <c r="F364" i="2"/>
  <c r="D363" i="2"/>
  <c r="E364" i="2"/>
  <c r="Z363" i="2"/>
  <c r="X363" i="2"/>
  <c r="Y363" i="2"/>
  <c r="AB363" i="2"/>
  <c r="D364" i="2"/>
  <c r="AA363" i="2"/>
  <c r="U363" i="2"/>
  <c r="W363" i="2"/>
  <c r="C364" i="2"/>
  <c r="V363" i="2"/>
  <c r="K362" i="2"/>
  <c r="L362" i="2" l="1"/>
  <c r="T362" i="2"/>
  <c r="I363" i="2"/>
  <c r="R363" i="2"/>
  <c r="AC362" i="2" s="1"/>
  <c r="S363" i="2"/>
  <c r="P363" i="2" s="1"/>
  <c r="H363" i="2"/>
  <c r="G364" i="2"/>
  <c r="Q362" i="2"/>
  <c r="N362" i="2"/>
  <c r="O362" i="2" s="1"/>
  <c r="M362" i="2"/>
  <c r="J363" i="2"/>
  <c r="A366" i="2"/>
  <c r="B365" i="2"/>
  <c r="F365" i="2"/>
  <c r="E365" i="2"/>
  <c r="K363" i="2"/>
  <c r="D365" i="2"/>
  <c r="Y364" i="2"/>
  <c r="AA364" i="2"/>
  <c r="C365" i="2"/>
  <c r="AB364" i="2"/>
  <c r="Z364" i="2"/>
  <c r="X364" i="2"/>
  <c r="U364" i="2"/>
  <c r="V364" i="2"/>
  <c r="W364" i="2"/>
  <c r="L363" i="2" l="1"/>
  <c r="T363" i="2"/>
  <c r="I364" i="2"/>
  <c r="R364" i="2"/>
  <c r="AC363" i="2" s="1"/>
  <c r="S364" i="2"/>
  <c r="P364" i="2" s="1"/>
  <c r="H364" i="2"/>
  <c r="G365" i="2"/>
  <c r="Q363" i="2"/>
  <c r="N363" i="2"/>
  <c r="O363" i="2" s="1"/>
  <c r="M363" i="2"/>
  <c r="J364" i="2"/>
  <c r="A367" i="2"/>
  <c r="B366" i="2"/>
  <c r="F366" i="2"/>
  <c r="E366" i="2"/>
  <c r="U365" i="2"/>
  <c r="AB365" i="2"/>
  <c r="AA365" i="2"/>
  <c r="C366" i="2"/>
  <c r="D366" i="2"/>
  <c r="W365" i="2"/>
  <c r="V365" i="2"/>
  <c r="Y365" i="2"/>
  <c r="X365" i="2"/>
  <c r="K364" i="2"/>
  <c r="Z365" i="2"/>
  <c r="L364" i="2" l="1"/>
  <c r="T364" i="2"/>
  <c r="I365" i="2"/>
  <c r="R365" i="2"/>
  <c r="AC364" i="2" s="1"/>
  <c r="S365" i="2"/>
  <c r="P365" i="2" s="1"/>
  <c r="H365" i="2"/>
  <c r="G366" i="2"/>
  <c r="M364" i="2"/>
  <c r="N364" i="2"/>
  <c r="O364" i="2" s="1"/>
  <c r="Q364" i="2"/>
  <c r="J365" i="2"/>
  <c r="A368" i="2"/>
  <c r="B367" i="2"/>
  <c r="F367" i="2"/>
  <c r="E367" i="2"/>
  <c r="Z366" i="2"/>
  <c r="K365" i="2"/>
  <c r="X366" i="2"/>
  <c r="W366" i="2"/>
  <c r="C367" i="2"/>
  <c r="AB366" i="2"/>
  <c r="V366" i="2"/>
  <c r="Y366" i="2"/>
  <c r="D367" i="2"/>
  <c r="AA366" i="2"/>
  <c r="U366" i="2"/>
  <c r="L365" i="2" l="1"/>
  <c r="T365" i="2"/>
  <c r="I366" i="2"/>
  <c r="R366" i="2"/>
  <c r="AC365" i="2" s="1"/>
  <c r="S366" i="2"/>
  <c r="P366" i="2" s="1"/>
  <c r="H366" i="2"/>
  <c r="G367" i="2"/>
  <c r="Q365" i="2"/>
  <c r="N365" i="2"/>
  <c r="O365" i="2" s="1"/>
  <c r="M365" i="2"/>
  <c r="J366" i="2"/>
  <c r="A369" i="2"/>
  <c r="B368" i="2"/>
  <c r="F368" i="2"/>
  <c r="E368" i="2"/>
  <c r="AA367" i="2"/>
  <c r="D368" i="2"/>
  <c r="K366" i="2"/>
  <c r="V367" i="2"/>
  <c r="Z367" i="2"/>
  <c r="Y367" i="2"/>
  <c r="U367" i="2"/>
  <c r="C368" i="2"/>
  <c r="AB367" i="2"/>
  <c r="X367" i="2"/>
  <c r="W367" i="2"/>
  <c r="L366" i="2" l="1"/>
  <c r="T366" i="2"/>
  <c r="I367" i="2"/>
  <c r="R367" i="2"/>
  <c r="AC366" i="2" s="1"/>
  <c r="S367" i="2"/>
  <c r="P367" i="2" s="1"/>
  <c r="H367" i="2"/>
  <c r="G368" i="2"/>
  <c r="M366" i="2"/>
  <c r="Q366" i="2"/>
  <c r="N366" i="2"/>
  <c r="O366" i="2" s="1"/>
  <c r="J367" i="2"/>
  <c r="A370" i="2"/>
  <c r="B369" i="2"/>
  <c r="F369" i="2"/>
  <c r="E369" i="2"/>
  <c r="U368" i="2"/>
  <c r="K367" i="2"/>
  <c r="C369" i="2"/>
  <c r="AA368" i="2"/>
  <c r="W368" i="2"/>
  <c r="Z368" i="2"/>
  <c r="D369" i="2"/>
  <c r="Y368" i="2"/>
  <c r="X368" i="2"/>
  <c r="V368" i="2"/>
  <c r="AB368" i="2"/>
  <c r="L367" i="2" l="1"/>
  <c r="T367" i="2"/>
  <c r="I368" i="2"/>
  <c r="R368" i="2"/>
  <c r="AC367" i="2" s="1"/>
  <c r="S368" i="2"/>
  <c r="P368" i="2" s="1"/>
  <c r="H368" i="2"/>
  <c r="G369" i="2"/>
  <c r="M367" i="2"/>
  <c r="Q367" i="2"/>
  <c r="N367" i="2"/>
  <c r="O367" i="2" s="1"/>
  <c r="J368" i="2"/>
  <c r="A371" i="2"/>
  <c r="B370" i="2"/>
  <c r="F370" i="2"/>
  <c r="E370" i="2"/>
  <c r="Z369" i="2"/>
  <c r="W369" i="2"/>
  <c r="K368" i="2"/>
  <c r="V369" i="2"/>
  <c r="AA369" i="2"/>
  <c r="U369" i="2"/>
  <c r="D370" i="2"/>
  <c r="Y369" i="2"/>
  <c r="X369" i="2"/>
  <c r="C370" i="2"/>
  <c r="AB369" i="2"/>
  <c r="L368" i="2" l="1"/>
  <c r="T368" i="2"/>
  <c r="I369" i="2"/>
  <c r="R369" i="2"/>
  <c r="AC368" i="2" s="1"/>
  <c r="S369" i="2"/>
  <c r="P369" i="2" s="1"/>
  <c r="H369" i="2"/>
  <c r="G370" i="2"/>
  <c r="M368" i="2"/>
  <c r="Q368" i="2"/>
  <c r="N368" i="2"/>
  <c r="O368" i="2" s="1"/>
  <c r="J369" i="2"/>
  <c r="A372" i="2"/>
  <c r="B371" i="2"/>
  <c r="F371" i="2"/>
  <c r="E371" i="2"/>
  <c r="X370" i="2"/>
  <c r="W370" i="2"/>
  <c r="K369" i="2"/>
  <c r="Y370" i="2"/>
  <c r="AB370" i="2"/>
  <c r="AA370" i="2"/>
  <c r="D371" i="2"/>
  <c r="V370" i="2"/>
  <c r="C371" i="2"/>
  <c r="Z370" i="2"/>
  <c r="U370" i="2"/>
  <c r="L369" i="2" l="1"/>
  <c r="T369" i="2"/>
  <c r="I370" i="2"/>
  <c r="R370" i="2"/>
  <c r="AC369" i="2" s="1"/>
  <c r="S370" i="2"/>
  <c r="P370" i="2" s="1"/>
  <c r="H370" i="2"/>
  <c r="G371" i="2"/>
  <c r="Q369" i="2"/>
  <c r="N369" i="2"/>
  <c r="O369" i="2" s="1"/>
  <c r="M369" i="2"/>
  <c r="J370" i="2"/>
  <c r="A373" i="2"/>
  <c r="B372" i="2"/>
  <c r="F372" i="2"/>
  <c r="E372" i="2"/>
  <c r="K370" i="2"/>
  <c r="U371" i="2"/>
  <c r="AB371" i="2"/>
  <c r="C372" i="2"/>
  <c r="W371" i="2"/>
  <c r="V371" i="2"/>
  <c r="AA371" i="2"/>
  <c r="D372" i="2"/>
  <c r="Z371" i="2"/>
  <c r="X371" i="2"/>
  <c r="Y371" i="2"/>
  <c r="L370" i="2" l="1"/>
  <c r="T370" i="2"/>
  <c r="I371" i="2"/>
  <c r="R371" i="2"/>
  <c r="AC370" i="2" s="1"/>
  <c r="S371" i="2"/>
  <c r="P371" i="2" s="1"/>
  <c r="H371" i="2"/>
  <c r="G372" i="2"/>
  <c r="Q370" i="2"/>
  <c r="M370" i="2"/>
  <c r="N370" i="2"/>
  <c r="O370" i="2" s="1"/>
  <c r="J371" i="2"/>
  <c r="A374" i="2"/>
  <c r="B373" i="2"/>
  <c r="F373" i="2"/>
  <c r="E373" i="2"/>
  <c r="X372" i="2"/>
  <c r="K371" i="2"/>
  <c r="Z372" i="2"/>
  <c r="W372" i="2"/>
  <c r="D373" i="2"/>
  <c r="AA372" i="2"/>
  <c r="C373" i="2"/>
  <c r="Y372" i="2"/>
  <c r="V372" i="2"/>
  <c r="AB372" i="2"/>
  <c r="U372" i="2"/>
  <c r="L371" i="2" l="1"/>
  <c r="T371" i="2"/>
  <c r="I372" i="2"/>
  <c r="R372" i="2"/>
  <c r="AC371" i="2" s="1"/>
  <c r="S372" i="2"/>
  <c r="P372" i="2" s="1"/>
  <c r="H372" i="2"/>
  <c r="G373" i="2"/>
  <c r="N371" i="2"/>
  <c r="O371" i="2" s="1"/>
  <c r="Q371" i="2"/>
  <c r="M371" i="2"/>
  <c r="J372" i="2"/>
  <c r="A375" i="2"/>
  <c r="B374" i="2"/>
  <c r="F374" i="2"/>
  <c r="E374" i="2"/>
  <c r="AA373" i="2"/>
  <c r="X373" i="2"/>
  <c r="K372" i="2"/>
  <c r="Z373" i="2"/>
  <c r="V373" i="2"/>
  <c r="W373" i="2"/>
  <c r="U373" i="2"/>
  <c r="C374" i="2"/>
  <c r="D374" i="2"/>
  <c r="AB373" i="2"/>
  <c r="Y373" i="2"/>
  <c r="L372" i="2" l="1"/>
  <c r="T372" i="2"/>
  <c r="I373" i="2"/>
  <c r="R373" i="2"/>
  <c r="AC372" i="2" s="1"/>
  <c r="S373" i="2"/>
  <c r="P373" i="2" s="1"/>
  <c r="H373" i="2"/>
  <c r="G374" i="2"/>
  <c r="Q372" i="2"/>
  <c r="N372" i="2"/>
  <c r="O372" i="2" s="1"/>
  <c r="M372" i="2"/>
  <c r="J373" i="2"/>
  <c r="A376" i="2"/>
  <c r="B375" i="2"/>
  <c r="F375" i="2"/>
  <c r="E375" i="2"/>
  <c r="Z374" i="2"/>
  <c r="K373" i="2"/>
  <c r="U374" i="2"/>
  <c r="AB374" i="2"/>
  <c r="D375" i="2"/>
  <c r="AA374" i="2"/>
  <c r="C375" i="2"/>
  <c r="Y374" i="2"/>
  <c r="W374" i="2"/>
  <c r="V374" i="2"/>
  <c r="X374" i="2"/>
  <c r="L373" i="2" l="1"/>
  <c r="T373" i="2"/>
  <c r="I374" i="2"/>
  <c r="R374" i="2"/>
  <c r="AC373" i="2" s="1"/>
  <c r="S374" i="2"/>
  <c r="P374" i="2" s="1"/>
  <c r="H374" i="2"/>
  <c r="G375" i="2"/>
  <c r="M373" i="2"/>
  <c r="Q373" i="2"/>
  <c r="N373" i="2"/>
  <c r="O373" i="2" s="1"/>
  <c r="J374" i="2"/>
  <c r="A377" i="2"/>
  <c r="B376" i="2"/>
  <c r="F376" i="2"/>
  <c r="E376" i="2"/>
  <c r="Y375" i="2"/>
  <c r="V375" i="2"/>
  <c r="K374" i="2"/>
  <c r="U375" i="2"/>
  <c r="AB375" i="2"/>
  <c r="Z375" i="2"/>
  <c r="X375" i="2"/>
  <c r="D376" i="2"/>
  <c r="AA375" i="2"/>
  <c r="W375" i="2"/>
  <c r="C376" i="2"/>
  <c r="L374" i="2" l="1"/>
  <c r="T374" i="2"/>
  <c r="I375" i="2"/>
  <c r="R375" i="2"/>
  <c r="AC374" i="2" s="1"/>
  <c r="S375" i="2"/>
  <c r="P375" i="2" s="1"/>
  <c r="H375" i="2"/>
  <c r="G376" i="2"/>
  <c r="Q374" i="2"/>
  <c r="N374" i="2"/>
  <c r="O374" i="2" s="1"/>
  <c r="M374" i="2"/>
  <c r="J375" i="2"/>
  <c r="A378" i="2"/>
  <c r="B377" i="2"/>
  <c r="F377" i="2"/>
  <c r="E377" i="2"/>
  <c r="C377" i="2"/>
  <c r="U376" i="2"/>
  <c r="D377" i="2"/>
  <c r="W376" i="2"/>
  <c r="AA376" i="2"/>
  <c r="Z376" i="2"/>
  <c r="AB376" i="2"/>
  <c r="Y376" i="2"/>
  <c r="X376" i="2"/>
  <c r="K375" i="2"/>
  <c r="V376" i="2"/>
  <c r="L375" i="2" l="1"/>
  <c r="T375" i="2"/>
  <c r="I376" i="2"/>
  <c r="R376" i="2"/>
  <c r="AC375" i="2" s="1"/>
  <c r="S376" i="2"/>
  <c r="P376" i="2" s="1"/>
  <c r="H376" i="2"/>
  <c r="G377" i="2"/>
  <c r="M375" i="2"/>
  <c r="N375" i="2"/>
  <c r="O375" i="2" s="1"/>
  <c r="Q375" i="2"/>
  <c r="J376" i="2"/>
  <c r="A379" i="2"/>
  <c r="B378" i="2"/>
  <c r="F378" i="2"/>
  <c r="E378" i="2"/>
  <c r="Y377" i="2"/>
  <c r="AB377" i="2"/>
  <c r="C378" i="2"/>
  <c r="X377" i="2"/>
  <c r="W377" i="2"/>
  <c r="Z377" i="2"/>
  <c r="V377" i="2"/>
  <c r="U377" i="2"/>
  <c r="D378" i="2"/>
  <c r="K376" i="2"/>
  <c r="AA377" i="2"/>
  <c r="L376" i="2" l="1"/>
  <c r="T376" i="2"/>
  <c r="I377" i="2"/>
  <c r="R377" i="2"/>
  <c r="AC376" i="2" s="1"/>
  <c r="S377" i="2"/>
  <c r="P377" i="2" s="1"/>
  <c r="H377" i="2"/>
  <c r="G378" i="2"/>
  <c r="M376" i="2"/>
  <c r="Q376" i="2"/>
  <c r="N376" i="2"/>
  <c r="O376" i="2" s="1"/>
  <c r="J377" i="2"/>
  <c r="A380" i="2"/>
  <c r="B379" i="2"/>
  <c r="F379" i="2"/>
  <c r="E379" i="2"/>
  <c r="X378" i="2"/>
  <c r="D379" i="2"/>
  <c r="K377" i="2"/>
  <c r="W378" i="2"/>
  <c r="AB378" i="2"/>
  <c r="U378" i="2"/>
  <c r="AA378" i="2"/>
  <c r="C379" i="2"/>
  <c r="Y378" i="2"/>
  <c r="Z378" i="2"/>
  <c r="V378" i="2"/>
  <c r="L377" i="2" l="1"/>
  <c r="T377" i="2"/>
  <c r="I378" i="2"/>
  <c r="R378" i="2"/>
  <c r="AC377" i="2" s="1"/>
  <c r="S378" i="2"/>
  <c r="P378" i="2" s="1"/>
  <c r="H378" i="2"/>
  <c r="G379" i="2"/>
  <c r="Q377" i="2"/>
  <c r="N377" i="2"/>
  <c r="O377" i="2" s="1"/>
  <c r="M377" i="2"/>
  <c r="J378" i="2"/>
  <c r="A381" i="2"/>
  <c r="B380" i="2"/>
  <c r="F380" i="2"/>
  <c r="E380" i="2"/>
  <c r="X379" i="2"/>
  <c r="K378" i="2"/>
  <c r="AA379" i="2"/>
  <c r="Y379" i="2"/>
  <c r="D380" i="2"/>
  <c r="Z379" i="2"/>
  <c r="W379" i="2"/>
  <c r="C380" i="2"/>
  <c r="U379" i="2"/>
  <c r="AB379" i="2"/>
  <c r="V379" i="2"/>
  <c r="L378" i="2" l="1"/>
  <c r="T378" i="2"/>
  <c r="I379" i="2"/>
  <c r="R379" i="2"/>
  <c r="AC378" i="2" s="1"/>
  <c r="S379" i="2"/>
  <c r="P379" i="2" s="1"/>
  <c r="H379" i="2"/>
  <c r="G380" i="2"/>
  <c r="N378" i="2"/>
  <c r="O378" i="2" s="1"/>
  <c r="Q378" i="2"/>
  <c r="M378" i="2"/>
  <c r="J379" i="2"/>
  <c r="A382" i="2"/>
  <c r="B381" i="2"/>
  <c r="F381" i="2"/>
  <c r="E381" i="2"/>
  <c r="V380" i="2"/>
  <c r="AB380" i="2"/>
  <c r="Z380" i="2"/>
  <c r="X380" i="2"/>
  <c r="Y380" i="2"/>
  <c r="D381" i="2"/>
  <c r="U380" i="2"/>
  <c r="AA380" i="2"/>
  <c r="C381" i="2"/>
  <c r="K379" i="2"/>
  <c r="W380" i="2"/>
  <c r="L379" i="2" l="1"/>
  <c r="T379" i="2"/>
  <c r="I380" i="2"/>
  <c r="R380" i="2"/>
  <c r="AC379" i="2" s="1"/>
  <c r="S380" i="2"/>
  <c r="P380" i="2" s="1"/>
  <c r="H380" i="2"/>
  <c r="G381" i="2"/>
  <c r="Q379" i="2"/>
  <c r="N379" i="2"/>
  <c r="O379" i="2" s="1"/>
  <c r="M379" i="2"/>
  <c r="J380" i="2"/>
  <c r="A383" i="2"/>
  <c r="B382" i="2"/>
  <c r="F382" i="2"/>
  <c r="E382" i="2"/>
  <c r="U381" i="2"/>
  <c r="C382" i="2"/>
  <c r="Z381" i="2"/>
  <c r="AA381" i="2"/>
  <c r="K380" i="2"/>
  <c r="D382" i="2"/>
  <c r="V381" i="2"/>
  <c r="AB381" i="2"/>
  <c r="X381" i="2"/>
  <c r="Y381" i="2"/>
  <c r="W381" i="2"/>
  <c r="L380" i="2" l="1"/>
  <c r="T380" i="2"/>
  <c r="I381" i="2"/>
  <c r="R381" i="2"/>
  <c r="AC380" i="2" s="1"/>
  <c r="S381" i="2"/>
  <c r="P381" i="2" s="1"/>
  <c r="H381" i="2"/>
  <c r="G382" i="2"/>
  <c r="N380" i="2"/>
  <c r="O380" i="2" s="1"/>
  <c r="Q380" i="2"/>
  <c r="M380" i="2"/>
  <c r="J381" i="2"/>
  <c r="A384" i="2"/>
  <c r="B383" i="2"/>
  <c r="F383" i="2"/>
  <c r="E383" i="2"/>
  <c r="C383" i="2"/>
  <c r="K381" i="2"/>
  <c r="V382" i="2"/>
  <c r="X382" i="2"/>
  <c r="AB382" i="2"/>
  <c r="U382" i="2"/>
  <c r="Y382" i="2"/>
  <c r="Z382" i="2"/>
  <c r="D383" i="2"/>
  <c r="AA382" i="2"/>
  <c r="W382" i="2"/>
  <c r="L381" i="2" l="1"/>
  <c r="T381" i="2"/>
  <c r="I382" i="2"/>
  <c r="R382" i="2"/>
  <c r="AC381" i="2" s="1"/>
  <c r="S382" i="2"/>
  <c r="P382" i="2" s="1"/>
  <c r="H382" i="2"/>
  <c r="G383" i="2"/>
  <c r="M381" i="2"/>
  <c r="Q381" i="2"/>
  <c r="N381" i="2"/>
  <c r="O381" i="2" s="1"/>
  <c r="J382" i="2"/>
  <c r="A385" i="2"/>
  <c r="B384" i="2"/>
  <c r="F384" i="2"/>
  <c r="E384" i="2"/>
  <c r="W383" i="2"/>
  <c r="C384" i="2"/>
  <c r="AB383" i="2"/>
  <c r="K382" i="2"/>
  <c r="Y383" i="2"/>
  <c r="X383" i="2"/>
  <c r="AA383" i="2"/>
  <c r="V383" i="2"/>
  <c r="U383" i="2"/>
  <c r="Z383" i="2"/>
  <c r="L382" i="2" l="1"/>
  <c r="T382" i="2"/>
  <c r="I383" i="2"/>
  <c r="R383" i="2"/>
  <c r="AC382" i="2" s="1"/>
  <c r="S383" i="2"/>
  <c r="P383" i="2" s="1"/>
  <c r="H383" i="2"/>
  <c r="G384" i="2"/>
  <c r="M382" i="2"/>
  <c r="N382" i="2"/>
  <c r="O382" i="2" s="1"/>
  <c r="Q382" i="2"/>
  <c r="J383" i="2"/>
  <c r="A386" i="2"/>
  <c r="B385" i="2"/>
  <c r="F385" i="2"/>
  <c r="D384" i="2"/>
  <c r="E385" i="2"/>
  <c r="V384" i="2"/>
  <c r="D385" i="2"/>
  <c r="X384" i="2"/>
  <c r="K383" i="2"/>
  <c r="AB384" i="2"/>
  <c r="W384" i="2"/>
  <c r="Y384" i="2"/>
  <c r="U384" i="2"/>
  <c r="Z384" i="2"/>
  <c r="C385" i="2"/>
  <c r="AA384" i="2"/>
  <c r="L383" i="2" l="1"/>
  <c r="T383" i="2"/>
  <c r="I384" i="2"/>
  <c r="R384" i="2"/>
  <c r="AC383" i="2" s="1"/>
  <c r="S384" i="2"/>
  <c r="P384" i="2" s="1"/>
  <c r="H384" i="2"/>
  <c r="G385" i="2"/>
  <c r="M383" i="2"/>
  <c r="Q383" i="2"/>
  <c r="N383" i="2"/>
  <c r="O383" i="2" s="1"/>
  <c r="J384" i="2"/>
  <c r="A387" i="2"/>
  <c r="B386" i="2"/>
  <c r="F386" i="2"/>
  <c r="E386" i="2"/>
  <c r="X385" i="2"/>
  <c r="V385" i="2"/>
  <c r="U385" i="2"/>
  <c r="D386" i="2"/>
  <c r="AA385" i="2"/>
  <c r="C386" i="2"/>
  <c r="AB385" i="2"/>
  <c r="W385" i="2"/>
  <c r="Y385" i="2"/>
  <c r="K384" i="2"/>
  <c r="Z385" i="2"/>
  <c r="L384" i="2" l="1"/>
  <c r="T384" i="2"/>
  <c r="I385" i="2"/>
  <c r="R385" i="2"/>
  <c r="AC384" i="2" s="1"/>
  <c r="S385" i="2"/>
  <c r="P385" i="2" s="1"/>
  <c r="H385" i="2"/>
  <c r="G386" i="2"/>
  <c r="M384" i="2"/>
  <c r="N384" i="2"/>
  <c r="O384" i="2" s="1"/>
  <c r="Q384" i="2"/>
  <c r="J385" i="2"/>
  <c r="A388" i="2"/>
  <c r="B387" i="2"/>
  <c r="F387" i="2"/>
  <c r="E387" i="2"/>
  <c r="Z386" i="2"/>
  <c r="K385" i="2"/>
  <c r="C387" i="2"/>
  <c r="AB386" i="2"/>
  <c r="X386" i="2"/>
  <c r="V386" i="2"/>
  <c r="D387" i="2"/>
  <c r="W386" i="2"/>
  <c r="Y386" i="2"/>
  <c r="AA386" i="2"/>
  <c r="U386" i="2"/>
  <c r="L385" i="2" l="1"/>
  <c r="T385" i="2"/>
  <c r="I386" i="2"/>
  <c r="R386" i="2"/>
  <c r="AC385" i="2" s="1"/>
  <c r="S386" i="2"/>
  <c r="P386" i="2" s="1"/>
  <c r="H386" i="2"/>
  <c r="G387" i="2"/>
  <c r="Q385" i="2"/>
  <c r="N385" i="2"/>
  <c r="O385" i="2" s="1"/>
  <c r="M385" i="2"/>
  <c r="J386" i="2"/>
  <c r="A389" i="2"/>
  <c r="B388" i="2"/>
  <c r="F388" i="2"/>
  <c r="E388" i="2"/>
  <c r="Y387" i="2"/>
  <c r="W387" i="2"/>
  <c r="K386" i="2"/>
  <c r="V387" i="2"/>
  <c r="C388" i="2"/>
  <c r="U387" i="2"/>
  <c r="Z387" i="2"/>
  <c r="AB387" i="2"/>
  <c r="X387" i="2"/>
  <c r="AA387" i="2"/>
  <c r="L386" i="2" l="1"/>
  <c r="T386" i="2"/>
  <c r="I387" i="2"/>
  <c r="R387" i="2"/>
  <c r="AC386" i="2" s="1"/>
  <c r="S387" i="2"/>
  <c r="P387" i="2" s="1"/>
  <c r="H387" i="2"/>
  <c r="G388" i="2"/>
  <c r="Q386" i="2"/>
  <c r="M386" i="2"/>
  <c r="N386" i="2"/>
  <c r="O386" i="2" s="1"/>
  <c r="J387" i="2"/>
  <c r="A390" i="2"/>
  <c r="B389" i="2"/>
  <c r="F389" i="2"/>
  <c r="D388" i="2"/>
  <c r="E389" i="2"/>
  <c r="V388" i="2"/>
  <c r="W388" i="2"/>
  <c r="K387" i="2"/>
  <c r="X388" i="2"/>
  <c r="U388" i="2"/>
  <c r="D389" i="2"/>
  <c r="Y388" i="2"/>
  <c r="C389" i="2"/>
  <c r="Z388" i="2"/>
  <c r="AA388" i="2"/>
  <c r="AB388" i="2"/>
  <c r="L387" i="2" l="1"/>
  <c r="T387" i="2"/>
  <c r="I388" i="2"/>
  <c r="R388" i="2"/>
  <c r="AC387" i="2" s="1"/>
  <c r="S388" i="2"/>
  <c r="P388" i="2" s="1"/>
  <c r="H388" i="2"/>
  <c r="G389" i="2"/>
  <c r="N387" i="2"/>
  <c r="O387" i="2" s="1"/>
  <c r="Q387" i="2"/>
  <c r="M387" i="2"/>
  <c r="J388" i="2"/>
  <c r="A391" i="2"/>
  <c r="B390" i="2"/>
  <c r="F390" i="2"/>
  <c r="E390" i="2"/>
  <c r="C390" i="2"/>
  <c r="Z389" i="2"/>
  <c r="AB389" i="2"/>
  <c r="X389" i="2"/>
  <c r="V389" i="2"/>
  <c r="Y389" i="2"/>
  <c r="W389" i="2"/>
  <c r="AA389" i="2"/>
  <c r="D390" i="2"/>
  <c r="U389" i="2"/>
  <c r="K388" i="2"/>
  <c r="L388" i="2" l="1"/>
  <c r="T388" i="2"/>
  <c r="I389" i="2"/>
  <c r="R389" i="2"/>
  <c r="AC388" i="2" s="1"/>
  <c r="S389" i="2"/>
  <c r="P389" i="2" s="1"/>
  <c r="H389" i="2"/>
  <c r="G390" i="2"/>
  <c r="Q388" i="2"/>
  <c r="N388" i="2"/>
  <c r="O388" i="2" s="1"/>
  <c r="M388" i="2"/>
  <c r="J389" i="2"/>
  <c r="A392" i="2"/>
  <c r="B391" i="2"/>
  <c r="F391" i="2"/>
  <c r="E391" i="2"/>
  <c r="Y390" i="2"/>
  <c r="V390" i="2"/>
  <c r="C391" i="2"/>
  <c r="D391" i="2"/>
  <c r="K389" i="2"/>
  <c r="W390" i="2"/>
  <c r="U390" i="2"/>
  <c r="AA390" i="2"/>
  <c r="AB390" i="2"/>
  <c r="X390" i="2"/>
  <c r="Z390" i="2"/>
  <c r="L389" i="2" l="1"/>
  <c r="T389" i="2"/>
  <c r="I390" i="2"/>
  <c r="R390" i="2"/>
  <c r="AC389" i="2" s="1"/>
  <c r="S390" i="2"/>
  <c r="P390" i="2" s="1"/>
  <c r="H390" i="2"/>
  <c r="G391" i="2"/>
  <c r="M389" i="2"/>
  <c r="Q389" i="2"/>
  <c r="N389" i="2"/>
  <c r="O389" i="2" s="1"/>
  <c r="J390" i="2"/>
  <c r="A393" i="2"/>
  <c r="B392" i="2"/>
  <c r="F392" i="2"/>
  <c r="E392" i="2"/>
  <c r="V391" i="2"/>
  <c r="X391" i="2"/>
  <c r="AB391" i="2"/>
  <c r="K390" i="2"/>
  <c r="Z391" i="2"/>
  <c r="C392" i="2"/>
  <c r="W391" i="2"/>
  <c r="Y391" i="2"/>
  <c r="AA391" i="2"/>
  <c r="D392" i="2"/>
  <c r="U391" i="2"/>
  <c r="L390" i="2" l="1"/>
  <c r="T390" i="2"/>
  <c r="I391" i="2"/>
  <c r="R391" i="2"/>
  <c r="AC390" i="2" s="1"/>
  <c r="S391" i="2"/>
  <c r="P391" i="2" s="1"/>
  <c r="H391" i="2"/>
  <c r="G392" i="2"/>
  <c r="Q390" i="2"/>
  <c r="M390" i="2"/>
  <c r="N390" i="2"/>
  <c r="O390" i="2" s="1"/>
  <c r="J391" i="2"/>
  <c r="A394" i="2"/>
  <c r="B393" i="2"/>
  <c r="F393" i="2"/>
  <c r="E393" i="2"/>
  <c r="C393" i="2"/>
  <c r="K391" i="2"/>
  <c r="Y392" i="2"/>
  <c r="V392" i="2"/>
  <c r="D393" i="2"/>
  <c r="W392" i="2"/>
  <c r="U392" i="2"/>
  <c r="X392" i="2"/>
  <c r="AB392" i="2"/>
  <c r="AA392" i="2"/>
  <c r="Z392" i="2"/>
  <c r="L391" i="2" l="1"/>
  <c r="T391" i="2"/>
  <c r="I392" i="2"/>
  <c r="R392" i="2"/>
  <c r="AC391" i="2" s="1"/>
  <c r="S392" i="2"/>
  <c r="P392" i="2" s="1"/>
  <c r="H392" i="2"/>
  <c r="G393" i="2"/>
  <c r="M391" i="2"/>
  <c r="N391" i="2"/>
  <c r="O391" i="2" s="1"/>
  <c r="Q391" i="2"/>
  <c r="J392" i="2"/>
  <c r="A395" i="2"/>
  <c r="B394" i="2"/>
  <c r="F394" i="2"/>
  <c r="E394" i="2"/>
  <c r="V393" i="2"/>
  <c r="Y393" i="2"/>
  <c r="D394" i="2"/>
  <c r="W393" i="2"/>
  <c r="AA393" i="2"/>
  <c r="C394" i="2"/>
  <c r="AB393" i="2"/>
  <c r="U393" i="2"/>
  <c r="X393" i="2"/>
  <c r="K392" i="2"/>
  <c r="Z393" i="2"/>
  <c r="L392" i="2" l="1"/>
  <c r="T392" i="2"/>
  <c r="I393" i="2"/>
  <c r="R393" i="2"/>
  <c r="AC392" i="2" s="1"/>
  <c r="S393" i="2"/>
  <c r="P393" i="2" s="1"/>
  <c r="H393" i="2"/>
  <c r="G394" i="2"/>
  <c r="M392" i="2"/>
  <c r="Q392" i="2"/>
  <c r="N392" i="2"/>
  <c r="O392" i="2" s="1"/>
  <c r="J393" i="2"/>
  <c r="A396" i="2"/>
  <c r="B395" i="2"/>
  <c r="F395" i="2"/>
  <c r="E395" i="2"/>
  <c r="AB394" i="2"/>
  <c r="C395" i="2"/>
  <c r="K393" i="2"/>
  <c r="AA394" i="2"/>
  <c r="W394" i="2"/>
  <c r="U394" i="2"/>
  <c r="Z394" i="2"/>
  <c r="V394" i="2"/>
  <c r="X394" i="2"/>
  <c r="Y394" i="2"/>
  <c r="L393" i="2" l="1"/>
  <c r="T393" i="2"/>
  <c r="I394" i="2"/>
  <c r="R394" i="2"/>
  <c r="AC393" i="2" s="1"/>
  <c r="S394" i="2"/>
  <c r="P394" i="2" s="1"/>
  <c r="H394" i="2"/>
  <c r="G395" i="2"/>
  <c r="Q393" i="2"/>
  <c r="N393" i="2"/>
  <c r="O393" i="2" s="1"/>
  <c r="M393" i="2"/>
  <c r="J394" i="2"/>
  <c r="A397" i="2"/>
  <c r="B396" i="2"/>
  <c r="F396" i="2"/>
  <c r="D395" i="2"/>
  <c r="E396" i="2"/>
  <c r="AB395" i="2"/>
  <c r="K394" i="2"/>
  <c r="AA395" i="2"/>
  <c r="V395" i="2"/>
  <c r="D396" i="2"/>
  <c r="X395" i="2"/>
  <c r="W395" i="2"/>
  <c r="C396" i="2"/>
  <c r="U395" i="2"/>
  <c r="Z395" i="2"/>
  <c r="Y395" i="2"/>
  <c r="L394" i="2" l="1"/>
  <c r="T394" i="2"/>
  <c r="I395" i="2"/>
  <c r="R395" i="2"/>
  <c r="AC394" i="2" s="1"/>
  <c r="S395" i="2"/>
  <c r="P395" i="2" s="1"/>
  <c r="H395" i="2"/>
  <c r="G396" i="2"/>
  <c r="N394" i="2"/>
  <c r="O394" i="2" s="1"/>
  <c r="M394" i="2"/>
  <c r="Q394" i="2"/>
  <c r="J395" i="2"/>
  <c r="A398" i="2"/>
  <c r="B397" i="2"/>
  <c r="F397" i="2"/>
  <c r="E397" i="2"/>
  <c r="Z396" i="2"/>
  <c r="K395" i="2"/>
  <c r="AA396" i="2"/>
  <c r="U396" i="2"/>
  <c r="C397" i="2"/>
  <c r="Y396" i="2"/>
  <c r="X396" i="2"/>
  <c r="D397" i="2"/>
  <c r="W396" i="2"/>
  <c r="AB396" i="2"/>
  <c r="V396" i="2"/>
  <c r="L395" i="2" l="1"/>
  <c r="T395" i="2"/>
  <c r="I396" i="2"/>
  <c r="R396" i="2"/>
  <c r="AC395" i="2" s="1"/>
  <c r="S396" i="2"/>
  <c r="P396" i="2" s="1"/>
  <c r="H396" i="2"/>
  <c r="G397" i="2"/>
  <c r="Q395" i="2"/>
  <c r="N395" i="2"/>
  <c r="O395" i="2" s="1"/>
  <c r="M395" i="2"/>
  <c r="J396" i="2"/>
  <c r="A399" i="2"/>
  <c r="B398" i="2"/>
  <c r="F398" i="2"/>
  <c r="E398" i="2"/>
  <c r="AB397" i="2"/>
  <c r="U397" i="2"/>
  <c r="K396" i="2"/>
  <c r="Z397" i="2"/>
  <c r="AA397" i="2"/>
  <c r="D398" i="2"/>
  <c r="X397" i="2"/>
  <c r="Y397" i="2"/>
  <c r="V397" i="2"/>
  <c r="W397" i="2"/>
  <c r="C398" i="2"/>
  <c r="L396" i="2" l="1"/>
  <c r="T396" i="2"/>
  <c r="I397" i="2"/>
  <c r="R397" i="2"/>
  <c r="AC396" i="2" s="1"/>
  <c r="S397" i="2"/>
  <c r="P397" i="2" s="1"/>
  <c r="H397" i="2"/>
  <c r="G398" i="2"/>
  <c r="N396" i="2"/>
  <c r="O396" i="2" s="1"/>
  <c r="Q396" i="2"/>
  <c r="M396" i="2"/>
  <c r="J397" i="2"/>
  <c r="A400" i="2"/>
  <c r="B399" i="2"/>
  <c r="F399" i="2"/>
  <c r="E399" i="2"/>
  <c r="Y398" i="2"/>
  <c r="K397" i="2"/>
  <c r="W398" i="2"/>
  <c r="X398" i="2"/>
  <c r="Z398" i="2"/>
  <c r="AB398" i="2"/>
  <c r="D399" i="2"/>
  <c r="AA398" i="2"/>
  <c r="C399" i="2"/>
  <c r="U398" i="2"/>
  <c r="V398" i="2"/>
  <c r="L397" i="2" l="1"/>
  <c r="T397" i="2"/>
  <c r="I398" i="2"/>
  <c r="R398" i="2"/>
  <c r="AC397" i="2" s="1"/>
  <c r="S398" i="2"/>
  <c r="P398" i="2" s="1"/>
  <c r="H398" i="2"/>
  <c r="G399" i="2"/>
  <c r="M397" i="2"/>
  <c r="Q397" i="2"/>
  <c r="N397" i="2"/>
  <c r="O397" i="2" s="1"/>
  <c r="J398" i="2"/>
  <c r="A401" i="2"/>
  <c r="B400" i="2"/>
  <c r="F400" i="2"/>
  <c r="E400" i="2"/>
  <c r="X399" i="2"/>
  <c r="AA399" i="2"/>
  <c r="Y399" i="2"/>
  <c r="U399" i="2"/>
  <c r="Z399" i="2"/>
  <c r="AB399" i="2"/>
  <c r="W399" i="2"/>
  <c r="D400" i="2"/>
  <c r="C400" i="2"/>
  <c r="K398" i="2"/>
  <c r="V399" i="2"/>
  <c r="L398" i="2" l="1"/>
  <c r="T398" i="2"/>
  <c r="I399" i="2"/>
  <c r="R399" i="2"/>
  <c r="AC398" i="2" s="1"/>
  <c r="S399" i="2"/>
  <c r="P399" i="2" s="1"/>
  <c r="H399" i="2"/>
  <c r="G400" i="2"/>
  <c r="M398" i="2"/>
  <c r="N398" i="2"/>
  <c r="O398" i="2" s="1"/>
  <c r="Q398" i="2"/>
  <c r="J399" i="2"/>
  <c r="A402" i="2"/>
  <c r="B401" i="2"/>
  <c r="F401" i="2"/>
  <c r="E401" i="2"/>
  <c r="Z400" i="2"/>
  <c r="X400" i="2"/>
  <c r="C401" i="2"/>
  <c r="W400" i="2"/>
  <c r="U400" i="2"/>
  <c r="AB400" i="2"/>
  <c r="D401" i="2"/>
  <c r="Y400" i="2"/>
  <c r="V400" i="2"/>
  <c r="AA400" i="2"/>
  <c r="K399" i="2"/>
  <c r="L399" i="2" l="1"/>
  <c r="T399" i="2"/>
  <c r="I400" i="2"/>
  <c r="R400" i="2"/>
  <c r="AC399" i="2" s="1"/>
  <c r="S400" i="2"/>
  <c r="P400" i="2" s="1"/>
  <c r="H400" i="2"/>
  <c r="G401" i="2"/>
  <c r="M399" i="2"/>
  <c r="Q399" i="2"/>
  <c r="N399" i="2"/>
  <c r="O399" i="2" s="1"/>
  <c r="J400" i="2"/>
  <c r="A403" i="2"/>
  <c r="B402" i="2"/>
  <c r="F402" i="2"/>
  <c r="E402" i="2"/>
  <c r="Z401" i="2"/>
  <c r="K400" i="2"/>
  <c r="C402" i="2"/>
  <c r="W401" i="2"/>
  <c r="V401" i="2"/>
  <c r="AB401" i="2"/>
  <c r="D402" i="2"/>
  <c r="X401" i="2"/>
  <c r="AA401" i="2"/>
  <c r="U401" i="2"/>
  <c r="Y401" i="2"/>
  <c r="L400" i="2" l="1"/>
  <c r="T400" i="2"/>
  <c r="I401" i="2"/>
  <c r="R401" i="2"/>
  <c r="AC400" i="2" s="1"/>
  <c r="S401" i="2"/>
  <c r="P401" i="2" s="1"/>
  <c r="H401" i="2"/>
  <c r="G402" i="2"/>
  <c r="M400" i="2"/>
  <c r="N400" i="2"/>
  <c r="O400" i="2" s="1"/>
  <c r="Q400" i="2"/>
  <c r="J401" i="2"/>
  <c r="A404" i="2"/>
  <c r="B403" i="2"/>
  <c r="F403" i="2"/>
  <c r="E403" i="2"/>
  <c r="U402" i="2"/>
  <c r="W402" i="2"/>
  <c r="K401" i="2"/>
  <c r="Z402" i="2"/>
  <c r="AB402" i="2"/>
  <c r="V402" i="2"/>
  <c r="AA402" i="2"/>
  <c r="C403" i="2"/>
  <c r="X402" i="2"/>
  <c r="Y402" i="2"/>
  <c r="L401" i="2" l="1"/>
  <c r="T401" i="2"/>
  <c r="I402" i="2"/>
  <c r="R402" i="2"/>
  <c r="AC401" i="2" s="1"/>
  <c r="S402" i="2"/>
  <c r="P402" i="2" s="1"/>
  <c r="H402" i="2"/>
  <c r="G403" i="2"/>
  <c r="Q401" i="2"/>
  <c r="N401" i="2"/>
  <c r="O401" i="2" s="1"/>
  <c r="M401" i="2"/>
  <c r="J402" i="2"/>
  <c r="A405" i="2"/>
  <c r="B404" i="2"/>
  <c r="F404" i="2"/>
  <c r="D403" i="2"/>
  <c r="E404" i="2"/>
  <c r="W403" i="2"/>
  <c r="AB403" i="2"/>
  <c r="C404" i="2"/>
  <c r="U403" i="2"/>
  <c r="AA403" i="2"/>
  <c r="Y403" i="2"/>
  <c r="D404" i="2"/>
  <c r="V403" i="2"/>
  <c r="X403" i="2"/>
  <c r="K402" i="2"/>
  <c r="Z403" i="2"/>
  <c r="L402" i="2" l="1"/>
  <c r="T402" i="2"/>
  <c r="I403" i="2"/>
  <c r="R403" i="2"/>
  <c r="AC402" i="2" s="1"/>
  <c r="S403" i="2"/>
  <c r="P403" i="2" s="1"/>
  <c r="H403" i="2"/>
  <c r="G404" i="2"/>
  <c r="Q402" i="2"/>
  <c r="M402" i="2"/>
  <c r="N402" i="2"/>
  <c r="O402" i="2" s="1"/>
  <c r="J403" i="2"/>
  <c r="A406" i="2"/>
  <c r="B405" i="2"/>
  <c r="F405" i="2"/>
  <c r="E405" i="2"/>
  <c r="X404" i="2"/>
  <c r="K403" i="2"/>
  <c r="Y404" i="2"/>
  <c r="AB404" i="2"/>
  <c r="AA404" i="2"/>
  <c r="W404" i="2"/>
  <c r="C405" i="2"/>
  <c r="Z404" i="2"/>
  <c r="D405" i="2"/>
  <c r="U404" i="2"/>
  <c r="V404" i="2"/>
  <c r="L403" i="2" l="1"/>
  <c r="T403" i="2"/>
  <c r="I404" i="2"/>
  <c r="R404" i="2"/>
  <c r="AC403" i="2" s="1"/>
  <c r="S404" i="2"/>
  <c r="P404" i="2" s="1"/>
  <c r="H404" i="2"/>
  <c r="G405" i="2"/>
  <c r="N403" i="2"/>
  <c r="O403" i="2" s="1"/>
  <c r="Q403" i="2"/>
  <c r="M403" i="2"/>
  <c r="J404" i="2"/>
  <c r="A407" i="2"/>
  <c r="B406" i="2"/>
  <c r="F406" i="2"/>
  <c r="E406" i="2"/>
  <c r="W405" i="2"/>
  <c r="D406" i="2"/>
  <c r="K404" i="2"/>
  <c r="V405" i="2"/>
  <c r="AB405" i="2"/>
  <c r="X405" i="2"/>
  <c r="Z405" i="2"/>
  <c r="C406" i="2"/>
  <c r="Y405" i="2"/>
  <c r="AA405" i="2"/>
  <c r="U405" i="2"/>
  <c r="L404" i="2" l="1"/>
  <c r="T404" i="2"/>
  <c r="I405" i="2"/>
  <c r="R405" i="2"/>
  <c r="AC404" i="2" s="1"/>
  <c r="S405" i="2"/>
  <c r="P405" i="2" s="1"/>
  <c r="H405" i="2"/>
  <c r="G406" i="2"/>
  <c r="Q404" i="2"/>
  <c r="N404" i="2"/>
  <c r="O404" i="2" s="1"/>
  <c r="M404" i="2"/>
  <c r="J405" i="2"/>
  <c r="A408" i="2"/>
  <c r="B407" i="2"/>
  <c r="F407" i="2"/>
  <c r="E407" i="2"/>
  <c r="AA406" i="2"/>
  <c r="C407" i="2"/>
  <c r="U406" i="2"/>
  <c r="Z406" i="2"/>
  <c r="K405" i="2"/>
  <c r="AB406" i="2"/>
  <c r="Y406" i="2"/>
  <c r="X406" i="2"/>
  <c r="W406" i="2"/>
  <c r="V406" i="2"/>
  <c r="L405" i="2" l="1"/>
  <c r="T405" i="2"/>
  <c r="I406" i="2"/>
  <c r="R406" i="2"/>
  <c r="AC405" i="2" s="1"/>
  <c r="S406" i="2"/>
  <c r="P406" i="2" s="1"/>
  <c r="H406" i="2"/>
  <c r="G407" i="2"/>
  <c r="M405" i="2"/>
  <c r="Q405" i="2"/>
  <c r="N405" i="2"/>
  <c r="O405" i="2" s="1"/>
  <c r="J406" i="2"/>
  <c r="A409" i="2"/>
  <c r="B408" i="2"/>
  <c r="F408" i="2"/>
  <c r="D407" i="2"/>
  <c r="E408" i="2"/>
  <c r="AA407" i="2"/>
  <c r="W407" i="2"/>
  <c r="X407" i="2"/>
  <c r="Y407" i="2"/>
  <c r="D408" i="2"/>
  <c r="AB407" i="2"/>
  <c r="Z407" i="2"/>
  <c r="U407" i="2"/>
  <c r="V407" i="2"/>
  <c r="K406" i="2"/>
  <c r="C408" i="2"/>
  <c r="L406" i="2" l="1"/>
  <c r="T406" i="2"/>
  <c r="I407" i="2"/>
  <c r="R407" i="2"/>
  <c r="AC406" i="2" s="1"/>
  <c r="S407" i="2"/>
  <c r="P407" i="2" s="1"/>
  <c r="H407" i="2"/>
  <c r="G408" i="2"/>
  <c r="Q406" i="2"/>
  <c r="N406" i="2"/>
  <c r="O406" i="2" s="1"/>
  <c r="M406" i="2"/>
  <c r="J407" i="2"/>
  <c r="A410" i="2"/>
  <c r="B409" i="2"/>
  <c r="F409" i="2"/>
  <c r="E409" i="2"/>
  <c r="X408" i="2"/>
  <c r="C409" i="2"/>
  <c r="K407" i="2"/>
  <c r="Y408" i="2"/>
  <c r="AA408" i="2"/>
  <c r="D409" i="2"/>
  <c r="AB408" i="2"/>
  <c r="U408" i="2"/>
  <c r="Z408" i="2"/>
  <c r="W408" i="2"/>
  <c r="V408" i="2"/>
  <c r="L407" i="2" l="1"/>
  <c r="T407" i="2"/>
  <c r="I408" i="2"/>
  <c r="R408" i="2"/>
  <c r="AC407" i="2" s="1"/>
  <c r="S408" i="2"/>
  <c r="P408" i="2" s="1"/>
  <c r="H408" i="2"/>
  <c r="G409" i="2"/>
  <c r="M407" i="2"/>
  <c r="N407" i="2"/>
  <c r="O407" i="2" s="1"/>
  <c r="Q407" i="2"/>
  <c r="J408" i="2"/>
  <c r="A411" i="2"/>
  <c r="B410" i="2"/>
  <c r="F410" i="2"/>
  <c r="E410" i="2"/>
  <c r="V409" i="2"/>
  <c r="Z409" i="2"/>
  <c r="K408" i="2"/>
  <c r="X409" i="2"/>
  <c r="Y409" i="2"/>
  <c r="W409" i="2"/>
  <c r="U409" i="2"/>
  <c r="C410" i="2"/>
  <c r="D410" i="2"/>
  <c r="AA409" i="2"/>
  <c r="AB409" i="2"/>
  <c r="L408" i="2" l="1"/>
  <c r="T408" i="2"/>
  <c r="I409" i="2"/>
  <c r="R409" i="2"/>
  <c r="AC408" i="2" s="1"/>
  <c r="S409" i="2"/>
  <c r="P409" i="2" s="1"/>
  <c r="H409" i="2"/>
  <c r="G410" i="2"/>
  <c r="M408" i="2"/>
  <c r="Q408" i="2"/>
  <c r="N408" i="2"/>
  <c r="O408" i="2" s="1"/>
  <c r="J409" i="2"/>
  <c r="A412" i="2"/>
  <c r="B411" i="2"/>
  <c r="F411" i="2"/>
  <c r="E411" i="2"/>
  <c r="C411" i="2"/>
  <c r="Z410" i="2"/>
  <c r="W410" i="2"/>
  <c r="AA410" i="2"/>
  <c r="U410" i="2"/>
  <c r="D411" i="2"/>
  <c r="AB410" i="2"/>
  <c r="V410" i="2"/>
  <c r="Y410" i="2"/>
  <c r="K409" i="2"/>
  <c r="X410" i="2"/>
  <c r="L409" i="2" l="1"/>
  <c r="T409" i="2"/>
  <c r="I410" i="2"/>
  <c r="R410" i="2"/>
  <c r="AC409" i="2" s="1"/>
  <c r="S410" i="2"/>
  <c r="P410" i="2" s="1"/>
  <c r="H410" i="2"/>
  <c r="G411" i="2"/>
  <c r="Q409" i="2"/>
  <c r="N409" i="2"/>
  <c r="O409" i="2" s="1"/>
  <c r="M409" i="2"/>
  <c r="J410" i="2"/>
  <c r="A413" i="2"/>
  <c r="B412" i="2"/>
  <c r="F412" i="2"/>
  <c r="E412" i="2"/>
  <c r="Y411" i="2"/>
  <c r="K410" i="2"/>
  <c r="U411" i="2"/>
  <c r="V411" i="2"/>
  <c r="AA411" i="2"/>
  <c r="C412" i="2"/>
  <c r="D412" i="2"/>
  <c r="Z411" i="2"/>
  <c r="W411" i="2"/>
  <c r="X411" i="2"/>
  <c r="AB411" i="2"/>
  <c r="L410" i="2" l="1"/>
  <c r="T410" i="2"/>
  <c r="I411" i="2"/>
  <c r="R411" i="2"/>
  <c r="AC410" i="2" s="1"/>
  <c r="S411" i="2"/>
  <c r="P411" i="2" s="1"/>
  <c r="H411" i="2"/>
  <c r="G412" i="2"/>
  <c r="N410" i="2"/>
  <c r="O410" i="2" s="1"/>
  <c r="Q410" i="2"/>
  <c r="M410" i="2"/>
  <c r="J411" i="2"/>
  <c r="A414" i="2"/>
  <c r="B413" i="2"/>
  <c r="F413" i="2"/>
  <c r="E413" i="2"/>
  <c r="D413" i="2"/>
  <c r="K411" i="2"/>
  <c r="C413" i="2"/>
  <c r="Z412" i="2"/>
  <c r="X412" i="2"/>
  <c r="Y412" i="2"/>
  <c r="U412" i="2"/>
  <c r="V412" i="2"/>
  <c r="W412" i="2"/>
  <c r="AB412" i="2"/>
  <c r="AA412" i="2"/>
  <c r="L411" i="2" l="1"/>
  <c r="T411" i="2"/>
  <c r="I412" i="2"/>
  <c r="R412" i="2"/>
  <c r="AC411" i="2" s="1"/>
  <c r="S412" i="2"/>
  <c r="P412" i="2" s="1"/>
  <c r="H412" i="2"/>
  <c r="G413" i="2"/>
  <c r="Q411" i="2"/>
  <c r="N411" i="2"/>
  <c r="O411" i="2" s="1"/>
  <c r="M411" i="2"/>
  <c r="J412" i="2"/>
  <c r="A415" i="2"/>
  <c r="B414" i="2"/>
  <c r="F414" i="2"/>
  <c r="E414" i="2"/>
  <c r="AA413" i="2"/>
  <c r="K412" i="2"/>
  <c r="C414" i="2"/>
  <c r="V413" i="2"/>
  <c r="Z413" i="2"/>
  <c r="Y413" i="2"/>
  <c r="D414" i="2"/>
  <c r="U413" i="2"/>
  <c r="W413" i="2"/>
  <c r="AB413" i="2"/>
  <c r="X413" i="2"/>
  <c r="L412" i="2" l="1"/>
  <c r="T412" i="2"/>
  <c r="I413" i="2"/>
  <c r="R413" i="2"/>
  <c r="AC412" i="2" s="1"/>
  <c r="S413" i="2"/>
  <c r="P413" i="2" s="1"/>
  <c r="H413" i="2"/>
  <c r="G414" i="2"/>
  <c r="N412" i="2"/>
  <c r="O412" i="2" s="1"/>
  <c r="Q412" i="2"/>
  <c r="M412" i="2"/>
  <c r="J413" i="2"/>
  <c r="A416" i="2"/>
  <c r="B415" i="2"/>
  <c r="F415" i="2"/>
  <c r="E415" i="2"/>
  <c r="U414" i="2"/>
  <c r="K413" i="2"/>
  <c r="W414" i="2"/>
  <c r="AB414" i="2"/>
  <c r="C415" i="2"/>
  <c r="AA414" i="2"/>
  <c r="X414" i="2"/>
  <c r="V414" i="2"/>
  <c r="Y414" i="2"/>
  <c r="Z414" i="2"/>
  <c r="L413" i="2" l="1"/>
  <c r="T413" i="2"/>
  <c r="I414" i="2"/>
  <c r="R414" i="2"/>
  <c r="AC413" i="2" s="1"/>
  <c r="S414" i="2"/>
  <c r="P414" i="2" s="1"/>
  <c r="H414" i="2"/>
  <c r="G415" i="2"/>
  <c r="M413" i="2"/>
  <c r="Q413" i="2"/>
  <c r="N413" i="2"/>
  <c r="O413" i="2" s="1"/>
  <c r="J414" i="2"/>
  <c r="A417" i="2"/>
  <c r="B416" i="2"/>
  <c r="F416" i="2"/>
  <c r="D415" i="2"/>
  <c r="E416" i="2"/>
  <c r="V415" i="2"/>
  <c r="W415" i="2"/>
  <c r="D416" i="2"/>
  <c r="AB415" i="2"/>
  <c r="C416" i="2"/>
  <c r="Y415" i="2"/>
  <c r="AA415" i="2"/>
  <c r="X415" i="2"/>
  <c r="U415" i="2"/>
  <c r="K414" i="2"/>
  <c r="Z415" i="2"/>
  <c r="L414" i="2" l="1"/>
  <c r="T414" i="2"/>
  <c r="I415" i="2"/>
  <c r="R415" i="2"/>
  <c r="AC414" i="2" s="1"/>
  <c r="S415" i="2"/>
  <c r="P415" i="2" s="1"/>
  <c r="H415" i="2"/>
  <c r="G416" i="2"/>
  <c r="M414" i="2"/>
  <c r="N414" i="2"/>
  <c r="O414" i="2" s="1"/>
  <c r="Q414" i="2"/>
  <c r="J415" i="2"/>
  <c r="A418" i="2"/>
  <c r="B417" i="2"/>
  <c r="F417" i="2"/>
  <c r="E417" i="2"/>
  <c r="U416" i="2"/>
  <c r="V416" i="2"/>
  <c r="K415" i="2"/>
  <c r="C417" i="2"/>
  <c r="AB416" i="2"/>
  <c r="W416" i="2"/>
  <c r="Y416" i="2"/>
  <c r="AA416" i="2"/>
  <c r="X416" i="2"/>
  <c r="Z416" i="2"/>
  <c r="L415" i="2" l="1"/>
  <c r="T415" i="2"/>
  <c r="I416" i="2"/>
  <c r="R416" i="2"/>
  <c r="AC415" i="2" s="1"/>
  <c r="S416" i="2"/>
  <c r="P416" i="2" s="1"/>
  <c r="H416" i="2"/>
  <c r="G417" i="2"/>
  <c r="Q415" i="2"/>
  <c r="M415" i="2"/>
  <c r="N415" i="2"/>
  <c r="O415" i="2" s="1"/>
  <c r="J416" i="2"/>
  <c r="A419" i="2"/>
  <c r="B418" i="2"/>
  <c r="F418" i="2"/>
  <c r="D417" i="2"/>
  <c r="E418" i="2"/>
  <c r="D418" i="2"/>
  <c r="V417" i="2"/>
  <c r="K416" i="2"/>
  <c r="U417" i="2"/>
  <c r="C418" i="2"/>
  <c r="Z417" i="2"/>
  <c r="X417" i="2"/>
  <c r="W417" i="2"/>
  <c r="AA417" i="2"/>
  <c r="AB417" i="2"/>
  <c r="Y417" i="2"/>
  <c r="L416" i="2" l="1"/>
  <c r="T416" i="2"/>
  <c r="I417" i="2"/>
  <c r="R417" i="2"/>
  <c r="AC416" i="2" s="1"/>
  <c r="S417" i="2"/>
  <c r="P417" i="2" s="1"/>
  <c r="H417" i="2"/>
  <c r="G418" i="2"/>
  <c r="M416" i="2"/>
  <c r="N416" i="2"/>
  <c r="O416" i="2" s="1"/>
  <c r="Q416" i="2"/>
  <c r="J417" i="2"/>
  <c r="A420" i="2"/>
  <c r="B419" i="2"/>
  <c r="F419" i="2"/>
  <c r="E419" i="2"/>
  <c r="AA418" i="2"/>
  <c r="K417" i="2"/>
  <c r="V418" i="2"/>
  <c r="Y418" i="2"/>
  <c r="U418" i="2"/>
  <c r="W418" i="2"/>
  <c r="D419" i="2"/>
  <c r="AB418" i="2"/>
  <c r="Z418" i="2"/>
  <c r="X418" i="2"/>
  <c r="C419" i="2"/>
  <c r="L417" i="2" l="1"/>
  <c r="T417" i="2"/>
  <c r="I418" i="2"/>
  <c r="R418" i="2"/>
  <c r="AC417" i="2" s="1"/>
  <c r="S418" i="2"/>
  <c r="P418" i="2" s="1"/>
  <c r="H418" i="2"/>
  <c r="G419" i="2"/>
  <c r="Q417" i="2"/>
  <c r="N417" i="2"/>
  <c r="O417" i="2" s="1"/>
  <c r="M417" i="2"/>
  <c r="J418" i="2"/>
  <c r="A421" i="2"/>
  <c r="B420" i="2"/>
  <c r="F420" i="2"/>
  <c r="E420" i="2"/>
  <c r="D420" i="2"/>
  <c r="Z419" i="2"/>
  <c r="AB419" i="2"/>
  <c r="K418" i="2"/>
  <c r="V419" i="2"/>
  <c r="W419" i="2"/>
  <c r="X419" i="2"/>
  <c r="Y419" i="2"/>
  <c r="U419" i="2"/>
  <c r="C420" i="2"/>
  <c r="AA419" i="2"/>
  <c r="L418" i="2" l="1"/>
  <c r="T418" i="2"/>
  <c r="I419" i="2"/>
  <c r="R419" i="2"/>
  <c r="AC418" i="2" s="1"/>
  <c r="S419" i="2"/>
  <c r="P419" i="2" s="1"/>
  <c r="H419" i="2"/>
  <c r="G420" i="2"/>
  <c r="Q418" i="2"/>
  <c r="M418" i="2"/>
  <c r="N418" i="2"/>
  <c r="O418" i="2" s="1"/>
  <c r="J419" i="2"/>
  <c r="A422" i="2"/>
  <c r="B421" i="2"/>
  <c r="F421" i="2"/>
  <c r="E421" i="2"/>
  <c r="AB420" i="2"/>
  <c r="Y420" i="2"/>
  <c r="K419" i="2"/>
  <c r="D421" i="2"/>
  <c r="U420" i="2"/>
  <c r="Z420" i="2"/>
  <c r="AA420" i="2"/>
  <c r="C421" i="2"/>
  <c r="W420" i="2"/>
  <c r="X420" i="2"/>
  <c r="V420" i="2"/>
  <c r="L419" i="2" l="1"/>
  <c r="T419" i="2"/>
  <c r="I420" i="2"/>
  <c r="R420" i="2"/>
  <c r="AC419" i="2" s="1"/>
  <c r="S420" i="2"/>
  <c r="P420" i="2" s="1"/>
  <c r="H420" i="2"/>
  <c r="G421" i="2"/>
  <c r="Q419" i="2"/>
  <c r="N419" i="2"/>
  <c r="O419" i="2" s="1"/>
  <c r="M419" i="2"/>
  <c r="J420" i="2"/>
  <c r="A423" i="2"/>
  <c r="B422" i="2"/>
  <c r="F422" i="2"/>
  <c r="E422" i="2"/>
  <c r="C422" i="2"/>
  <c r="K420" i="2"/>
  <c r="U421" i="2"/>
  <c r="Y421" i="2"/>
  <c r="X421" i="2"/>
  <c r="AB421" i="2"/>
  <c r="V421" i="2"/>
  <c r="W421" i="2"/>
  <c r="AA421" i="2"/>
  <c r="D422" i="2"/>
  <c r="Z421" i="2"/>
  <c r="L420" i="2" l="1"/>
  <c r="T420" i="2"/>
  <c r="I421" i="2"/>
  <c r="R421" i="2"/>
  <c r="AC420" i="2" s="1"/>
  <c r="S421" i="2"/>
  <c r="P421" i="2" s="1"/>
  <c r="H421" i="2"/>
  <c r="G422" i="2"/>
  <c r="M420" i="2"/>
  <c r="N420" i="2"/>
  <c r="O420" i="2" s="1"/>
  <c r="Q420" i="2"/>
  <c r="J421" i="2"/>
  <c r="A424" i="2"/>
  <c r="B423" i="2"/>
  <c r="F423" i="2"/>
  <c r="E423" i="2"/>
  <c r="C423" i="2"/>
  <c r="Y422" i="2"/>
  <c r="D423" i="2"/>
  <c r="X422" i="2"/>
  <c r="AB422" i="2"/>
  <c r="U422" i="2"/>
  <c r="AA422" i="2"/>
  <c r="V422" i="2"/>
  <c r="Z422" i="2"/>
  <c r="K421" i="2"/>
  <c r="W422" i="2"/>
  <c r="L421" i="2" l="1"/>
  <c r="T421" i="2"/>
  <c r="I422" i="2"/>
  <c r="R422" i="2"/>
  <c r="AC421" i="2" s="1"/>
  <c r="S422" i="2"/>
  <c r="P422" i="2" s="1"/>
  <c r="H422" i="2"/>
  <c r="G423" i="2"/>
  <c r="M421" i="2"/>
  <c r="Q421" i="2"/>
  <c r="N421" i="2"/>
  <c r="O421" i="2" s="1"/>
  <c r="J422" i="2"/>
  <c r="A425" i="2"/>
  <c r="B424" i="2"/>
  <c r="F424" i="2"/>
  <c r="E424" i="2"/>
  <c r="W423" i="2"/>
  <c r="X423" i="2"/>
  <c r="K422" i="2"/>
  <c r="D424" i="2"/>
  <c r="AA423" i="2"/>
  <c r="Z423" i="2"/>
  <c r="Y423" i="2"/>
  <c r="C424" i="2"/>
  <c r="V423" i="2"/>
  <c r="U423" i="2"/>
  <c r="AB423" i="2"/>
  <c r="L422" i="2" l="1"/>
  <c r="T422" i="2"/>
  <c r="I423" i="2"/>
  <c r="R423" i="2"/>
  <c r="AC422" i="2" s="1"/>
  <c r="S423" i="2"/>
  <c r="P423" i="2" s="1"/>
  <c r="H423" i="2"/>
  <c r="G424" i="2"/>
  <c r="N422" i="2"/>
  <c r="O422" i="2" s="1"/>
  <c r="M422" i="2"/>
  <c r="Q422" i="2"/>
  <c r="J423" i="2"/>
  <c r="A426" i="2"/>
  <c r="B425" i="2"/>
  <c r="F425" i="2"/>
  <c r="E425" i="2"/>
  <c r="W424" i="2"/>
  <c r="D425" i="2"/>
  <c r="X424" i="2"/>
  <c r="C425" i="2"/>
  <c r="Z424" i="2"/>
  <c r="Y424" i="2"/>
  <c r="V424" i="2"/>
  <c r="AB424" i="2"/>
  <c r="AA424" i="2"/>
  <c r="U424" i="2"/>
  <c r="K423" i="2"/>
  <c r="L423" i="2" l="1"/>
  <c r="T423" i="2"/>
  <c r="I424" i="2"/>
  <c r="R424" i="2"/>
  <c r="AC423" i="2" s="1"/>
  <c r="S424" i="2"/>
  <c r="P424" i="2" s="1"/>
  <c r="H424" i="2"/>
  <c r="G425" i="2"/>
  <c r="N423" i="2"/>
  <c r="O423" i="2" s="1"/>
  <c r="M423" i="2"/>
  <c r="Q423" i="2"/>
  <c r="J424" i="2"/>
  <c r="A427" i="2"/>
  <c r="B426" i="2"/>
  <c r="F426" i="2"/>
  <c r="D426" i="2"/>
  <c r="E426" i="2"/>
  <c r="K424" i="2"/>
  <c r="AA425" i="2"/>
  <c r="X425" i="2"/>
  <c r="U425" i="2"/>
  <c r="Y425" i="2"/>
  <c r="C426" i="2"/>
  <c r="W425" i="2"/>
  <c r="Z425" i="2"/>
  <c r="V425" i="2"/>
  <c r="AB425" i="2"/>
  <c r="L424" i="2" l="1"/>
  <c r="T424" i="2"/>
  <c r="I425" i="2"/>
  <c r="R425" i="2"/>
  <c r="AC424" i="2" s="1"/>
  <c r="S425" i="2"/>
  <c r="P425" i="2" s="1"/>
  <c r="H425" i="2"/>
  <c r="G426" i="2"/>
  <c r="Q424" i="2"/>
  <c r="N424" i="2"/>
  <c r="O424" i="2" s="1"/>
  <c r="M424" i="2"/>
  <c r="J425" i="2"/>
  <c r="A428" i="2"/>
  <c r="B427" i="2"/>
  <c r="F427" i="2"/>
  <c r="E427" i="2"/>
  <c r="X426" i="2"/>
  <c r="K425" i="2"/>
  <c r="V426" i="2"/>
  <c r="U426" i="2"/>
  <c r="Y426" i="2"/>
  <c r="Z426" i="2"/>
  <c r="AA426" i="2"/>
  <c r="W426" i="2"/>
  <c r="C427" i="2"/>
  <c r="AB426" i="2"/>
  <c r="L425" i="2" l="1"/>
  <c r="T425" i="2"/>
  <c r="I426" i="2"/>
  <c r="R426" i="2"/>
  <c r="AC425" i="2" s="1"/>
  <c r="S426" i="2"/>
  <c r="P426" i="2" s="1"/>
  <c r="H426" i="2"/>
  <c r="G427" i="2"/>
  <c r="Q425" i="2"/>
  <c r="N425" i="2"/>
  <c r="O425" i="2" s="1"/>
  <c r="M425" i="2"/>
  <c r="J426" i="2"/>
  <c r="A429" i="2"/>
  <c r="B428" i="2"/>
  <c r="F428" i="2"/>
  <c r="D427" i="2"/>
  <c r="E428" i="2"/>
  <c r="W427" i="2"/>
  <c r="V427" i="2"/>
  <c r="K426" i="2"/>
  <c r="D428" i="2"/>
  <c r="U427" i="2"/>
  <c r="Z427" i="2"/>
  <c r="X427" i="2"/>
  <c r="C428" i="2"/>
  <c r="Y427" i="2"/>
  <c r="AA427" i="2"/>
  <c r="AB427" i="2"/>
  <c r="L426" i="2" l="1"/>
  <c r="T426" i="2"/>
  <c r="I427" i="2"/>
  <c r="R427" i="2"/>
  <c r="AC426" i="2" s="1"/>
  <c r="S427" i="2"/>
  <c r="P427" i="2" s="1"/>
  <c r="H427" i="2"/>
  <c r="G428" i="2"/>
  <c r="M426" i="2"/>
  <c r="Q426" i="2"/>
  <c r="N426" i="2"/>
  <c r="O426" i="2" s="1"/>
  <c r="J427" i="2"/>
  <c r="A430" i="2"/>
  <c r="B429" i="2"/>
  <c r="F429" i="2"/>
  <c r="E429" i="2"/>
  <c r="W428" i="2"/>
  <c r="D429" i="2"/>
  <c r="X428" i="2"/>
  <c r="Y428" i="2"/>
  <c r="C429" i="2"/>
  <c r="AA428" i="2"/>
  <c r="Z428" i="2"/>
  <c r="V428" i="2"/>
  <c r="U428" i="2"/>
  <c r="AB428" i="2"/>
  <c r="K427" i="2"/>
  <c r="L427" i="2" l="1"/>
  <c r="T427" i="2"/>
  <c r="I428" i="2"/>
  <c r="R428" i="2"/>
  <c r="AC427" i="2" s="1"/>
  <c r="S428" i="2"/>
  <c r="P428" i="2" s="1"/>
  <c r="H428" i="2"/>
  <c r="G429" i="2"/>
  <c r="N427" i="2"/>
  <c r="O427" i="2" s="1"/>
  <c r="Q427" i="2"/>
  <c r="M427" i="2"/>
  <c r="J428" i="2"/>
  <c r="A431" i="2"/>
  <c r="B430" i="2"/>
  <c r="F430" i="2"/>
  <c r="E430" i="2"/>
  <c r="AB429" i="2"/>
  <c r="AA429" i="2"/>
  <c r="U429" i="2"/>
  <c r="V429" i="2"/>
  <c r="Z429" i="2"/>
  <c r="D430" i="2"/>
  <c r="K428" i="2"/>
  <c r="Y429" i="2"/>
  <c r="W429" i="2"/>
  <c r="C430" i="2"/>
  <c r="X429" i="2"/>
  <c r="L428" i="2" l="1"/>
  <c r="T428" i="2"/>
  <c r="I429" i="2"/>
  <c r="R429" i="2"/>
  <c r="AC428" i="2" s="1"/>
  <c r="S429" i="2"/>
  <c r="P429" i="2" s="1"/>
  <c r="H429" i="2"/>
  <c r="G430" i="2"/>
  <c r="M428" i="2"/>
  <c r="N428" i="2"/>
  <c r="O428" i="2" s="1"/>
  <c r="Q428" i="2"/>
  <c r="J429" i="2"/>
  <c r="A432" i="2"/>
  <c r="B431" i="2"/>
  <c r="F431" i="2"/>
  <c r="E431" i="2"/>
  <c r="V430" i="2"/>
  <c r="AB430" i="2"/>
  <c r="Y430" i="2"/>
  <c r="D431" i="2"/>
  <c r="Z430" i="2"/>
  <c r="U430" i="2"/>
  <c r="AA430" i="2"/>
  <c r="X430" i="2"/>
  <c r="W430" i="2"/>
  <c r="C431" i="2"/>
  <c r="K429" i="2"/>
  <c r="L429" i="2" l="1"/>
  <c r="T429" i="2"/>
  <c r="I430" i="2"/>
  <c r="R430" i="2"/>
  <c r="AC429" i="2" s="1"/>
  <c r="S430" i="2"/>
  <c r="P430" i="2" s="1"/>
  <c r="H430" i="2"/>
  <c r="G431" i="2"/>
  <c r="M429" i="2"/>
  <c r="Q429" i="2"/>
  <c r="N429" i="2"/>
  <c r="O429" i="2" s="1"/>
  <c r="J430" i="2"/>
  <c r="A433" i="2"/>
  <c r="B432" i="2"/>
  <c r="F432" i="2"/>
  <c r="E432" i="2"/>
  <c r="U431" i="2"/>
  <c r="Y431" i="2"/>
  <c r="K430" i="2"/>
  <c r="W431" i="2"/>
  <c r="X431" i="2"/>
  <c r="AA431" i="2"/>
  <c r="C432" i="2"/>
  <c r="AB431" i="2"/>
  <c r="V431" i="2"/>
  <c r="Z431" i="2"/>
  <c r="L430" i="2" l="1"/>
  <c r="T430" i="2"/>
  <c r="I431" i="2"/>
  <c r="R431" i="2"/>
  <c r="AC430" i="2" s="1"/>
  <c r="S431" i="2"/>
  <c r="P431" i="2" s="1"/>
  <c r="H431" i="2"/>
  <c r="G432" i="2"/>
  <c r="N430" i="2"/>
  <c r="O430" i="2" s="1"/>
  <c r="M430" i="2"/>
  <c r="Q430" i="2"/>
  <c r="J431" i="2"/>
  <c r="A434" i="2"/>
  <c r="B433" i="2"/>
  <c r="F433" i="2"/>
  <c r="D432" i="2"/>
  <c r="E433" i="2"/>
  <c r="AA432" i="2"/>
  <c r="W432" i="2"/>
  <c r="U432" i="2"/>
  <c r="AB432" i="2"/>
  <c r="D433" i="2"/>
  <c r="V432" i="2"/>
  <c r="X432" i="2"/>
  <c r="C433" i="2"/>
  <c r="Z432" i="2"/>
  <c r="K431" i="2"/>
  <c r="Y432" i="2"/>
  <c r="L431" i="2" l="1"/>
  <c r="T431" i="2"/>
  <c r="I432" i="2"/>
  <c r="R432" i="2"/>
  <c r="AC431" i="2" s="1"/>
  <c r="S432" i="2"/>
  <c r="P432" i="2" s="1"/>
  <c r="H432" i="2"/>
  <c r="G433" i="2"/>
  <c r="N431" i="2"/>
  <c r="O431" i="2" s="1"/>
  <c r="M431" i="2"/>
  <c r="Q431" i="2"/>
  <c r="J432" i="2"/>
  <c r="A435" i="2"/>
  <c r="B434" i="2"/>
  <c r="F434" i="2"/>
  <c r="E434" i="2"/>
  <c r="Y433" i="2"/>
  <c r="K432" i="2"/>
  <c r="V433" i="2"/>
  <c r="Z433" i="2"/>
  <c r="AA433" i="2"/>
  <c r="W433" i="2"/>
  <c r="AB433" i="2"/>
  <c r="D434" i="2"/>
  <c r="C434" i="2"/>
  <c r="U433" i="2"/>
  <c r="X433" i="2"/>
  <c r="L432" i="2" l="1"/>
  <c r="T432" i="2"/>
  <c r="I433" i="2"/>
  <c r="R433" i="2"/>
  <c r="AC432" i="2" s="1"/>
  <c r="S433" i="2"/>
  <c r="P433" i="2" s="1"/>
  <c r="H433" i="2"/>
  <c r="G434" i="2"/>
  <c r="Q432" i="2"/>
  <c r="N432" i="2"/>
  <c r="O432" i="2" s="1"/>
  <c r="M432" i="2"/>
  <c r="J433" i="2"/>
  <c r="A436" i="2"/>
  <c r="B435" i="2"/>
  <c r="F435" i="2"/>
  <c r="E435" i="2"/>
  <c r="Y434" i="2"/>
  <c r="Z434" i="2"/>
  <c r="D435" i="2"/>
  <c r="W434" i="2"/>
  <c r="X434" i="2"/>
  <c r="U434" i="2"/>
  <c r="C435" i="2"/>
  <c r="AB434" i="2"/>
  <c r="AA434" i="2"/>
  <c r="K433" i="2"/>
  <c r="V434" i="2"/>
  <c r="L433" i="2" l="1"/>
  <c r="T433" i="2"/>
  <c r="I434" i="2"/>
  <c r="R434" i="2"/>
  <c r="AC433" i="2" s="1"/>
  <c r="S434" i="2"/>
  <c r="P434" i="2" s="1"/>
  <c r="H434" i="2"/>
  <c r="G435" i="2"/>
  <c r="N433" i="2"/>
  <c r="O433" i="2" s="1"/>
  <c r="Q433" i="2"/>
  <c r="M433" i="2"/>
  <c r="J434" i="2"/>
  <c r="A437" i="2"/>
  <c r="B436" i="2"/>
  <c r="F436" i="2"/>
  <c r="E436" i="2"/>
  <c r="Z435" i="2"/>
  <c r="C436" i="2"/>
  <c r="W435" i="2"/>
  <c r="AA435" i="2"/>
  <c r="V435" i="2"/>
  <c r="D436" i="2"/>
  <c r="Y435" i="2"/>
  <c r="U435" i="2"/>
  <c r="AB435" i="2"/>
  <c r="X435" i="2"/>
  <c r="K434" i="2"/>
  <c r="L434" i="2" l="1"/>
  <c r="T434" i="2"/>
  <c r="I435" i="2"/>
  <c r="R435" i="2"/>
  <c r="AC434" i="2" s="1"/>
  <c r="S435" i="2"/>
  <c r="P435" i="2" s="1"/>
  <c r="H435" i="2"/>
  <c r="G436" i="2"/>
  <c r="N434" i="2"/>
  <c r="O434" i="2" s="1"/>
  <c r="Q434" i="2"/>
  <c r="M434" i="2"/>
  <c r="J435" i="2"/>
  <c r="A438" i="2"/>
  <c r="B437" i="2"/>
  <c r="F437" i="2"/>
  <c r="E437" i="2"/>
  <c r="Z436" i="2"/>
  <c r="K435" i="2"/>
  <c r="V436" i="2"/>
  <c r="D437" i="2"/>
  <c r="X436" i="2"/>
  <c r="C437" i="2"/>
  <c r="Y436" i="2"/>
  <c r="W436" i="2"/>
  <c r="U436" i="2"/>
  <c r="AB436" i="2"/>
  <c r="AA436" i="2"/>
  <c r="L435" i="2" l="1"/>
  <c r="T435" i="2"/>
  <c r="I436" i="2"/>
  <c r="R436" i="2"/>
  <c r="AC435" i="2" s="1"/>
  <c r="S436" i="2"/>
  <c r="P436" i="2" s="1"/>
  <c r="H436" i="2"/>
  <c r="G437" i="2"/>
  <c r="Q435" i="2"/>
  <c r="N435" i="2"/>
  <c r="O435" i="2" s="1"/>
  <c r="M435" i="2"/>
  <c r="J436" i="2"/>
  <c r="A439" i="2"/>
  <c r="B438" i="2"/>
  <c r="F438" i="2"/>
  <c r="E438" i="2"/>
  <c r="V437" i="2"/>
  <c r="K436" i="2"/>
  <c r="U437" i="2"/>
  <c r="W437" i="2"/>
  <c r="Z437" i="2"/>
  <c r="C438" i="2"/>
  <c r="AB437" i="2"/>
  <c r="Y437" i="2"/>
  <c r="D438" i="2"/>
  <c r="X437" i="2"/>
  <c r="AA437" i="2"/>
  <c r="L436" i="2" l="1"/>
  <c r="T436" i="2"/>
  <c r="I437" i="2"/>
  <c r="R437" i="2"/>
  <c r="AC436" i="2" s="1"/>
  <c r="S437" i="2"/>
  <c r="P437" i="2" s="1"/>
  <c r="H437" i="2"/>
  <c r="G438" i="2"/>
  <c r="M436" i="2"/>
  <c r="Q436" i="2"/>
  <c r="N436" i="2"/>
  <c r="O436" i="2" s="1"/>
  <c r="J437" i="2"/>
  <c r="A440" i="2"/>
  <c r="B439" i="2"/>
  <c r="F439" i="2"/>
  <c r="E439" i="2"/>
  <c r="AB438" i="2"/>
  <c r="AA438" i="2"/>
  <c r="W438" i="2"/>
  <c r="Y438" i="2"/>
  <c r="D439" i="2"/>
  <c r="K437" i="2"/>
  <c r="X438" i="2"/>
  <c r="V438" i="2"/>
  <c r="U438" i="2"/>
  <c r="C439" i="2"/>
  <c r="Z438" i="2"/>
  <c r="L437" i="2" l="1"/>
  <c r="T437" i="2"/>
  <c r="I438" i="2"/>
  <c r="R438" i="2"/>
  <c r="AC437" i="2" s="1"/>
  <c r="S438" i="2"/>
  <c r="P438" i="2" s="1"/>
  <c r="H438" i="2"/>
  <c r="G439" i="2"/>
  <c r="N437" i="2"/>
  <c r="O437" i="2" s="1"/>
  <c r="Q437" i="2"/>
  <c r="M437" i="2"/>
  <c r="J438" i="2"/>
  <c r="A441" i="2"/>
  <c r="B440" i="2"/>
  <c r="F440" i="2"/>
  <c r="E440" i="2"/>
  <c r="W439" i="2"/>
  <c r="K438" i="2"/>
  <c r="U439" i="2"/>
  <c r="V439" i="2"/>
  <c r="Y439" i="2"/>
  <c r="D440" i="2"/>
  <c r="X439" i="2"/>
  <c r="Z439" i="2"/>
  <c r="AB439" i="2"/>
  <c r="AA439" i="2"/>
  <c r="C440" i="2"/>
  <c r="L438" i="2" l="1"/>
  <c r="T438" i="2"/>
  <c r="I439" i="2"/>
  <c r="R439" i="2"/>
  <c r="AC438" i="2" s="1"/>
  <c r="S439" i="2"/>
  <c r="P439" i="2" s="1"/>
  <c r="H439" i="2"/>
  <c r="G440" i="2"/>
  <c r="M438" i="2"/>
  <c r="N438" i="2"/>
  <c r="O438" i="2" s="1"/>
  <c r="Q438" i="2"/>
  <c r="J439" i="2"/>
  <c r="A442" i="2"/>
  <c r="B441" i="2"/>
  <c r="F441" i="2"/>
  <c r="E441" i="2"/>
  <c r="D441" i="2"/>
  <c r="AB440" i="2"/>
  <c r="AA440" i="2"/>
  <c r="V440" i="2"/>
  <c r="X440" i="2"/>
  <c r="Y440" i="2"/>
  <c r="U440" i="2"/>
  <c r="Z440" i="2"/>
  <c r="W440" i="2"/>
  <c r="K439" i="2"/>
  <c r="C441" i="2"/>
  <c r="L439" i="2" l="1"/>
  <c r="T439" i="2"/>
  <c r="I440" i="2"/>
  <c r="R440" i="2"/>
  <c r="AC439" i="2" s="1"/>
  <c r="S440" i="2"/>
  <c r="P440" i="2" s="1"/>
  <c r="H440" i="2"/>
  <c r="G441" i="2"/>
  <c r="N439" i="2"/>
  <c r="O439" i="2" s="1"/>
  <c r="Q439" i="2"/>
  <c r="M439" i="2"/>
  <c r="J440" i="2"/>
  <c r="A443" i="2"/>
  <c r="B442" i="2"/>
  <c r="F442" i="2"/>
  <c r="E442" i="2"/>
  <c r="AB441" i="2"/>
  <c r="C442" i="2"/>
  <c r="K440" i="2"/>
  <c r="AA441" i="2"/>
  <c r="U441" i="2"/>
  <c r="W441" i="2"/>
  <c r="D442" i="2"/>
  <c r="X441" i="2"/>
  <c r="V441" i="2"/>
  <c r="Y441" i="2"/>
  <c r="Z441" i="2"/>
  <c r="L440" i="2" l="1"/>
  <c r="T440" i="2"/>
  <c r="I441" i="2"/>
  <c r="R441" i="2"/>
  <c r="AC440" i="2" s="1"/>
  <c r="S441" i="2"/>
  <c r="P441" i="2" s="1"/>
  <c r="H441" i="2"/>
  <c r="G442" i="2"/>
  <c r="N440" i="2"/>
  <c r="O440" i="2" s="1"/>
  <c r="M440" i="2"/>
  <c r="Q440" i="2"/>
  <c r="J441" i="2"/>
  <c r="A444" i="2"/>
  <c r="B443" i="2"/>
  <c r="F443" i="2"/>
  <c r="E443" i="2"/>
  <c r="Y442" i="2"/>
  <c r="V442" i="2"/>
  <c r="AB442" i="2"/>
  <c r="X442" i="2"/>
  <c r="U442" i="2"/>
  <c r="Z442" i="2"/>
  <c r="C443" i="2"/>
  <c r="D443" i="2"/>
  <c r="W442" i="2"/>
  <c r="AA442" i="2"/>
  <c r="K441" i="2"/>
  <c r="L441" i="2" l="1"/>
  <c r="T441" i="2"/>
  <c r="I442" i="2"/>
  <c r="R442" i="2"/>
  <c r="AC441" i="2" s="1"/>
  <c r="S442" i="2"/>
  <c r="P442" i="2" s="1"/>
  <c r="H442" i="2"/>
  <c r="G443" i="2"/>
  <c r="M441" i="2"/>
  <c r="N441" i="2"/>
  <c r="O441" i="2" s="1"/>
  <c r="Q441" i="2"/>
  <c r="J442" i="2"/>
  <c r="A445" i="2"/>
  <c r="B444" i="2"/>
  <c r="F444" i="2"/>
  <c r="D444" i="2"/>
  <c r="E444" i="2"/>
  <c r="C444" i="2"/>
  <c r="AB443" i="2"/>
  <c r="Z443" i="2"/>
  <c r="K442" i="2"/>
  <c r="Y443" i="2"/>
  <c r="W443" i="2"/>
  <c r="X443" i="2"/>
  <c r="AA443" i="2"/>
  <c r="V443" i="2"/>
  <c r="U443" i="2"/>
  <c r="L442" i="2" l="1"/>
  <c r="T442" i="2"/>
  <c r="I443" i="2"/>
  <c r="R443" i="2"/>
  <c r="AC442" i="2" s="1"/>
  <c r="S443" i="2"/>
  <c r="P443" i="2" s="1"/>
  <c r="H443" i="2"/>
  <c r="G444" i="2"/>
  <c r="Q442" i="2"/>
  <c r="N442" i="2"/>
  <c r="O442" i="2" s="1"/>
  <c r="M442" i="2"/>
  <c r="J443" i="2"/>
  <c r="A446" i="2"/>
  <c r="B445" i="2"/>
  <c r="F445" i="2"/>
  <c r="E445" i="2"/>
  <c r="AB444" i="2"/>
  <c r="W444" i="2"/>
  <c r="Z444" i="2"/>
  <c r="AA444" i="2"/>
  <c r="D445" i="2"/>
  <c r="U444" i="2"/>
  <c r="C445" i="2"/>
  <c r="Y444" i="2"/>
  <c r="V444" i="2"/>
  <c r="K443" i="2"/>
  <c r="X444" i="2"/>
  <c r="L443" i="2" l="1"/>
  <c r="T443" i="2"/>
  <c r="I444" i="2"/>
  <c r="R444" i="2"/>
  <c r="AC443" i="2" s="1"/>
  <c r="S444" i="2"/>
  <c r="P444" i="2" s="1"/>
  <c r="H444" i="2"/>
  <c r="G445" i="2"/>
  <c r="M443" i="2"/>
  <c r="Q443" i="2"/>
  <c r="N443" i="2"/>
  <c r="O443" i="2" s="1"/>
  <c r="J444" i="2"/>
  <c r="A447" i="2"/>
  <c r="B446" i="2"/>
  <c r="F446" i="2"/>
  <c r="E446" i="2"/>
  <c r="W445" i="2"/>
  <c r="U445" i="2"/>
  <c r="K444" i="2"/>
  <c r="Z445" i="2"/>
  <c r="AA445" i="2"/>
  <c r="D446" i="2"/>
  <c r="X445" i="2"/>
  <c r="C446" i="2"/>
  <c r="V445" i="2"/>
  <c r="AB445" i="2"/>
  <c r="Y445" i="2"/>
  <c r="L444" i="2" l="1"/>
  <c r="T444" i="2"/>
  <c r="I445" i="2"/>
  <c r="R445" i="2"/>
  <c r="AC444" i="2" s="1"/>
  <c r="S445" i="2"/>
  <c r="P445" i="2" s="1"/>
  <c r="H445" i="2"/>
  <c r="G446" i="2"/>
  <c r="Q444" i="2"/>
  <c r="N444" i="2"/>
  <c r="O444" i="2" s="1"/>
  <c r="M444" i="2"/>
  <c r="J445" i="2"/>
  <c r="A448" i="2"/>
  <c r="B447" i="2"/>
  <c r="F447" i="2"/>
  <c r="E447" i="2"/>
  <c r="W446" i="2"/>
  <c r="K445" i="2"/>
  <c r="Z446" i="2"/>
  <c r="AB446" i="2"/>
  <c r="V446" i="2"/>
  <c r="C447" i="2"/>
  <c r="D447" i="2"/>
  <c r="U446" i="2"/>
  <c r="AA446" i="2"/>
  <c r="Y446" i="2"/>
  <c r="X446" i="2"/>
  <c r="L445" i="2" l="1"/>
  <c r="T445" i="2"/>
  <c r="I446" i="2"/>
  <c r="R446" i="2"/>
  <c r="AC445" i="2" s="1"/>
  <c r="S446" i="2"/>
  <c r="P446" i="2" s="1"/>
  <c r="H446" i="2"/>
  <c r="G447" i="2"/>
  <c r="M445" i="2"/>
  <c r="N445" i="2"/>
  <c r="O445" i="2" s="1"/>
  <c r="Q445" i="2"/>
  <c r="J446" i="2"/>
  <c r="A449" i="2"/>
  <c r="B448" i="2"/>
  <c r="F448" i="2"/>
  <c r="E448" i="2"/>
  <c r="D448" i="2"/>
  <c r="C448" i="2"/>
  <c r="U447" i="2"/>
  <c r="V447" i="2"/>
  <c r="Z447" i="2"/>
  <c r="W447" i="2"/>
  <c r="AB447" i="2"/>
  <c r="Y447" i="2"/>
  <c r="AA447" i="2"/>
  <c r="K446" i="2"/>
  <c r="X447" i="2"/>
  <c r="L446" i="2" l="1"/>
  <c r="T446" i="2"/>
  <c r="I447" i="2"/>
  <c r="R447" i="2"/>
  <c r="AC446" i="2" s="1"/>
  <c r="S447" i="2"/>
  <c r="P447" i="2" s="1"/>
  <c r="H447" i="2"/>
  <c r="G448" i="2"/>
  <c r="M446" i="2"/>
  <c r="Q446" i="2"/>
  <c r="N446" i="2"/>
  <c r="O446" i="2" s="1"/>
  <c r="J447" i="2"/>
  <c r="A450" i="2"/>
  <c r="B449" i="2"/>
  <c r="F449" i="2"/>
  <c r="E449" i="2"/>
  <c r="K447" i="2"/>
  <c r="Y448" i="2"/>
  <c r="AB448" i="2"/>
  <c r="X448" i="2"/>
  <c r="D449" i="2"/>
  <c r="Z448" i="2"/>
  <c r="V448" i="2"/>
  <c r="U448" i="2"/>
  <c r="W448" i="2"/>
  <c r="C449" i="2"/>
  <c r="AA448" i="2"/>
  <c r="L447" i="2" l="1"/>
  <c r="T447" i="2"/>
  <c r="I448" i="2"/>
  <c r="R448" i="2"/>
  <c r="AC447" i="2" s="1"/>
  <c r="S448" i="2"/>
  <c r="P448" i="2" s="1"/>
  <c r="H448" i="2"/>
  <c r="G449" i="2"/>
  <c r="Q447" i="2"/>
  <c r="N447" i="2"/>
  <c r="O447" i="2" s="1"/>
  <c r="M447" i="2"/>
  <c r="J448" i="2"/>
  <c r="A451" i="2"/>
  <c r="B450" i="2"/>
  <c r="F450" i="2"/>
  <c r="E450" i="2"/>
  <c r="V449" i="2"/>
  <c r="K448" i="2"/>
  <c r="Z449" i="2"/>
  <c r="AB449" i="2"/>
  <c r="D450" i="2"/>
  <c r="X449" i="2"/>
  <c r="C450" i="2"/>
  <c r="W449" i="2"/>
  <c r="U449" i="2"/>
  <c r="AA449" i="2"/>
  <c r="Y449" i="2"/>
  <c r="L448" i="2" l="1"/>
  <c r="T448" i="2"/>
  <c r="I449" i="2"/>
  <c r="R449" i="2"/>
  <c r="AC448" i="2" s="1"/>
  <c r="S449" i="2"/>
  <c r="P449" i="2" s="1"/>
  <c r="H449" i="2"/>
  <c r="G450" i="2"/>
  <c r="Q448" i="2"/>
  <c r="M448" i="2"/>
  <c r="N448" i="2"/>
  <c r="O448" i="2" s="1"/>
  <c r="J449" i="2"/>
  <c r="A452" i="2"/>
  <c r="B451" i="2"/>
  <c r="F451" i="2"/>
  <c r="E451" i="2"/>
  <c r="U450" i="2"/>
  <c r="C451" i="2"/>
  <c r="K449" i="2"/>
  <c r="Y450" i="2"/>
  <c r="Z450" i="2"/>
  <c r="D451" i="2"/>
  <c r="AB450" i="2"/>
  <c r="X450" i="2"/>
  <c r="V450" i="2"/>
  <c r="W450" i="2"/>
  <c r="AA450" i="2"/>
  <c r="L449" i="2" l="1"/>
  <c r="T449" i="2"/>
  <c r="I450" i="2"/>
  <c r="R450" i="2"/>
  <c r="AC449" i="2" s="1"/>
  <c r="S450" i="2"/>
  <c r="P450" i="2" s="1"/>
  <c r="H450" i="2"/>
  <c r="G451" i="2"/>
  <c r="Q449" i="2"/>
  <c r="N449" i="2"/>
  <c r="O449" i="2" s="1"/>
  <c r="M449" i="2"/>
  <c r="J450" i="2"/>
  <c r="A453" i="2"/>
  <c r="B452" i="2"/>
  <c r="F452" i="2"/>
  <c r="E452" i="2"/>
  <c r="X451" i="2"/>
  <c r="W451" i="2"/>
  <c r="AB451" i="2"/>
  <c r="AA451" i="2"/>
  <c r="U451" i="2"/>
  <c r="D452" i="2"/>
  <c r="Y451" i="2"/>
  <c r="Z451" i="2"/>
  <c r="V451" i="2"/>
  <c r="K450" i="2"/>
  <c r="C452" i="2"/>
  <c r="L450" i="2" l="1"/>
  <c r="T450" i="2"/>
  <c r="I451" i="2"/>
  <c r="R451" i="2"/>
  <c r="AC450" i="2" s="1"/>
  <c r="S451" i="2"/>
  <c r="P451" i="2" s="1"/>
  <c r="H451" i="2"/>
  <c r="G452" i="2"/>
  <c r="N450" i="2"/>
  <c r="O450" i="2" s="1"/>
  <c r="Q450" i="2"/>
  <c r="M450" i="2"/>
  <c r="J451" i="2"/>
  <c r="A454" i="2"/>
  <c r="B453" i="2"/>
  <c r="F453" i="2"/>
  <c r="D453" i="2"/>
  <c r="E453" i="2"/>
  <c r="Y452" i="2"/>
  <c r="K451" i="2"/>
  <c r="U452" i="2"/>
  <c r="AA452" i="2"/>
  <c r="Z452" i="2"/>
  <c r="V452" i="2"/>
  <c r="X452" i="2"/>
  <c r="C453" i="2"/>
  <c r="AB452" i="2"/>
  <c r="W452" i="2"/>
  <c r="L451" i="2" l="1"/>
  <c r="T451" i="2"/>
  <c r="I452" i="2"/>
  <c r="R452" i="2"/>
  <c r="AC451" i="2" s="1"/>
  <c r="S452" i="2"/>
  <c r="P452" i="2" s="1"/>
  <c r="H452" i="2"/>
  <c r="G453" i="2"/>
  <c r="N451" i="2"/>
  <c r="O451" i="2" s="1"/>
  <c r="Q451" i="2"/>
  <c r="M451" i="2"/>
  <c r="J452" i="2"/>
  <c r="A455" i="2"/>
  <c r="B454" i="2"/>
  <c r="F454" i="2"/>
  <c r="E454" i="2"/>
  <c r="U453" i="2"/>
  <c r="Y453" i="2"/>
  <c r="X453" i="2"/>
  <c r="W453" i="2"/>
  <c r="D454" i="2"/>
  <c r="V453" i="2"/>
  <c r="Z453" i="2"/>
  <c r="AB453" i="2"/>
  <c r="C454" i="2"/>
  <c r="K452" i="2"/>
  <c r="AA453" i="2"/>
  <c r="L452" i="2" l="1"/>
  <c r="T452" i="2"/>
  <c r="I453" i="2"/>
  <c r="R453" i="2"/>
  <c r="AC452" i="2" s="1"/>
  <c r="S453" i="2"/>
  <c r="P453" i="2" s="1"/>
  <c r="H453" i="2"/>
  <c r="G454" i="2"/>
  <c r="Q452" i="2"/>
  <c r="M452" i="2"/>
  <c r="N452" i="2"/>
  <c r="O452" i="2" s="1"/>
  <c r="J453" i="2"/>
  <c r="A456" i="2"/>
  <c r="B455" i="2"/>
  <c r="F455" i="2"/>
  <c r="E455" i="2"/>
  <c r="Z454" i="2"/>
  <c r="D455" i="2"/>
  <c r="K453" i="2"/>
  <c r="Y454" i="2"/>
  <c r="X454" i="2"/>
  <c r="W454" i="2"/>
  <c r="V454" i="2"/>
  <c r="C455" i="2"/>
  <c r="AB454" i="2"/>
  <c r="U454" i="2"/>
  <c r="AA454" i="2"/>
  <c r="L453" i="2" l="1"/>
  <c r="T453" i="2"/>
  <c r="I454" i="2"/>
  <c r="R454" i="2"/>
  <c r="AC453" i="2" s="1"/>
  <c r="S454" i="2"/>
  <c r="P454" i="2" s="1"/>
  <c r="H454" i="2"/>
  <c r="G455" i="2"/>
  <c r="M453" i="2"/>
  <c r="Q453" i="2"/>
  <c r="N453" i="2"/>
  <c r="O453" i="2" s="1"/>
  <c r="J454" i="2"/>
  <c r="A457" i="2"/>
  <c r="B456" i="2"/>
  <c r="F456" i="2"/>
  <c r="E456" i="2"/>
  <c r="X455" i="2"/>
  <c r="W455" i="2"/>
  <c r="Y455" i="2"/>
  <c r="U455" i="2"/>
  <c r="V455" i="2"/>
  <c r="Z455" i="2"/>
  <c r="D456" i="2"/>
  <c r="AB455" i="2"/>
  <c r="C456" i="2"/>
  <c r="AA455" i="2"/>
  <c r="K454" i="2"/>
  <c r="L454" i="2" l="1"/>
  <c r="T454" i="2"/>
  <c r="I455" i="2"/>
  <c r="R455" i="2"/>
  <c r="AC454" i="2" s="1"/>
  <c r="S455" i="2"/>
  <c r="P455" i="2" s="1"/>
  <c r="H455" i="2"/>
  <c r="G456" i="2"/>
  <c r="M454" i="2"/>
  <c r="Q454" i="2"/>
  <c r="N454" i="2"/>
  <c r="O454" i="2" s="1"/>
  <c r="J455" i="2"/>
  <c r="A458" i="2"/>
  <c r="B457" i="2"/>
  <c r="F457" i="2"/>
  <c r="E457" i="2"/>
  <c r="AA456" i="2"/>
  <c r="V456" i="2"/>
  <c r="X456" i="2"/>
  <c r="C457" i="2"/>
  <c r="W456" i="2"/>
  <c r="U456" i="2"/>
  <c r="Y456" i="2"/>
  <c r="AB456" i="2"/>
  <c r="Z456" i="2"/>
  <c r="K455" i="2"/>
  <c r="L455" i="2" l="1"/>
  <c r="T455" i="2"/>
  <c r="I456" i="2"/>
  <c r="R456" i="2"/>
  <c r="AC455" i="2" s="1"/>
  <c r="S456" i="2"/>
  <c r="P456" i="2" s="1"/>
  <c r="H456" i="2"/>
  <c r="G457" i="2"/>
  <c r="M455" i="2"/>
  <c r="N455" i="2"/>
  <c r="O455" i="2" s="1"/>
  <c r="Q455" i="2"/>
  <c r="J456" i="2"/>
  <c r="A459" i="2"/>
  <c r="B458" i="2"/>
  <c r="F458" i="2"/>
  <c r="D457" i="2"/>
  <c r="E458" i="2"/>
  <c r="Z457" i="2"/>
  <c r="AB457" i="2"/>
  <c r="C458" i="2"/>
  <c r="U457" i="2"/>
  <c r="D458" i="2"/>
  <c r="X457" i="2"/>
  <c r="Y457" i="2"/>
  <c r="W457" i="2"/>
  <c r="V457" i="2"/>
  <c r="K456" i="2"/>
  <c r="AA457" i="2"/>
  <c r="L456" i="2" l="1"/>
  <c r="T456" i="2"/>
  <c r="I457" i="2"/>
  <c r="R457" i="2"/>
  <c r="AC456" i="2" s="1"/>
  <c r="S457" i="2"/>
  <c r="P457" i="2" s="1"/>
  <c r="H457" i="2"/>
  <c r="G458" i="2"/>
  <c r="M456" i="2"/>
  <c r="Q456" i="2"/>
  <c r="N456" i="2"/>
  <c r="O456" i="2" s="1"/>
  <c r="J457" i="2"/>
  <c r="A460" i="2"/>
  <c r="B459" i="2"/>
  <c r="F459" i="2"/>
  <c r="E459" i="2"/>
  <c r="Y458" i="2"/>
  <c r="U458" i="2"/>
  <c r="W458" i="2"/>
  <c r="AB458" i="2"/>
  <c r="D459" i="2"/>
  <c r="Z458" i="2"/>
  <c r="AA458" i="2"/>
  <c r="V458" i="2"/>
  <c r="C459" i="2"/>
  <c r="K457" i="2"/>
  <c r="X458" i="2"/>
  <c r="L457" i="2" l="1"/>
  <c r="T457" i="2"/>
  <c r="I458" i="2"/>
  <c r="R458" i="2"/>
  <c r="AC457" i="2" s="1"/>
  <c r="S458" i="2"/>
  <c r="P458" i="2" s="1"/>
  <c r="H458" i="2"/>
  <c r="G459" i="2"/>
  <c r="N457" i="2"/>
  <c r="O457" i="2" s="1"/>
  <c r="M457" i="2"/>
  <c r="Q457" i="2"/>
  <c r="J458" i="2"/>
  <c r="A461" i="2"/>
  <c r="B460" i="2"/>
  <c r="F460" i="2"/>
  <c r="E460" i="2"/>
  <c r="Y459" i="2"/>
  <c r="V459" i="2"/>
  <c r="K458" i="2"/>
  <c r="Z459" i="2"/>
  <c r="D460" i="2"/>
  <c r="W459" i="2"/>
  <c r="AB459" i="2"/>
  <c r="AA459" i="2"/>
  <c r="U459" i="2"/>
  <c r="C460" i="2"/>
  <c r="X459" i="2"/>
  <c r="L458" i="2" l="1"/>
  <c r="T458" i="2"/>
  <c r="I459" i="2"/>
  <c r="R459" i="2"/>
  <c r="AC458" i="2" s="1"/>
  <c r="S459" i="2"/>
  <c r="P459" i="2" s="1"/>
  <c r="H459" i="2"/>
  <c r="G460" i="2"/>
  <c r="M458" i="2"/>
  <c r="N458" i="2"/>
  <c r="O458" i="2" s="1"/>
  <c r="Q458" i="2"/>
  <c r="J459" i="2"/>
  <c r="A462" i="2"/>
  <c r="B461" i="2"/>
  <c r="F461" i="2"/>
  <c r="E461" i="2"/>
  <c r="AB460" i="2"/>
  <c r="K459" i="2"/>
  <c r="C461" i="2"/>
  <c r="X460" i="2"/>
  <c r="Y460" i="2"/>
  <c r="Z460" i="2"/>
  <c r="D461" i="2"/>
  <c r="AA460" i="2"/>
  <c r="V460" i="2"/>
  <c r="W460" i="2"/>
  <c r="U460" i="2"/>
  <c r="L459" i="2" l="1"/>
  <c r="T459" i="2"/>
  <c r="I460" i="2"/>
  <c r="R460" i="2"/>
  <c r="AC459" i="2" s="1"/>
  <c r="S460" i="2"/>
  <c r="P460" i="2" s="1"/>
  <c r="H460" i="2"/>
  <c r="G461" i="2"/>
  <c r="Q459" i="2"/>
  <c r="N459" i="2"/>
  <c r="O459" i="2" s="1"/>
  <c r="M459" i="2"/>
  <c r="J460" i="2"/>
  <c r="A463" i="2"/>
  <c r="B463" i="2" s="1"/>
  <c r="B462" i="2"/>
  <c r="F463" i="2"/>
  <c r="F462" i="2"/>
  <c r="E463" i="2"/>
  <c r="E462" i="2"/>
  <c r="AB461" i="2"/>
  <c r="Y461" i="2"/>
  <c r="K460" i="2"/>
  <c r="Z461" i="2"/>
  <c r="AA461" i="2"/>
  <c r="V461" i="2"/>
  <c r="D462" i="2"/>
  <c r="D463" i="2"/>
  <c r="W461" i="2"/>
  <c r="X461" i="2"/>
  <c r="C462" i="2"/>
  <c r="C463" i="2"/>
  <c r="U461" i="2"/>
  <c r="L460" i="2" l="1"/>
  <c r="T460" i="2"/>
  <c r="I461" i="2"/>
  <c r="R461" i="2"/>
  <c r="AC460" i="2" s="1"/>
  <c r="S461" i="2"/>
  <c r="P461" i="2" s="1"/>
  <c r="H461" i="2"/>
  <c r="G462" i="2"/>
  <c r="G463" i="2"/>
  <c r="Q460" i="2"/>
  <c r="M460" i="2"/>
  <c r="N460" i="2"/>
  <c r="O460" i="2" s="1"/>
  <c r="J461" i="2"/>
  <c r="W463" i="2"/>
  <c r="Z463" i="2"/>
  <c r="K461" i="2"/>
  <c r="V462" i="2"/>
  <c r="Y462" i="2"/>
  <c r="Z462" i="2"/>
  <c r="AA462" i="2"/>
  <c r="AB463" i="2"/>
  <c r="W462" i="2"/>
  <c r="U462" i="2"/>
  <c r="X462" i="2"/>
  <c r="X463" i="2"/>
  <c r="Y463" i="2"/>
  <c r="AB462" i="2"/>
  <c r="U463" i="2"/>
  <c r="AA463" i="2"/>
  <c r="V463" i="2"/>
  <c r="L463" i="2" l="1"/>
  <c r="L462" i="2"/>
  <c r="L461" i="2"/>
  <c r="T461" i="2"/>
  <c r="T462" i="2"/>
  <c r="T463" i="2"/>
  <c r="I463" i="2"/>
  <c r="R463" i="2"/>
  <c r="S463" i="2"/>
  <c r="P463" i="2" s="1"/>
  <c r="H463" i="2"/>
  <c r="I462" i="2"/>
  <c r="R462" i="2"/>
  <c r="AC461" i="2" s="1"/>
  <c r="S462" i="2"/>
  <c r="P462" i="2" s="1"/>
  <c r="H462" i="2"/>
  <c r="N461" i="2"/>
  <c r="O461" i="2" s="1"/>
  <c r="M461" i="2"/>
  <c r="Q461" i="2"/>
  <c r="J463" i="2"/>
  <c r="J462" i="2"/>
  <c r="K463" i="2"/>
  <c r="K462" i="2"/>
  <c r="AC462" i="2" l="1"/>
  <c r="AC463" i="2"/>
  <c r="N462" i="2"/>
  <c r="O462" i="2" s="1"/>
  <c r="M462" i="2"/>
  <c r="Q462" i="2"/>
  <c r="N463" i="2"/>
  <c r="O463" i="2" s="1"/>
  <c r="Q463" i="2"/>
  <c r="M4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Prabhakaran, Sanjay</author>
  </authors>
  <commentList>
    <comment ref="A9" authorId="0" shapeId="0" xr:uid="{00000000-0006-0000-0000-000001000000}">
      <text>
        <r>
          <rPr>
            <sz val="18"/>
            <color indexed="81"/>
            <rFont val="Tahoma"/>
            <family val="2"/>
          </rPr>
          <t>Enter 1) Starting month/year, 2) Latitude, 3) Longitude,4) Time Zone in the cells marked Yellow.</t>
        </r>
      </text>
    </comment>
  </commentList>
</comments>
</file>

<file path=xl/sharedStrings.xml><?xml version="1.0" encoding="utf-8"?>
<sst xmlns="http://schemas.openxmlformats.org/spreadsheetml/2006/main" count="56" uniqueCount="43">
  <si>
    <t>Time Zone=</t>
  </si>
  <si>
    <t>Column Numbers=9</t>
  </si>
  <si>
    <t>Date</t>
  </si>
  <si>
    <t>GMT</t>
  </si>
  <si>
    <t>SunRise</t>
  </si>
  <si>
    <t>Sun Set</t>
  </si>
  <si>
    <t>GMT Sun Rise</t>
  </si>
  <si>
    <t>Sun</t>
  </si>
  <si>
    <t>Moon</t>
  </si>
  <si>
    <t>Vaara</t>
  </si>
  <si>
    <t>Nakshatra</t>
  </si>
  <si>
    <t>Nx Ending</t>
  </si>
  <si>
    <t>TithiD</t>
  </si>
  <si>
    <t>Karana1</t>
  </si>
  <si>
    <t>Karana2</t>
  </si>
  <si>
    <t>Yoga</t>
  </si>
  <si>
    <t>Column1</t>
  </si>
  <si>
    <t>Tithi</t>
  </si>
  <si>
    <t>YogaNumber</t>
  </si>
  <si>
    <t>Graha</t>
  </si>
  <si>
    <t>MARs</t>
  </si>
  <si>
    <t>Merc</t>
  </si>
  <si>
    <t>Jup</t>
  </si>
  <si>
    <t>Venu</t>
  </si>
  <si>
    <t>Sat</t>
  </si>
  <si>
    <t>Rah</t>
  </si>
  <si>
    <t>TithiEnd</t>
  </si>
  <si>
    <t>Longitude</t>
  </si>
  <si>
    <t xml:space="preserve">Calendar for Latitude </t>
  </si>
  <si>
    <t>Nakshatra Ending Time</t>
  </si>
  <si>
    <t>Nakshatra(in Decimal)</t>
  </si>
  <si>
    <t>SunS</t>
  </si>
  <si>
    <t>MoonS</t>
  </si>
  <si>
    <t>Sun Rise - Sun Set</t>
  </si>
  <si>
    <t>Sun,Moon Position</t>
  </si>
  <si>
    <t>Tithi Ending Time</t>
  </si>
  <si>
    <t>Graha summary</t>
  </si>
  <si>
    <t>Download: https://github.com/SanjayPrabhakaran/JyotishCalc</t>
  </si>
  <si>
    <t>Column2</t>
  </si>
  <si>
    <t>MoonRise</t>
  </si>
  <si>
    <t>MoonSet</t>
  </si>
  <si>
    <t>Latitude=</t>
  </si>
  <si>
    <t>Longitude=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</si>
</sst>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809]dd\ mmmm\ yyyy;@"/>
    <numFmt numFmtId="165" formatCode="[$-F400]h:mm:ss\ AM/PM"/>
    <numFmt numFmtId="166" formatCode="ddd"/>
    <numFmt numFmtId="167" formatCode="0.000"/>
    <numFmt numFmtId="168" formatCode="0.0"/>
    <numFmt numFmtId="169" formatCode="d"/>
    <numFmt numFmtId="170" formatCode="dddd"/>
    <numFmt numFmtId="171" formatCode="mmmm\ yyyy"/>
    <numFmt numFmtId="172" formatCode="[$-409]h:mm\ AM/PM;@"/>
  </numFmts>
  <fonts count="24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5"/>
      <name val="Arial"/>
      <family val="2"/>
    </font>
    <font>
      <sz val="30"/>
      <name val="Arial"/>
      <family val="2"/>
    </font>
    <font>
      <b/>
      <sz val="18"/>
      <color rgb="FF002060"/>
      <name val="Arial"/>
      <family val="2"/>
    </font>
    <font>
      <sz val="22"/>
      <name val="Arial"/>
      <family val="2"/>
    </font>
    <font>
      <sz val="28"/>
      <name val="Arial"/>
      <family val="2"/>
    </font>
    <font>
      <sz val="18"/>
      <color indexed="81"/>
      <name val="Tahoma"/>
      <family val="2"/>
    </font>
    <font>
      <sz val="10"/>
      <color rgb="FFFF0000"/>
      <name val="Arial"/>
      <family val="2"/>
    </font>
    <font>
      <b/>
      <sz val="26"/>
      <color rgb="FFFF0000"/>
      <name val="Arial"/>
      <family val="2"/>
    </font>
    <font>
      <sz val="26"/>
      <name val="Arial"/>
      <family val="2"/>
    </font>
    <font>
      <b/>
      <sz val="26"/>
      <color rgb="FF002060"/>
      <name val="Arial"/>
      <family val="2"/>
    </font>
    <font>
      <b/>
      <sz val="26"/>
      <name val="Arial"/>
      <family val="2"/>
    </font>
    <font>
      <b/>
      <sz val="36"/>
      <color rgb="FFFF0000"/>
      <name val="Arial"/>
      <family val="2"/>
    </font>
    <font>
      <sz val="36"/>
      <name val="Arial"/>
      <family val="2"/>
    </font>
    <font>
      <b/>
      <sz val="36"/>
      <color rgb="FF002060"/>
      <name val="Arial"/>
      <family val="2"/>
    </font>
    <font>
      <b/>
      <sz val="72"/>
      <name val="Arial"/>
      <family val="2"/>
    </font>
    <font>
      <sz val="10"/>
      <color rgb="FFFF0000"/>
      <name val="Arial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1">
    <xf numFmtId="0" fontId="0" fillId="0" borderId="0" xfId="0"/>
    <xf numFmtId="0" fontId="1" fillId="0" borderId="0" xfId="1" applyAlignment="1">
      <alignment horizontal="center"/>
    </xf>
    <xf numFmtId="0" fontId="2" fillId="2" borderId="0" xfId="1" applyFont="1" applyFill="1" applyAlignment="1">
      <alignment horizontal="center"/>
    </xf>
    <xf numFmtId="164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22" fontId="3" fillId="0" borderId="0" xfId="1" applyNumberFormat="1" applyFont="1" applyAlignment="1">
      <alignment horizontal="center"/>
    </xf>
    <xf numFmtId="2" fontId="3" fillId="0" borderId="0" xfId="1" applyNumberFormat="1" applyFont="1" applyAlignment="1" applyProtection="1">
      <alignment horizontal="center"/>
      <protection locked="0" hidden="1"/>
    </xf>
    <xf numFmtId="166" fontId="3" fillId="0" borderId="0" xfId="1" applyNumberFormat="1" applyFont="1" applyAlignment="1" applyProtection="1">
      <alignment horizontal="center"/>
      <protection locked="0" hidden="1"/>
    </xf>
    <xf numFmtId="2" fontId="3" fillId="0" borderId="0" xfId="1" applyNumberFormat="1" applyFont="1" applyAlignment="1">
      <alignment horizontal="center"/>
    </xf>
    <xf numFmtId="2" fontId="1" fillId="0" borderId="0" xfId="1" applyNumberFormat="1" applyAlignment="1">
      <alignment horizontal="left" vertical="top"/>
    </xf>
    <xf numFmtId="164" fontId="4" fillId="2" borderId="0" xfId="1" applyNumberFormat="1" applyFont="1" applyFill="1" applyAlignment="1">
      <alignment horizontal="center"/>
    </xf>
    <xf numFmtId="2" fontId="1" fillId="0" borderId="0" xfId="1" applyNumberFormat="1" applyAlignment="1" applyProtection="1">
      <alignment horizontal="center"/>
      <protection locked="0" hidden="1"/>
    </xf>
    <xf numFmtId="166" fontId="1" fillId="0" borderId="0" xfId="1" applyNumberFormat="1" applyAlignment="1" applyProtection="1">
      <alignment horizontal="center"/>
      <protection locked="0" hidden="1"/>
    </xf>
    <xf numFmtId="165" fontId="1" fillId="0" borderId="0" xfId="1" applyNumberFormat="1" applyAlignment="1">
      <alignment horizontal="center"/>
    </xf>
    <xf numFmtId="167" fontId="1" fillId="0" borderId="0" xfId="1" applyNumberFormat="1" applyAlignment="1" applyProtection="1">
      <alignment horizontal="center"/>
      <protection locked="0" hidden="1"/>
    </xf>
    <xf numFmtId="22" fontId="1" fillId="0" borderId="0" xfId="1" applyNumberFormat="1" applyAlignment="1">
      <alignment horizontal="center"/>
    </xf>
    <xf numFmtId="0" fontId="5" fillId="0" borderId="0" xfId="1" applyFont="1"/>
    <xf numFmtId="0" fontId="6" fillId="0" borderId="0" xfId="1" applyFont="1"/>
    <xf numFmtId="0" fontId="7" fillId="0" borderId="0" xfId="1" applyFont="1"/>
    <xf numFmtId="0" fontId="8" fillId="0" borderId="0" xfId="1" applyFont="1"/>
    <xf numFmtId="0" fontId="10" fillId="0" borderId="0" xfId="1" applyFont="1"/>
    <xf numFmtId="0" fontId="11" fillId="0" borderId="0" xfId="1" applyFont="1"/>
    <xf numFmtId="164" fontId="13" fillId="0" borderId="0" xfId="1" applyNumberFormat="1" applyFont="1" applyAlignment="1">
      <alignment horizontal="center"/>
    </xf>
    <xf numFmtId="0" fontId="13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0" fontId="5" fillId="0" borderId="0" xfId="1" applyFont="1" applyAlignment="1">
      <alignment shrinkToFit="1"/>
    </xf>
    <xf numFmtId="172" fontId="14" fillId="0" borderId="1" xfId="1" applyNumberFormat="1" applyFont="1" applyBorder="1"/>
    <xf numFmtId="172" fontId="15" fillId="0" borderId="1" xfId="1" applyNumberFormat="1" applyFont="1" applyBorder="1"/>
    <xf numFmtId="172" fontId="16" fillId="0" borderId="1" xfId="1" applyNumberFormat="1" applyFont="1" applyBorder="1" applyAlignment="1">
      <alignment shrinkToFit="1"/>
    </xf>
    <xf numFmtId="2" fontId="14" fillId="0" borderId="1" xfId="1" applyNumberFormat="1" applyFont="1" applyBorder="1"/>
    <xf numFmtId="2" fontId="15" fillId="0" borderId="1" xfId="1" applyNumberFormat="1" applyFont="1" applyBorder="1"/>
    <xf numFmtId="2" fontId="16" fillId="0" borderId="1" xfId="1" applyNumberFormat="1" applyFont="1" applyBorder="1" applyAlignment="1">
      <alignment shrinkToFit="1"/>
    </xf>
    <xf numFmtId="0" fontId="14" fillId="0" borderId="1" xfId="1" applyFont="1" applyBorder="1"/>
    <xf numFmtId="0" fontId="15" fillId="0" borderId="1" xfId="1" applyFont="1" applyBorder="1"/>
    <xf numFmtId="0" fontId="16" fillId="0" borderId="1" xfId="1" applyFont="1" applyBorder="1" applyAlignment="1">
      <alignment shrinkToFit="1"/>
    </xf>
    <xf numFmtId="168" fontId="14" fillId="0" borderId="1" xfId="1" applyNumberFormat="1" applyFont="1" applyBorder="1"/>
    <xf numFmtId="168" fontId="15" fillId="0" borderId="1" xfId="1" applyNumberFormat="1" applyFont="1" applyBorder="1"/>
    <xf numFmtId="168" fontId="16" fillId="0" borderId="1" xfId="1" applyNumberFormat="1" applyFont="1" applyBorder="1" applyAlignment="1">
      <alignment shrinkToFit="1"/>
    </xf>
    <xf numFmtId="0" fontId="15" fillId="4" borderId="0" xfId="1" applyFont="1" applyFill="1"/>
    <xf numFmtId="0" fontId="16" fillId="4" borderId="3" xfId="1" applyFont="1" applyFill="1" applyBorder="1" applyAlignment="1">
      <alignment shrinkToFit="1"/>
    </xf>
    <xf numFmtId="0" fontId="17" fillId="0" borderId="0" xfId="1" applyFont="1"/>
    <xf numFmtId="0" fontId="15" fillId="0" borderId="0" xfId="1" applyFont="1"/>
    <xf numFmtId="0" fontId="15" fillId="0" borderId="0" xfId="1" applyFont="1" applyAlignment="1">
      <alignment shrinkToFit="1"/>
    </xf>
    <xf numFmtId="0" fontId="14" fillId="4" borderId="7" xfId="1" applyFont="1" applyFill="1" applyBorder="1"/>
    <xf numFmtId="0" fontId="15" fillId="4" borderId="7" xfId="1" applyFont="1" applyFill="1" applyBorder="1"/>
    <xf numFmtId="168" fontId="15" fillId="0" borderId="0" xfId="1" applyNumberFormat="1" applyFont="1"/>
    <xf numFmtId="168" fontId="16" fillId="0" borderId="3" xfId="1" applyNumberFormat="1" applyFont="1" applyBorder="1" applyAlignment="1">
      <alignment shrinkToFit="1"/>
    </xf>
    <xf numFmtId="0" fontId="7" fillId="0" borderId="0" xfId="1" applyFont="1" applyAlignment="1">
      <alignment horizontal="left" vertical="top"/>
    </xf>
    <xf numFmtId="172" fontId="15" fillId="0" borderId="0" xfId="1" applyNumberFormat="1" applyFont="1"/>
    <xf numFmtId="2" fontId="15" fillId="0" borderId="0" xfId="1" applyNumberFormat="1" applyFont="1"/>
    <xf numFmtId="172" fontId="16" fillId="0" borderId="3" xfId="1" applyNumberFormat="1" applyFont="1" applyBorder="1" applyAlignment="1">
      <alignment shrinkToFit="1"/>
    </xf>
    <xf numFmtId="2" fontId="16" fillId="0" borderId="3" xfId="1" applyNumberFormat="1" applyFont="1" applyBorder="1" applyAlignment="1">
      <alignment shrinkToFit="1"/>
    </xf>
    <xf numFmtId="0" fontId="16" fillId="0" borderId="3" xfId="1" applyFont="1" applyBorder="1" applyAlignment="1">
      <alignment shrinkToFit="1"/>
    </xf>
    <xf numFmtId="170" fontId="18" fillId="5" borderId="6" xfId="1" applyNumberFormat="1" applyFont="1" applyFill="1" applyBorder="1" applyAlignment="1">
      <alignment horizontal="left" vertical="top"/>
    </xf>
    <xf numFmtId="170" fontId="19" fillId="5" borderId="5" xfId="1" applyNumberFormat="1" applyFont="1" applyFill="1" applyBorder="1" applyAlignment="1">
      <alignment horizontal="left" vertical="top"/>
    </xf>
    <xf numFmtId="170" fontId="20" fillId="5" borderId="4" xfId="1" applyNumberFormat="1" applyFont="1" applyFill="1" applyBorder="1" applyAlignment="1">
      <alignment horizontal="left" vertical="top" shrinkToFit="1"/>
    </xf>
    <xf numFmtId="169" fontId="18" fillId="3" borderId="2" xfId="1" applyNumberFormat="1" applyFont="1" applyFill="1" applyBorder="1" applyAlignment="1">
      <alignment horizontal="left" vertical="top"/>
    </xf>
    <xf numFmtId="169" fontId="19" fillId="3" borderId="2" xfId="1" applyNumberFormat="1" applyFont="1" applyFill="1" applyBorder="1" applyAlignment="1">
      <alignment horizontal="left" vertical="top"/>
    </xf>
    <xf numFmtId="169" fontId="19" fillId="3" borderId="9" xfId="1" applyNumberFormat="1" applyFont="1" applyFill="1" applyBorder="1" applyAlignment="1">
      <alignment horizontal="left" vertical="top"/>
    </xf>
    <xf numFmtId="169" fontId="20" fillId="3" borderId="8" xfId="1" applyNumberFormat="1" applyFont="1" applyFill="1" applyBorder="1" applyAlignment="1">
      <alignment horizontal="left" vertical="top" shrinkToFit="1"/>
    </xf>
    <xf numFmtId="0" fontId="5" fillId="0" borderId="6" xfId="1" applyFont="1" applyBorder="1" applyAlignment="1">
      <alignment horizontal="right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>
      <alignment horizontal="right"/>
    </xf>
    <xf numFmtId="0" fontId="5" fillId="0" borderId="4" xfId="1" applyFont="1" applyBorder="1" applyAlignment="1">
      <alignment horizontal="left"/>
    </xf>
    <xf numFmtId="169" fontId="20" fillId="3" borderId="2" xfId="1" applyNumberFormat="1" applyFont="1" applyFill="1" applyBorder="1" applyAlignment="1">
      <alignment horizontal="left" vertical="top" shrinkToFit="1"/>
    </xf>
    <xf numFmtId="0" fontId="16" fillId="4" borderId="7" xfId="1" applyFont="1" applyFill="1" applyBorder="1" applyAlignment="1">
      <alignment shrinkToFit="1"/>
    </xf>
    <xf numFmtId="0" fontId="22" fillId="0" borderId="0" xfId="1" applyFont="1" applyAlignment="1">
      <alignment horizontal="center"/>
    </xf>
    <xf numFmtId="168" fontId="15" fillId="0" borderId="1" xfId="1" applyNumberFormat="1" applyFont="1" applyBorder="1" applyAlignment="1">
      <alignment horizontal="left" vertical="top" wrapText="1"/>
    </xf>
    <xf numFmtId="168" fontId="5" fillId="0" borderId="1" xfId="1" applyNumberFormat="1" applyFont="1" applyBorder="1" applyAlignment="1">
      <alignment horizontal="left" vertical="top" wrapText="1"/>
    </xf>
    <xf numFmtId="168" fontId="16" fillId="0" borderId="1" xfId="1" applyNumberFormat="1" applyFont="1" applyBorder="1" applyAlignment="1">
      <alignment horizontal="left" vertical="top" wrapText="1" shrinkToFit="1"/>
    </xf>
    <xf numFmtId="168" fontId="9" fillId="0" borderId="1" xfId="1" applyNumberFormat="1" applyFont="1" applyBorder="1" applyAlignment="1">
      <alignment horizontal="left" vertical="top" wrapText="1" shrinkToFit="1"/>
    </xf>
    <xf numFmtId="168" fontId="14" fillId="0" borderId="1" xfId="1" applyNumberFormat="1" applyFont="1" applyBorder="1" applyAlignment="1">
      <alignment horizontal="left" vertical="top" wrapText="1"/>
    </xf>
    <xf numFmtId="168" fontId="16" fillId="0" borderId="3" xfId="1" applyNumberFormat="1" applyFont="1" applyBorder="1" applyAlignment="1">
      <alignment horizontal="left" vertical="top" wrapText="1" shrinkToFit="1"/>
    </xf>
    <xf numFmtId="168" fontId="9" fillId="0" borderId="3" xfId="1" applyNumberFormat="1" applyFont="1" applyBorder="1" applyAlignment="1">
      <alignment horizontal="left" vertical="top" wrapText="1" shrinkToFit="1"/>
    </xf>
    <xf numFmtId="168" fontId="15" fillId="0" borderId="0" xfId="1" applyNumberFormat="1" applyFont="1" applyAlignment="1">
      <alignment horizontal="left" vertical="top" wrapText="1"/>
    </xf>
    <xf numFmtId="168" fontId="5" fillId="0" borderId="0" xfId="1" applyNumberFormat="1" applyFont="1" applyAlignment="1">
      <alignment horizontal="left" vertical="top" wrapText="1"/>
    </xf>
    <xf numFmtId="171" fontId="21" fillId="5" borderId="6" xfId="1" applyNumberFormat="1" applyFont="1" applyFill="1" applyBorder="1" applyAlignment="1">
      <alignment horizontal="center"/>
    </xf>
    <xf numFmtId="171" fontId="21" fillId="5" borderId="5" xfId="1" applyNumberFormat="1" applyFont="1" applyFill="1" applyBorder="1" applyAlignment="1">
      <alignment horizontal="center"/>
    </xf>
    <xf numFmtId="171" fontId="21" fillId="5" borderId="4" xfId="1" applyNumberFormat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2143125</xdr:colOff>
      <xdr:row>0</xdr:row>
      <xdr:rowOff>2143125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65</xdr:row>
      <xdr:rowOff>0</xdr:rowOff>
    </xdr:from>
    <xdr:ext cx="2143125" cy="214312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" displayName="P" ref="A2:AD463" totalsRowShown="0" headerRowDxfId="31" dataDxfId="30">
  <tableColumns count="30">
    <tableColumn id="1" xr3:uid="{00000000-0010-0000-0000-000001000000}" name="Date" dataDxfId="29"/>
    <tableColumn id="2" xr3:uid="{00000000-0010-0000-0000-000002000000}" name="GMT" dataDxfId="28">
      <calculatedColumnFormula>A3+TimeZone/24</calculatedColumnFormula>
    </tableColumn>
    <tableColumn id="3" xr3:uid="{00000000-0010-0000-0000-000003000000}" name="SunRise" dataDxfId="27">
      <calculatedColumnFormula>sunrise(Lat,Long,B3)+TimeZone/24+0.00103009259259259</calculatedColumnFormula>
    </tableColumn>
    <tableColumn id="4" xr3:uid="{00000000-0010-0000-0000-000004000000}" name="Sun Set" dataDxfId="26">
      <calculatedColumnFormula>sunset(Lat,Long,B3)+TimeZone/24-0.000277777777777778</calculatedColumnFormula>
    </tableColumn>
    <tableColumn id="31" xr3:uid="{44B48C75-0E49-46C1-99A4-6B776D03E8BF}" name="MoonRise" dataDxfId="1" dataCellStyle="Normal 2">
      <calculatedColumnFormula>PlanetRiseSet(Lat,Long,B3,1,1)+TimeZone/24+0.00103009259259259</calculatedColumnFormula>
    </tableColumn>
    <tableColumn id="32" xr3:uid="{E5AD95A0-CE7C-43A9-9164-0B0E83AE036B}" name="MoonSet" dataDxfId="0" dataCellStyle="Normal 2">
      <calculatedColumnFormula>PlanetRiseSet(Lat,Long,B3+1,1,2)+TimeZone/24+0.00103009259259259</calculatedColumnFormula>
    </tableColumn>
    <tableColumn id="5" xr3:uid="{00000000-0010-0000-0000-000005000000}" name="GMT Sun Rise" dataDxfId="25">
      <calculatedColumnFormula>Panchanga!$C3-TimeZone/24</calculatedColumnFormula>
    </tableColumn>
    <tableColumn id="6" xr3:uid="{00000000-0010-0000-0000-000006000000}" name="SunS" dataDxfId="24">
      <calculatedColumnFormula>INT(P[[#This Row],[Sun]]/30)&amp;"s"&amp;ROUNDUP(MOD(P[[#This Row],[Sun]],30),2)</calculatedColumnFormula>
    </tableColumn>
    <tableColumn id="7" xr3:uid="{00000000-0010-0000-0000-000007000000}" name="MoonS" dataDxfId="23">
      <calculatedColumnFormula>INT(P[[#This Row],[Moon]]/30)&amp;"s"&amp;ROUNDUP(MOD(P[[#This Row],[Moon]],30),2)</calculatedColumnFormula>
    </tableColumn>
    <tableColumn id="8" xr3:uid="{00000000-0010-0000-0000-000008000000}" name="Vaara" dataDxfId="22">
      <calculatedColumnFormula>G3</calculatedColumnFormula>
    </tableColumn>
    <tableColumn id="9" xr3:uid="{00000000-0010-0000-0000-000009000000}" name="Nakshatra" dataDxfId="21">
      <calculatedColumnFormula>naks(P[[#This Row],[Moon]])</calculatedColumnFormula>
    </tableColumn>
    <tableColumn id="14" xr3:uid="{00000000-0010-0000-0000-00000E000000}" name="Nx Ending" dataDxfId="2">
      <calculatedColumnFormula>(C4-P[[#This Row],[SunRise]])/(MOD(360+V4-P[[#This Row],[Moon]],360))*(13.3333333333333-MOD(P[[#This Row],[Moon]],13.333333333333))+P[[#This Row],[SunRise]]</calculatedColumnFormula>
    </tableColumn>
    <tableColumn id="10" xr3:uid="{00000000-0010-0000-0000-00000A000000}" name="TithiD" dataDxfId="20">
      <calculatedColumnFormula>IF(Panchanga!$R3&gt;15,"K","S")&amp;ROUNDUP(MOD(Panchanga!$R3,15),0)&amp;" ("&amp;ROUND(Panchanga!$R3,2)&amp;")"</calculatedColumnFormula>
    </tableColumn>
    <tableColumn id="11" xr3:uid="{00000000-0010-0000-0000-00000B000000}" name="Karana1" dataDxfId="19">
      <calculatedColumnFormula>IF(AND(Panchanga!$R3&lt;28.5,Panchanga!$R3&gt;0.49999),MOD((Panchanga!$R3-0.5)*2,7),MOD((Panchanga!$R3+30-28.5),30)*2+7)</calculatedColumnFormula>
    </tableColumn>
    <tableColumn id="12" xr3:uid="{00000000-0010-0000-0000-00000C000000}" name="Karana2" dataDxfId="18">
      <calculatedColumnFormula>CHOOSE(ROUNDUP(Panchanga!$N3,0),"Bhava","Baalava","Kaulava","Taitula","Garija","Vanija","Vishti","Shakuni","Chatushapda","Naaga","Kimstugna")</calculatedColumnFormula>
    </tableColumn>
    <tableColumn id="13" xr3:uid="{00000000-0010-0000-0000-00000D000000}" name="Yoga" dataDxfId="17">
      <calculatedColumnFormula>CHOOSE(ROUNDUP(Panchanga!$S3,0),"viṣkambha","prīti","āyuṣmāna","saubhāgya","śobhana","atigaṇḍa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("&amp;Panchanga!$S3&amp;")"</calculatedColumnFormula>
    </tableColumn>
    <tableColumn id="15" xr3:uid="{00000000-0010-0000-0000-00000F000000}" name="Column1" dataDxfId="16">
      <calculatedColumnFormula>IF(AND(Panchanga!$R3&lt;28.5,Panchanga!$R3&gt;0.49999),MOD((Panchanga!$R3-0.5)*2,7),MOD((Panchanga!$R3+30-28.5),30)*2+7)</calculatedColumnFormula>
    </tableColumn>
    <tableColumn id="16" xr3:uid="{00000000-0010-0000-0000-000010000000}" name="Tithi" dataDxfId="15">
      <calculatedColumnFormula>ROUNDUP(MOD(360+P[[#This Row],[Moon]]-P[[#This Row],[Sun]],360)/12,4)</calculatedColumnFormula>
    </tableColumn>
    <tableColumn id="17" xr3:uid="{00000000-0010-0000-0000-000011000000}" name="YogaNumber" dataDxfId="14">
      <calculatedColumnFormula>ROUNDUP(MOD(P[[#This Row],[Sun]]+P[[#This Row],[Moon]],360)/13.333333333,2)</calculatedColumnFormula>
    </tableColumn>
    <tableColumn id="18" xr3:uid="{00000000-0010-0000-0000-000012000000}" name="Graha" dataDxfId="13">
      <calculatedColumnFormula>SIGN(W4-Panchanga!$W3)*INT(Panchanga!$W3/30+1)&amp;"Ma,"&amp;SIGN(X4-Panchanga!$X3)*INT(Panchanga!$X3/30+1)&amp;"Me,"&amp;SIGN(Y4-Panchanga!$Y3)*INT(Panchanga!$Y3/30+1)&amp;"J, "&amp;SIGN(Z4-Panchanga!$Z3)*INT(Panchanga!$Z3/30+1)&amp;"V,"&amp;SIGN(AA4-Panchanga!$AA3)*INT(Panchanga!$AA3/30+1)&amp;"S,"&amp;INT(Panchanga!$AB3/30+1)&amp;"R"</calculatedColumnFormula>
    </tableColumn>
    <tableColumn id="26" xr3:uid="{00000000-0010-0000-0000-00001A000000}" name="Sun" dataDxfId="12" dataCellStyle="Normal 2">
      <calculatedColumnFormula>Planet($G3,0)</calculatedColumnFormula>
    </tableColumn>
    <tableColumn id="27" xr3:uid="{00000000-0010-0000-0000-00001B000000}" name="Moon" dataDxfId="11" dataCellStyle="Normal 2">
      <calculatedColumnFormula>Planet($G3,1)</calculatedColumnFormula>
    </tableColumn>
    <tableColumn id="19" xr3:uid="{00000000-0010-0000-0000-000013000000}" name="MARs" dataDxfId="10">
      <calculatedColumnFormula>Planet(Panchanga!$G3,4)</calculatedColumnFormula>
    </tableColumn>
    <tableColumn id="20" xr3:uid="{00000000-0010-0000-0000-000014000000}" name="Merc" dataDxfId="9">
      <calculatedColumnFormula>Planet(Panchanga!$G3,2)</calculatedColumnFormula>
    </tableColumn>
    <tableColumn id="21" xr3:uid="{00000000-0010-0000-0000-000015000000}" name="Jup" dataDxfId="8">
      <calculatedColumnFormula>Planet(Panchanga!$G3,5)</calculatedColumnFormula>
    </tableColumn>
    <tableColumn id="22" xr3:uid="{00000000-0010-0000-0000-000016000000}" name="Venu" dataDxfId="7">
      <calculatedColumnFormula>Planet(Panchanga!$G3,3)</calculatedColumnFormula>
    </tableColumn>
    <tableColumn id="23" xr3:uid="{00000000-0010-0000-0000-000017000000}" name="Sat" dataDxfId="6">
      <calculatedColumnFormula>Planet(Panchanga!$G3,6)</calculatedColumnFormula>
    </tableColumn>
    <tableColumn id="24" xr3:uid="{00000000-0010-0000-0000-000018000000}" name="Rah" dataDxfId="5">
      <calculatedColumnFormula>Planet(Panchanga!$G3,10)</calculatedColumnFormula>
    </tableColumn>
    <tableColumn id="25" xr3:uid="{00000000-0010-0000-0000-000019000000}" name="TithiEnd" dataDxfId="4">
      <calculatedColumnFormula>TEXT(Panchanga!$C3+($C4-Panchanga!$C3)/ABS(IF($R4&lt;1,$R4+30,$R4)-Panchanga!$R3)*(ROUNDUP(Panchanga!$R3,0)-Panchanga!$R3),"hh:mm AM/PM")</calculatedColumnFormula>
    </tableColumn>
    <tableColumn id="28" xr3:uid="{00000000-0010-0000-0000-00001C000000}" name="Column2" data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anchanga"/>
  <dimension ref="A1:AD463"/>
  <sheetViews>
    <sheetView tabSelected="1" zoomScaleNormal="100" workbookViewId="0">
      <pane xSplit="10" ySplit="2" topLeftCell="K3" activePane="bottomRight" state="frozen"/>
      <selection pane="topRight" activeCell="I1" sqref="I1"/>
      <selection pane="bottomLeft" activeCell="A3" sqref="A3"/>
      <selection pane="bottomRight" activeCell="E20" sqref="E20"/>
    </sheetView>
  </sheetViews>
  <sheetFormatPr defaultColWidth="9.140625" defaultRowHeight="12.75" x14ac:dyDescent="0.2"/>
  <cols>
    <col min="1" max="1" width="18.28515625" style="3" bestFit="1" customWidth="1"/>
    <col min="2" max="2" width="18.28515625" style="1" bestFit="1" customWidth="1"/>
    <col min="3" max="4" width="10.5703125" style="1" bestFit="1" customWidth="1"/>
    <col min="5" max="5" width="9.85546875" style="1" bestFit="1" customWidth="1"/>
    <col min="6" max="6" width="9" style="1" bestFit="1" customWidth="1"/>
    <col min="7" max="7" width="15.42578125" style="1" bestFit="1" customWidth="1"/>
    <col min="8" max="8" width="8.5703125" style="1" bestFit="1" customWidth="1"/>
    <col min="9" max="9" width="9.140625" style="1"/>
    <col min="10" max="10" width="8.42578125" style="1" bestFit="1" customWidth="1"/>
    <col min="11" max="11" width="16.5703125" style="1" bestFit="1" customWidth="1"/>
    <col min="12" max="12" width="15.140625" style="1" customWidth="1"/>
    <col min="13" max="13" width="11.140625" style="1" bestFit="1" customWidth="1"/>
    <col min="14" max="14" width="10" style="1" customWidth="1"/>
    <col min="15" max="15" width="12.85546875" style="1" bestFit="1" customWidth="1"/>
    <col min="16" max="16" width="18.5703125" style="4" customWidth="1"/>
    <col min="17" max="17" width="9.140625" style="1"/>
    <col min="18" max="18" width="15.42578125" style="1" bestFit="1" customWidth="1"/>
    <col min="19" max="19" width="12.7109375" style="1" bestFit="1" customWidth="1"/>
    <col min="20" max="20" width="22.28515625" style="1" bestFit="1" customWidth="1"/>
    <col min="21" max="22" width="22.28515625" style="1" customWidth="1"/>
    <col min="23" max="16384" width="9.140625" style="1"/>
  </cols>
  <sheetData>
    <row r="1" spans="1:30" ht="15.75" x14ac:dyDescent="0.25">
      <c r="B1" s="1" t="s">
        <v>41</v>
      </c>
      <c r="C1" s="2">
        <v>13.5</v>
      </c>
      <c r="G1" s="1" t="s">
        <v>42</v>
      </c>
      <c r="H1" s="2">
        <v>80.23</v>
      </c>
      <c r="I1" s="1" t="s">
        <v>0</v>
      </c>
      <c r="J1" s="2">
        <v>5.5</v>
      </c>
      <c r="K1" s="1" t="s">
        <v>1</v>
      </c>
      <c r="L1" s="1">
        <v>10</v>
      </c>
      <c r="M1" s="1">
        <f t="shared" ref="M1:AD1" si="0">L1+1</f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ref="U1" si="1">T1+1</f>
        <v>19</v>
      </c>
      <c r="V1" s="1">
        <f t="shared" ref="V1" si="2">U1+1</f>
        <v>20</v>
      </c>
      <c r="W1" s="1">
        <f t="shared" ref="W1" si="3">V1+1</f>
        <v>21</v>
      </c>
      <c r="X1" s="1">
        <f t="shared" ref="X1" si="4">W1+1</f>
        <v>22</v>
      </c>
      <c r="Y1" s="1">
        <f t="shared" ref="Y1" si="5">X1+1</f>
        <v>23</v>
      </c>
      <c r="Z1" s="1">
        <f t="shared" ref="Z1" si="6">Y1+1</f>
        <v>24</v>
      </c>
      <c r="AA1" s="1">
        <f t="shared" ref="AA1" si="7">Z1+1</f>
        <v>25</v>
      </c>
      <c r="AB1" s="1">
        <f t="shared" ref="AB1" si="8">AA1+1</f>
        <v>26</v>
      </c>
      <c r="AC1" s="1">
        <f t="shared" ref="AC1" si="9">AB1+1</f>
        <v>27</v>
      </c>
      <c r="AD1" s="1">
        <f t="shared" si="0"/>
        <v>28</v>
      </c>
    </row>
    <row r="2" spans="1:30" s="25" customFormat="1" x14ac:dyDescent="0.2">
      <c r="A2" s="24" t="s">
        <v>2</v>
      </c>
      <c r="B2" s="25" t="s">
        <v>3</v>
      </c>
      <c r="C2" s="25" t="s">
        <v>4</v>
      </c>
      <c r="D2" s="25" t="s">
        <v>5</v>
      </c>
      <c r="E2" s="25" t="s">
        <v>39</v>
      </c>
      <c r="F2" s="25" t="s">
        <v>40</v>
      </c>
      <c r="G2" s="25" t="s">
        <v>6</v>
      </c>
      <c r="H2" s="25" t="s">
        <v>31</v>
      </c>
      <c r="I2" s="25" t="s">
        <v>32</v>
      </c>
      <c r="J2" s="25" t="s">
        <v>9</v>
      </c>
      <c r="K2" s="25" t="s">
        <v>10</v>
      </c>
      <c r="L2" s="25" t="s">
        <v>11</v>
      </c>
      <c r="M2" s="25" t="s">
        <v>12</v>
      </c>
      <c r="N2" s="25" t="s">
        <v>13</v>
      </c>
      <c r="O2" s="25" t="s">
        <v>14</v>
      </c>
      <c r="P2" s="26" t="s">
        <v>15</v>
      </c>
      <c r="Q2" s="25" t="s">
        <v>16</v>
      </c>
      <c r="R2" s="25" t="s">
        <v>17</v>
      </c>
      <c r="S2" s="25" t="s">
        <v>18</v>
      </c>
      <c r="T2" s="25" t="s">
        <v>19</v>
      </c>
      <c r="U2" s="25" t="s">
        <v>7</v>
      </c>
      <c r="V2" s="25" t="s">
        <v>8</v>
      </c>
      <c r="W2" s="25" t="s">
        <v>20</v>
      </c>
      <c r="X2" s="25" t="s">
        <v>21</v>
      </c>
      <c r="Y2" s="25" t="s">
        <v>22</v>
      </c>
      <c r="Z2" s="25" t="s">
        <v>23</v>
      </c>
      <c r="AA2" s="25" t="s">
        <v>24</v>
      </c>
      <c r="AB2" s="25" t="s">
        <v>25</v>
      </c>
      <c r="AC2" s="25" t="s">
        <v>26</v>
      </c>
      <c r="AD2" s="68" t="s">
        <v>38</v>
      </c>
    </row>
    <row r="3" spans="1:30" x14ac:dyDescent="0.2">
      <c r="A3" s="3">
        <f t="shared" ref="A3:A8" si="10">A4-1</f>
        <v>45346</v>
      </c>
      <c r="B3" s="5">
        <f t="shared" ref="B3:B8" si="11">A3+TimeZone/24</f>
        <v>45346.229166666664</v>
      </c>
      <c r="C3" s="6">
        <f t="shared" ref="C3:C66" si="12">sunrise(Lat,Long,B3)+TimeZone/24+0.00103009259259259</f>
        <v>45346.270674699139</v>
      </c>
      <c r="D3" s="6">
        <f>sunset(Lat,Long,B3)+TimeZone/24-0.000277777777777778</f>
        <v>45345.76109462422</v>
      </c>
      <c r="E3" s="6">
        <f>PlanetRiseSet(Lat,Long,B3,1,1)+TimeZone/24+0.00103009259259259</f>
        <v>45345.728981787492</v>
      </c>
      <c r="F3" s="6">
        <f>PlanetRiseSet(Lat,Long,B3+1,1,2)+TimeZone/24+0.00103009259259259</f>
        <v>45347.291235101096</v>
      </c>
      <c r="G3" s="7">
        <f>Panchanga!$C3-TimeZone/24</f>
        <v>45346.041508032475</v>
      </c>
      <c r="H3" s="8" t="str">
        <f>INT(P[[#This Row],[Sun]]/30)&amp;"s"&amp;ROUNDUP(MOD(P[[#This Row],[Sun]],30),2)</f>
        <v>10s10.71</v>
      </c>
      <c r="I3" s="8" t="str">
        <f>INT(P[[#This Row],[Moon]]/30)&amp;"s"&amp;ROUNDUP(MOD(P[[#This Row],[Moon]],30),2)</f>
        <v>4s5.5</v>
      </c>
      <c r="J3" s="9">
        <f t="shared" ref="J3:J8" si="13">G3</f>
        <v>45346.041508032475</v>
      </c>
      <c r="K3" s="10" t="str">
        <f>naks(P[[#This Row],[Moon]])</f>
        <v>Makha</v>
      </c>
      <c r="L3" s="6">
        <f>(C4-P[[#This Row],[SunRise]])/(MOD(360+V4-P[[#This Row],[Moon]],360))*(13.3333333333333-MOD(P[[#This Row],[Moon]],13.333333333333))+P[[#This Row],[SunRise]]</f>
        <v>45346.931578848715</v>
      </c>
      <c r="M3" s="10" t="str">
        <f>IF(Panchanga!$R3&gt;15,"K","S")&amp;ROUNDUP(MOD(Panchanga!$R3,15),0)&amp;" ("&amp;ROUND(Panchanga!$R3,2)&amp;")"</f>
        <v>S15 (14.57)</v>
      </c>
      <c r="N3" s="10">
        <f>IF(AND(Panchanga!$R3&lt;28.5,Panchanga!$R3&gt;0.49999),MOD((Panchanga!$R3-0.5)*2,7),MOD((Panchanga!$R3+30-28.5),30)*2+7)</f>
        <v>0.13100000000000023</v>
      </c>
      <c r="O3" s="10" t="str">
        <f>CHOOSE(ROUNDUP(Panchanga!$N3,0),"Bhava","Baalava","Kaulava","Taitula","Garija","Vanija","Vishti","Shakuni","Chatushapda","Naaga","Kimstugna")</f>
        <v>Bhava</v>
      </c>
      <c r="P3" s="11" t="str">
        <f>CHOOSE(ROUNDUP(Panchanga!$S3,0),"viṣkambha","prīti","āyuṣmāna","saubhāgya","śobhana","atigaṇḍa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("&amp;Panchanga!$S3&amp;")"</f>
        <v>atigaṇḍa  (5.72)</v>
      </c>
      <c r="Q3" s="4">
        <f>IF(AND(Panchanga!$R3&lt;28.5,Panchanga!$R3&gt;0.49999),MOD((Panchanga!$R3-0.5)*2,7),MOD((Panchanga!$R3+30-28.5),30)*2+7)</f>
        <v>0.13100000000000023</v>
      </c>
      <c r="R3" s="10">
        <f>ROUNDUP(MOD(360+P[[#This Row],[Moon]]-P[[#This Row],[Sun]],360)/12,4)</f>
        <v>14.5655</v>
      </c>
      <c r="S3" s="4">
        <f>ROUNDUP(MOD(P[[#This Row],[Sun]]+P[[#This Row],[Moon]],360)/13.333333333,2)</f>
        <v>5.72</v>
      </c>
      <c r="T3" s="4" t="str">
        <f>SIGN(W4-Panchanga!$W3)*INT(Panchanga!$W3/30+1)&amp;"Ma,"&amp;SIGN(X4-Panchanga!$X3)*INT(Panchanga!$X3/30+1)&amp;"Me,"&amp;SIGN(Y4-Panchanga!$Y3)*INT(Panchanga!$Y3/30+1)&amp;"J, "&amp;SIGN(Z4-Panchanga!$Z3)*INT(Panchanga!$Z3/30+1)&amp;"V,"&amp;SIGN(AA4-Panchanga!$AA3)*INT(Panchanga!$AA3/30+1)&amp;"S,"&amp;INT(Panchanga!$AB3/30+1)&amp;"R"</f>
        <v>10Ma,11Me,1J, 10V,11S,12R</v>
      </c>
      <c r="U3" s="4">
        <f t="shared" ref="U3:U66" si="14">Planet($G3,0)</f>
        <v>310.70847770535482</v>
      </c>
      <c r="V3" s="4">
        <f t="shared" ref="V3:V66" si="15">Planet($G3,1)</f>
        <v>125.49447439965614</v>
      </c>
      <c r="W3" s="4">
        <f>Planet(Panchanga!$G3,4)</f>
        <v>284.11597926599558</v>
      </c>
      <c r="X3" s="4">
        <f>Planet(Panchanga!$G3,2)</f>
        <v>307.11783379844178</v>
      </c>
      <c r="Y3" s="4">
        <f>Planet(Panchanga!$G3,5)</f>
        <v>16.138513239691065</v>
      </c>
      <c r="Z3" s="4">
        <f>Planet(Panchanga!$G3,3)</f>
        <v>284.9255713496417</v>
      </c>
      <c r="AA3" s="4">
        <f>Planet(Panchanga!$G3,6)</f>
        <v>314.99259663756999</v>
      </c>
      <c r="AB3" s="4">
        <f>Planet(Panchanga!$G3,10)</f>
        <v>353.82228220816404</v>
      </c>
      <c r="AC3" s="4" t="str">
        <f>TEXT(Panchanga!$C3+($C4-Panchanga!$C3)/ABS(IF($R4&lt;1,$R4+30,$R4)-Panchanga!$R3)*(ROUNDUP(Panchanga!$R3,0)-Panchanga!$R3),"hh:mm AM/PM")</f>
        <v>06:01 PM</v>
      </c>
      <c r="AD3" s="4"/>
    </row>
    <row r="4" spans="1:30" x14ac:dyDescent="0.2">
      <c r="A4" s="3">
        <f t="shared" si="10"/>
        <v>45347</v>
      </c>
      <c r="B4" s="5">
        <f t="shared" si="11"/>
        <v>45347.229166666664</v>
      </c>
      <c r="C4" s="6">
        <f t="shared" si="12"/>
        <v>45347.270322951641</v>
      </c>
      <c r="D4" s="6">
        <f>sunset(Lat,Long,B4)+TimeZone/24-0.000277777777777778</f>
        <v>45346.761246129914</v>
      </c>
      <c r="E4" s="6">
        <f>PlanetRiseSet(Lat,Long,B4,1,1)+TimeZone/24+0.00103009259259259</f>
        <v>45346.762017007139</v>
      </c>
      <c r="F4" s="6">
        <f>PlanetRiseSet(Lat,Long,B4+1,1,2)+TimeZone/24+0.00103009259259259</f>
        <v>45348.314713302221</v>
      </c>
      <c r="G4" s="7">
        <f>Panchanga!$C4-TimeZone/24</f>
        <v>45347.041156284977</v>
      </c>
      <c r="H4" s="8" t="str">
        <f>INT(P[[#This Row],[Sun]]/30)&amp;"s"&amp;ROUNDUP(MOD(P[[#This Row],[Sun]],30),2)</f>
        <v>10s11.72</v>
      </c>
      <c r="I4" s="8" t="str">
        <f>INT(P[[#This Row],[Moon]]/30)&amp;"s"&amp;ROUNDUP(MOD(P[[#This Row],[Moon]],30),2)</f>
        <v>4s17.36</v>
      </c>
      <c r="J4" s="9">
        <f t="shared" si="13"/>
        <v>45347.041156284977</v>
      </c>
      <c r="K4" s="10" t="str">
        <f>naks(P[[#This Row],[Moon]])</f>
        <v>Purva Phalguni</v>
      </c>
      <c r="L4" s="6">
        <f>(C5-P[[#This Row],[SunRise]])/(MOD(360+V5-P[[#This Row],[Moon]],360))*(13.3333333333333-MOD(P[[#This Row],[Moon]],13.333333333333))+P[[#This Row],[SunRise]]</f>
        <v>45348.058734010745</v>
      </c>
      <c r="M4" s="10" t="str">
        <f>IF(Panchanga!$R4&gt;15,"K","S")&amp;ROUNDUP(MOD(Panchanga!$R4,15),0)&amp;" ("&amp;ROUND(Panchanga!$R4,2)&amp;")"</f>
        <v>K1 (15.47)</v>
      </c>
      <c r="N4" s="10">
        <f>IF(AND(Panchanga!$R4&lt;28.5,Panchanga!$R4&gt;0.49999),MOD((Panchanga!$R4-0.5)*2,7),MOD((Panchanga!$R4+30-28.5),30)*2+7)</f>
        <v>1.9395999999999987</v>
      </c>
      <c r="O4" s="10" t="str">
        <f>CHOOSE(ROUNDUP(Panchanga!$N4,0),"Bhava","Baalava","Kaulava","Taitula","Garija","Vanija","Vishti","Shakuni","Chatushapda","Naaga","Kimstugna")</f>
        <v>Baalava</v>
      </c>
      <c r="P4" s="11" t="str">
        <f>CHOOSE(ROUNDUP(Panchanga!$S4,0),"viṣkambha","prīti","āyuṣmāna","saubhāgya","śobhana","atigaṇḍa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("&amp;Panchanga!$S4&amp;")"</f>
        <v>sukarmā  (6.68)</v>
      </c>
      <c r="Q4" s="4">
        <f>IF(AND(Panchanga!$R4&lt;28.5,Panchanga!$R4&gt;0.49999),MOD((Panchanga!$R4-0.5)*2,7),MOD((Panchanga!$R4+30-28.5),30)*2+7)</f>
        <v>1.9395999999999987</v>
      </c>
      <c r="R4" s="10">
        <f>ROUNDUP(MOD(360+P[[#This Row],[Moon]]-P[[#This Row],[Sun]],360)/12,4)</f>
        <v>15.469799999999999</v>
      </c>
      <c r="S4" s="4">
        <f>ROUNDUP(MOD(P[[#This Row],[Sun]]+P[[#This Row],[Moon]],360)/13.333333333,2)</f>
        <v>6.68</v>
      </c>
      <c r="T4" s="4" t="str">
        <f>SIGN(W5-Panchanga!$W4)*INT(Panchanga!$W4/30+1)&amp;"Ma,"&amp;SIGN(X5-Panchanga!$X4)*INT(Panchanga!$X4/30+1)&amp;"Me,"&amp;SIGN(Y5-Panchanga!$Y4)*INT(Panchanga!$Y4/30+1)&amp;"J, "&amp;SIGN(Z5-Panchanga!$Z4)*INT(Panchanga!$Z4/30+1)&amp;"V,"&amp;SIGN(AA5-Panchanga!$AA4)*INT(Panchanga!$AA4/30+1)&amp;"S,"&amp;INT(Panchanga!$AB4/30+1)&amp;"R"</f>
        <v>10Ma,11Me,1J, 10V,11S,12R</v>
      </c>
      <c r="U4" s="4">
        <f t="shared" si="14"/>
        <v>311.71411829384573</v>
      </c>
      <c r="V4" s="4">
        <f t="shared" si="15"/>
        <v>137.35111297533356</v>
      </c>
      <c r="W4" s="4">
        <f>Planet(Panchanga!$G4,4)</f>
        <v>284.88813637155471</v>
      </c>
      <c r="X4" s="4">
        <f>Planet(Panchanga!$G4,2)</f>
        <v>308.92750287969477</v>
      </c>
      <c r="Y4" s="4">
        <f>Planet(Panchanga!$G4,5)</f>
        <v>16.298427153702001</v>
      </c>
      <c r="Z4" s="4">
        <f>Planet(Panchanga!$G4,3)</f>
        <v>286.16251020058627</v>
      </c>
      <c r="AA4" s="4">
        <f>Planet(Panchanga!$G4,6)</f>
        <v>315.11448262518542</v>
      </c>
      <c r="AB4" s="4">
        <f>Planet(Panchanga!$G4,10)</f>
        <v>353.76930886040503</v>
      </c>
      <c r="AC4" s="4" t="str">
        <f>TEXT(Panchanga!$C4+($C5-Panchanga!$C4)/ABS(IF($R5&lt;1,$R5+30,$R5)-Panchanga!$R4)*(ROUNDUP(Panchanga!$R4,0)-Panchanga!$R4),"hh:mm AM/PM")</f>
        <v>08:36 PM</v>
      </c>
      <c r="AD4" s="4"/>
    </row>
    <row r="5" spans="1:30" x14ac:dyDescent="0.2">
      <c r="A5" s="3">
        <f t="shared" si="10"/>
        <v>45348</v>
      </c>
      <c r="B5" s="5">
        <f t="shared" si="11"/>
        <v>45348.229166666664</v>
      </c>
      <c r="C5" s="6">
        <f t="shared" si="12"/>
        <v>45348.269963281848</v>
      </c>
      <c r="D5" s="6">
        <f>sunset(Lat,Long,B5)+TimeZone/24-0.000277777777777778</f>
        <v>45347.76139190192</v>
      </c>
      <c r="E5" s="6">
        <f>PlanetRiseSet(Lat,Long,B5,1,1)+TimeZone/24+0.00103009259259259</f>
        <v>45347.793776270155</v>
      </c>
      <c r="F5" s="6">
        <f>PlanetRiseSet(Lat,Long,B5+1,1,2)+TimeZone/24+0.00103009259259259</f>
        <v>45349.337699951757</v>
      </c>
      <c r="G5" s="7">
        <f>Panchanga!$C5-TimeZone/24</f>
        <v>45348.040796615183</v>
      </c>
      <c r="H5" s="8" t="str">
        <f>INT(P[[#This Row],[Sun]]/30)&amp;"s"&amp;ROUNDUP(MOD(P[[#This Row],[Sun]],30),2)</f>
        <v>10s12.72</v>
      </c>
      <c r="I5" s="8" t="str">
        <f>INT(P[[#This Row],[Moon]]/30)&amp;"s"&amp;ROUNDUP(MOD(P[[#This Row],[Moon]],30),2)</f>
        <v>4s29.17</v>
      </c>
      <c r="J5" s="9">
        <f t="shared" si="13"/>
        <v>45348.040796615183</v>
      </c>
      <c r="K5" s="10" t="str">
        <f>naks(P[[#This Row],[Moon]])</f>
        <v>Uttara Phalguni</v>
      </c>
      <c r="L5" s="6">
        <f>(C6-P[[#This Row],[SunRise]])/(MOD(360+V6-P[[#This Row],[Moon]],360))*(13.3333333333333-MOD(P[[#This Row],[Moon]],13.333333333333))+P[[#This Row],[SunRise]]</f>
        <v>45349.188048465498</v>
      </c>
      <c r="M5" s="10" t="str">
        <f>IF(Panchanga!$R5&gt;15,"K","S")&amp;ROUNDUP(MOD(Panchanga!$R5,15),0)&amp;" ("&amp;ROUND(Panchanga!$R5,2)&amp;")"</f>
        <v>K2 (16.37)</v>
      </c>
      <c r="N5" s="10">
        <f>IF(AND(Panchanga!$R5&lt;28.5,Panchanga!$R5&gt;0.49999),MOD((Panchanga!$R5-0.5)*2,7),MOD((Panchanga!$R5+30-28.5),30)*2+7)</f>
        <v>3.7406000000000006</v>
      </c>
      <c r="O5" s="10" t="str">
        <f>CHOOSE(ROUNDUP(Panchanga!$N5,0),"Bhava","Baalava","Kaulava","Taitula","Garija","Vanija","Vishti","Shakuni","Chatushapda","Naaga","Kimstugna")</f>
        <v>Taitula</v>
      </c>
      <c r="P5" s="11" t="str">
        <f>CHOOSE(ROUNDUP(Panchanga!$S5,0),"viṣkambha","prīti","āyuṣmāna","saubhāgya","śobhana","atigaṇḍa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("&amp;Panchanga!$S5&amp;")"</f>
        <v>dhṛti  (7.65)</v>
      </c>
      <c r="Q5" s="4">
        <f>IF(AND(Panchanga!$R5&lt;28.5,Panchanga!$R5&gt;0.49999),MOD((Panchanga!$R5-0.5)*2,7),MOD((Panchanga!$R5+30-28.5),30)*2+7)</f>
        <v>3.7406000000000006</v>
      </c>
      <c r="R5" s="10">
        <f>ROUNDUP(MOD(360+P[[#This Row],[Moon]]-P[[#This Row],[Sun]],360)/12,4)</f>
        <v>16.3703</v>
      </c>
      <c r="S5" s="4">
        <f>ROUNDUP(MOD(P[[#This Row],[Sun]]+P[[#This Row],[Moon]],360)/13.333333333,2)</f>
        <v>7.6499999999999995</v>
      </c>
      <c r="T5" s="4" t="str">
        <f>SIGN(W6-Panchanga!$W5)*INT(Panchanga!$W5/30+1)&amp;"Ma,"&amp;SIGN(X6-Panchanga!$X5)*INT(Panchanga!$X5/30+1)&amp;"Me,"&amp;SIGN(Y6-Panchanga!$Y5)*INT(Panchanga!$Y5/30+1)&amp;"J, "&amp;SIGN(Z6-Panchanga!$Z5)*INT(Panchanga!$Z5/30+1)&amp;"V,"&amp;SIGN(AA6-Panchanga!$AA5)*INT(Panchanga!$AA5/30+1)&amp;"S,"&amp;INT(Panchanga!$AB5/30+1)&amp;"R"</f>
        <v>10Ma,11Me,1J, 10V,11S,12R</v>
      </c>
      <c r="U5" s="4">
        <f t="shared" si="14"/>
        <v>312.71929542118693</v>
      </c>
      <c r="V5" s="4">
        <f t="shared" si="15"/>
        <v>149.16246830895139</v>
      </c>
      <c r="W5" s="4">
        <f>Planet(Panchanga!$G5,4)</f>
        <v>285.66065111441497</v>
      </c>
      <c r="X5" s="4">
        <f>Planet(Panchanga!$G5,2)</f>
        <v>310.75285020020686</v>
      </c>
      <c r="Y5" s="4">
        <f>Planet(Panchanga!$G5,5)</f>
        <v>16.460350318064737</v>
      </c>
      <c r="Z5" s="4">
        <f>Planet(Panchanga!$G5,3)</f>
        <v>287.39952017900129</v>
      </c>
      <c r="AA5" s="4">
        <f>Planet(Panchanga!$G5,6)</f>
        <v>315.23644437604241</v>
      </c>
      <c r="AB5" s="4">
        <f>Planet(Panchanga!$G5,10)</f>
        <v>353.71633593248526</v>
      </c>
      <c r="AC5" s="4" t="str">
        <f>TEXT(Panchanga!$C5+($C6-Panchanga!$C5)/ABS(IF($R6&lt;1,$R6+30,$R6)-Panchanga!$R5)*(ROUNDUP(Panchanga!$R5,0)-Panchanga!$R5),"hh:mm AM/PM")</f>
        <v>11:16 PM</v>
      </c>
      <c r="AD5" s="4"/>
    </row>
    <row r="6" spans="1:30" x14ac:dyDescent="0.2">
      <c r="A6" s="3">
        <f t="shared" si="10"/>
        <v>45349</v>
      </c>
      <c r="B6" s="5">
        <f t="shared" si="11"/>
        <v>45349.229166666664</v>
      </c>
      <c r="C6" s="6">
        <f t="shared" si="12"/>
        <v>45349.269595972881</v>
      </c>
      <c r="D6" s="6">
        <f>sunset(Lat,Long,B6)+TimeZone/24-0.000277777777777778</f>
        <v>45348.761532110206</v>
      </c>
      <c r="E6" s="6">
        <f>PlanetRiseSet(Lat,Long,B6,1,1)+TimeZone/24+0.00103009259259259</f>
        <v>45348.824817391731</v>
      </c>
      <c r="F6" s="6">
        <f>PlanetRiseSet(Lat,Long,B6+1,1,2)+TimeZone/24+0.00103009259259259</f>
        <v>45350.360948714115</v>
      </c>
      <c r="G6" s="7">
        <f>Panchanga!$C6-TimeZone/24</f>
        <v>45349.040429306217</v>
      </c>
      <c r="H6" s="8" t="str">
        <f>INT(P[[#This Row],[Sun]]/30)&amp;"s"&amp;ROUNDUP(MOD(P[[#This Row],[Sun]],30),2)</f>
        <v>10s13.73</v>
      </c>
      <c r="I6" s="8" t="str">
        <f>INT(P[[#This Row],[Moon]]/30)&amp;"s"&amp;ROUNDUP(MOD(P[[#This Row],[Moon]],30),2)</f>
        <v>5s10.97</v>
      </c>
      <c r="J6" s="9">
        <f t="shared" si="13"/>
        <v>45349.040429306217</v>
      </c>
      <c r="K6" s="10" t="str">
        <f>naks(P[[#This Row],[Moon]])</f>
        <v>Hasta</v>
      </c>
      <c r="L6" s="6">
        <f>(C7-P[[#This Row],[SunRise]])/(MOD(360+V7-P[[#This Row],[Moon]],360))*(13.3333333333333-MOD(P[[#This Row],[Moon]],13.333333333333))+P[[#This Row],[SunRise]]</f>
        <v>45350.31480405858</v>
      </c>
      <c r="M6" s="10" t="str">
        <f>IF(Panchanga!$R6&gt;15,"K","S")&amp;ROUNDUP(MOD(Panchanga!$R6,15),0)&amp;" ("&amp;ROUND(Panchanga!$R6,2)&amp;")"</f>
        <v>K3 (17.27)</v>
      </c>
      <c r="N6" s="10">
        <f>IF(AND(Panchanga!$R6&lt;28.5,Panchanga!$R6&gt;0.49999),MOD((Panchanga!$R6-0.5)*2,7),MOD((Panchanga!$R6+30-28.5),30)*2+7)</f>
        <v>5.5397999999999996</v>
      </c>
      <c r="O6" s="10" t="str">
        <f>CHOOSE(ROUNDUP(Panchanga!$N6,0),"Bhava","Baalava","Kaulava","Taitula","Garija","Vanija","Vishti","Shakuni","Chatushapda","Naaga","Kimstugna")</f>
        <v>Vanija</v>
      </c>
      <c r="P6" s="11" t="str">
        <f>CHOOSE(ROUNDUP(Panchanga!$S6,0),"viṣkambha","prīti","āyuṣmāna","saubhāgya","śobhana","atigaṇḍa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("&amp;Panchanga!$S6&amp;")"</f>
        <v>śūla  (8.61)</v>
      </c>
      <c r="Q6" s="4">
        <f>IF(AND(Panchanga!$R6&lt;28.5,Panchanga!$R6&gt;0.49999),MOD((Panchanga!$R6-0.5)*2,7),MOD((Panchanga!$R6+30-28.5),30)*2+7)</f>
        <v>5.5397999999999996</v>
      </c>
      <c r="R6" s="10">
        <f>ROUNDUP(MOD(360+P[[#This Row],[Moon]]-P[[#This Row],[Sun]],360)/12,4)</f>
        <v>17.2699</v>
      </c>
      <c r="S6" s="4">
        <f>ROUNDUP(MOD(P[[#This Row],[Sun]]+P[[#This Row],[Moon]],360)/13.333333333,2)</f>
        <v>8.61</v>
      </c>
      <c r="T6" s="4" t="str">
        <f>SIGN(W7-Panchanga!$W6)*INT(Panchanga!$W6/30+1)&amp;"Ma,"&amp;SIGN(X7-Panchanga!$X6)*INT(Panchanga!$X6/30+1)&amp;"Me,"&amp;SIGN(Y7-Panchanga!$Y6)*INT(Panchanga!$Y6/30+1)&amp;"J, "&amp;SIGN(Z7-Panchanga!$Z6)*INT(Panchanga!$Z6/30+1)&amp;"V,"&amp;SIGN(AA7-Panchanga!$AA6)*INT(Panchanga!$AA6/30+1)&amp;"S,"&amp;INT(Panchanga!$AB6/30+1)&amp;"R"</f>
        <v>10Ma,11Me,1J, 10V,11S,12R</v>
      </c>
      <c r="U6" s="4">
        <f t="shared" si="14"/>
        <v>313.72401700272485</v>
      </c>
      <c r="V6" s="4">
        <f t="shared" si="15"/>
        <v>160.96262711928352</v>
      </c>
      <c r="W6" s="4">
        <f>Planet(Panchanga!$G6,4)</f>
        <v>286.43351898265985</v>
      </c>
      <c r="X6" s="4">
        <f>Planet(Panchanga!$G6,2)</f>
        <v>312.5936996348367</v>
      </c>
      <c r="Y6" s="4">
        <f>Planet(Panchanga!$G6,5)</f>
        <v>16.624252470564148</v>
      </c>
      <c r="Z6" s="4">
        <f>Planet(Panchanga!$G6,3)</f>
        <v>288.63660120216781</v>
      </c>
      <c r="AA6" s="4">
        <f>Planet(Panchanga!$G6,6)</f>
        <v>315.35846212965345</v>
      </c>
      <c r="AB6" s="4">
        <f>Planet(Panchanga!$G6,10)</f>
        <v>353.66336340937698</v>
      </c>
      <c r="AC6" s="4" t="str">
        <f>TEXT(Panchanga!$C6+($C7-Panchanga!$C6)/ABS(IF($R7&lt;1,$R7+30,$R7)-Panchanga!$R6)*(ROUNDUP(Panchanga!$R6,0)-Panchanga!$R6),"hh:mm AM/PM")</f>
        <v>01:52 AM</v>
      </c>
      <c r="AD6" s="4"/>
    </row>
    <row r="7" spans="1:30" x14ac:dyDescent="0.2">
      <c r="A7" s="3">
        <f t="shared" si="10"/>
        <v>45350</v>
      </c>
      <c r="B7" s="5">
        <f t="shared" si="11"/>
        <v>45350.229166666664</v>
      </c>
      <c r="C7" s="6">
        <f t="shared" si="12"/>
        <v>45350.269221308328</v>
      </c>
      <c r="D7" s="6">
        <f>sunset(Lat,Long,B7)+TimeZone/24-0.000277777777777778</f>
        <v>45349.761666929393</v>
      </c>
      <c r="E7" s="6">
        <f>PlanetRiseSet(Lat,Long,B7,1,1)+TimeZone/24+0.00103009259259259</f>
        <v>45349.855795390591</v>
      </c>
      <c r="F7" s="6">
        <f>PlanetRiseSet(Lat,Long,B7+1,1,2)+TimeZone/24+0.00103009259259259</f>
        <v>45351.385250702653</v>
      </c>
      <c r="G7" s="7">
        <f>Panchanga!$C7-TimeZone/24</f>
        <v>45350.040054641664</v>
      </c>
      <c r="H7" s="8" t="str">
        <f>INT(P[[#This Row],[Sun]]/30)&amp;"s"&amp;ROUNDUP(MOD(P[[#This Row],[Sun]],30),2)</f>
        <v>10s14.73</v>
      </c>
      <c r="I7" s="8" t="str">
        <f>INT(P[[#This Row],[Moon]]/30)&amp;"s"&amp;ROUNDUP(MOD(P[[#This Row],[Moon]],30),2)</f>
        <v>5s22.8</v>
      </c>
      <c r="J7" s="9">
        <f t="shared" si="13"/>
        <v>45350.040054641664</v>
      </c>
      <c r="K7" s="10" t="str">
        <f>naks(P[[#This Row],[Moon]])</f>
        <v>Hasta</v>
      </c>
      <c r="L7" s="6">
        <f>(C8-P[[#This Row],[SunRise]])/(MOD(360+V8-P[[#This Row],[Moon]],360))*(13.3333333333333-MOD(P[[#This Row],[Moon]],13.333333333333))+P[[#This Row],[SunRise]]</f>
        <v>45350.31448665182</v>
      </c>
      <c r="M7" s="10" t="str">
        <f>IF(Panchanga!$R7&gt;15,"K","S")&amp;ROUNDUP(MOD(Panchanga!$R7,15),0)&amp;" ("&amp;ROUND(Panchanga!$R7,2)&amp;")"</f>
        <v>K4 (18.17)</v>
      </c>
      <c r="N7" s="10">
        <f>IF(AND(Panchanga!$R7&lt;28.5,Panchanga!$R7&gt;0.49999),MOD((Panchanga!$R7-0.5)*2,7),MOD((Panchanga!$R7+30-28.5),30)*2+7)</f>
        <v>0.34440000000000026</v>
      </c>
      <c r="O7" s="10" t="str">
        <f>CHOOSE(ROUNDUP(Panchanga!$N7,0),"Bhava","Baalava","Kaulava","Taitula","Garija","Vanija","Vishti","Shakuni","Chatushapda","Naaga","Kimstugna")</f>
        <v>Bhava</v>
      </c>
      <c r="P7" s="11" t="str">
        <f>CHOOSE(ROUNDUP(Panchanga!$S7,0),"viṣkambha","prīti","āyuṣmāna","saubhāgya","śobhana","atigaṇḍa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("&amp;Panchanga!$S7&amp;")"</f>
        <v>gaṇḍa  (9.57)</v>
      </c>
      <c r="Q7" s="4">
        <f>IF(AND(Panchanga!$R7&lt;28.5,Panchanga!$R7&gt;0.49999),MOD((Panchanga!$R7-0.5)*2,7),MOD((Panchanga!$R7+30-28.5),30)*2+7)</f>
        <v>0.34440000000000026</v>
      </c>
      <c r="R7" s="10">
        <f>ROUNDUP(MOD(360+P[[#This Row],[Moon]]-P[[#This Row],[Sun]],360)/12,4)</f>
        <v>18.1722</v>
      </c>
      <c r="S7" s="4">
        <f>ROUNDUP(MOD(P[[#This Row],[Sun]]+P[[#This Row],[Moon]],360)/13.333333333,2)</f>
        <v>9.57</v>
      </c>
      <c r="T7" s="4" t="str">
        <f>SIGN(W8-Panchanga!$W7)*INT(Panchanga!$W7/30+1)&amp;"Ma,"&amp;SIGN(X8-Panchanga!$X7)*INT(Panchanga!$X7/30+1)&amp;"Me,"&amp;SIGN(Y8-Panchanga!$Y7)*INT(Panchanga!$Y7/30+1)&amp;"J, "&amp;SIGN(Z8-Panchanga!$Z7)*INT(Panchanga!$Z7/30+1)&amp;"V,"&amp;SIGN(AA8-Panchanga!$AA7)*INT(Panchanga!$AA7/30+1)&amp;"S,"&amp;INT(Panchanga!$AB7/30+1)&amp;"R"</f>
        <v>10Ma,11Me,1J, 10V,11S,12R</v>
      </c>
      <c r="U7" s="4">
        <f t="shared" si="14"/>
        <v>314.72829042942766</v>
      </c>
      <c r="V7" s="4">
        <f t="shared" si="15"/>
        <v>172.7938323291539</v>
      </c>
      <c r="W7" s="4">
        <f>Planet(Panchanga!$G7,4)</f>
        <v>287.20673467194206</v>
      </c>
      <c r="X7" s="4">
        <f>Planet(Panchanga!$G7,2)</f>
        <v>314.44974717670613</v>
      </c>
      <c r="Y7" s="4">
        <f>Planet(Panchanga!$G7,5)</f>
        <v>16.790103868524625</v>
      </c>
      <c r="Z7" s="4">
        <f>Planet(Panchanga!$G7,3)</f>
        <v>289.87375239890997</v>
      </c>
      <c r="AA7" s="4">
        <f>Planet(Panchanga!$G7,6)</f>
        <v>315.48050802918374</v>
      </c>
      <c r="AB7" s="4">
        <f>Planet(Panchanga!$G7,10)</f>
        <v>353.61039127605227</v>
      </c>
      <c r="AC7" s="4" t="str">
        <f>TEXT(Panchanga!$C7+($C8-Panchanga!$C7)/ABS(IF($R8&lt;1,$R8+30,$R8)-Panchanga!$R7)*(ROUNDUP(Panchanga!$R7,0)-Panchanga!$R7),"hh:mm AM/PM")</f>
        <v>04:18 AM</v>
      </c>
      <c r="AD7" s="4"/>
    </row>
    <row r="8" spans="1:30" x14ac:dyDescent="0.2">
      <c r="A8" s="3">
        <f t="shared" si="10"/>
        <v>45351</v>
      </c>
      <c r="B8" s="5">
        <f t="shared" si="11"/>
        <v>45351.229166666664</v>
      </c>
      <c r="C8" s="6">
        <f t="shared" si="12"/>
        <v>45351.268839573175</v>
      </c>
      <c r="D8" s="6">
        <f>sunset(Lat,Long,B8)+TimeZone/24-0.000277777777777778</f>
        <v>45350.761796537365</v>
      </c>
      <c r="E8" s="6">
        <f>PlanetRiseSet(Lat,Long,B8,1,1)+TimeZone/24+0.00103009259259259</f>
        <v>45350.88741191259</v>
      </c>
      <c r="F8" s="6">
        <f>PlanetRiseSet(Lat,Long,B8+1,1,2)+TimeZone/24+0.00103009259259259</f>
        <v>45352.411452202745</v>
      </c>
      <c r="G8" s="7">
        <f>Panchanga!$C8-TimeZone/24</f>
        <v>45351.039672906511</v>
      </c>
      <c r="H8" s="8" t="str">
        <f>INT(P[[#This Row],[Sun]]/30)&amp;"s"&amp;ROUNDUP(MOD(P[[#This Row],[Sun]],30),2)</f>
        <v>10s15.74</v>
      </c>
      <c r="I8" s="8" t="str">
        <f>INT(P[[#This Row],[Moon]]/30)&amp;"s"&amp;ROUNDUP(MOD(P[[#This Row],[Moon]],30),2)</f>
        <v>6s4.71</v>
      </c>
      <c r="J8" s="9">
        <f t="shared" si="13"/>
        <v>45351.039672906511</v>
      </c>
      <c r="K8" s="10" t="str">
        <f>naks(P[[#This Row],[Moon]])</f>
        <v>Chitra</v>
      </c>
      <c r="L8" s="6">
        <f>(C9-P[[#This Row],[SunRise]])/(MOD(360+V9-P[[#This Row],[Moon]],360))*(13.3333333333333-MOD(P[[#This Row],[Moon]],13.333333333333))+P[[#This Row],[SunRise]]</f>
        <v>45351.431213897798</v>
      </c>
      <c r="M8" s="10" t="str">
        <f>IF(Panchanga!$R8&gt;15,"K","S")&amp;ROUNDUP(MOD(Panchanga!$R8,15),0)&amp;" ("&amp;ROUND(Panchanga!$R8,2)&amp;")"</f>
        <v>K5 (19.08)</v>
      </c>
      <c r="N8" s="10">
        <f>IF(AND(Panchanga!$R8&lt;28.5,Panchanga!$R8&gt;0.49999),MOD((Panchanga!$R8-0.5)*2,7),MOD((Panchanga!$R8+30-28.5),30)*2+7)</f>
        <v>2.1627999999999972</v>
      </c>
      <c r="O8" s="10" t="str">
        <f>CHOOSE(ROUNDUP(Panchanga!$N8,0),"Bhava","Baalava","Kaulava","Taitula","Garija","Vanija","Vishti","Shakuni","Chatushapda","Naaga","Kimstugna")</f>
        <v>Kaulava</v>
      </c>
      <c r="P8" s="11" t="str">
        <f>CHOOSE(ROUNDUP(Panchanga!$S8,0),"viṣkambha","prīti","āyuṣmāna","saubhāgya","śobhana","atigaṇḍa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("&amp;Panchanga!$S8&amp;")"</f>
        <v>vṛddhi  (10.54)</v>
      </c>
      <c r="Q8" s="4">
        <f>IF(AND(Panchanga!$R8&lt;28.5,Panchanga!$R8&gt;0.49999),MOD((Panchanga!$R8-0.5)*2,7),MOD((Panchanga!$R8+30-28.5),30)*2+7)</f>
        <v>2.1627999999999972</v>
      </c>
      <c r="R8" s="10">
        <f>ROUNDUP(MOD(360+P[[#This Row],[Moon]]-P[[#This Row],[Sun]],360)/12,4)</f>
        <v>19.081399999999999</v>
      </c>
      <c r="S8" s="4">
        <f>ROUNDUP(MOD(P[[#This Row],[Sun]]+P[[#This Row],[Moon]],360)/13.333333333,2)</f>
        <v>10.54</v>
      </c>
      <c r="T8" s="4" t="str">
        <f>SIGN(W9-Panchanga!$W8)*INT(Panchanga!$W8/30+1)&amp;"Ma,"&amp;SIGN(X9-Panchanga!$X8)*INT(Panchanga!$X8/30+1)&amp;"Me,"&amp;SIGN(Y9-Panchanga!$Y8)*INT(Panchanga!$Y8/30+1)&amp;"J, "&amp;SIGN(Z9-Panchanga!$Z8)*INT(Panchanga!$Z8/30+1)&amp;"V,"&amp;SIGN(AA9-Panchanga!$AA8)*INT(Panchanga!$AA8/30+1)&amp;"S,"&amp;INT(Panchanga!$AB8/30+1)&amp;"R"</f>
        <v>10Ma,11Me,1J, 10V,11S,12R</v>
      </c>
      <c r="U8" s="4">
        <f t="shared" si="14"/>
        <v>315.73212238800397</v>
      </c>
      <c r="V8" s="4">
        <f t="shared" si="15"/>
        <v>184.7079152909881</v>
      </c>
      <c r="W8" s="4">
        <f>Planet(Panchanga!$G8,4)</f>
        <v>287.98029201249398</v>
      </c>
      <c r="X8" s="4">
        <f>Planet(Panchanga!$G8,2)</f>
        <v>316.32052808954052</v>
      </c>
      <c r="Y8" s="4">
        <f>Planet(Panchanga!$G8,5)</f>
        <v>16.957875241490783</v>
      </c>
      <c r="Z8" s="4">
        <f>Planet(Panchanga!$G8,3)</f>
        <v>291.11097205294936</v>
      </c>
      <c r="AA8" s="4">
        <f>Planet(Panchanga!$G8,6)</f>
        <v>315.60255131004919</v>
      </c>
      <c r="AB8" s="4">
        <f>Planet(Panchanga!$G8,10)</f>
        <v>353.55741951741709</v>
      </c>
      <c r="AC8" s="4" t="str">
        <f>TEXT(Panchanga!$C8+($C9-Panchanga!$C8)/ABS(IF($R9&lt;1,$R9+30,$R9)-Panchanga!$R8)*(ROUNDUP(Panchanga!$R8,0)-Panchanga!$R8),"hh:mm AM/PM")</f>
        <v>06:22 AM</v>
      </c>
      <c r="AD8" s="4"/>
    </row>
    <row r="9" spans="1:30" x14ac:dyDescent="0.2">
      <c r="A9" s="12">
        <v>45352</v>
      </c>
      <c r="B9" s="3">
        <f>A9+TimeZone/24</f>
        <v>45352.229166666664</v>
      </c>
      <c r="C9" s="6">
        <f t="shared" si="12"/>
        <v>45352.268451051474</v>
      </c>
      <c r="D9" s="6">
        <f>sunset(Lat,Long,B9)+TimeZone/24-0.000277777777777778</f>
        <v>45351.761921114798</v>
      </c>
      <c r="E9" s="6">
        <f>PlanetRiseSet(Lat,Long,B9,1,1)+TimeZone/24+0.00103009259259259</f>
        <v>45351.920371815249</v>
      </c>
      <c r="F9" s="6">
        <f>PlanetRiseSet(Lat,Long,B9+1,1,2)+TimeZone/24+0.00103009259259259</f>
        <v>45353.440438656289</v>
      </c>
      <c r="G9" s="7">
        <f>Panchanga!$C9-TimeZone/24</f>
        <v>45352.039284384809</v>
      </c>
      <c r="H9" s="8" t="str">
        <f>INT(P[[#This Row],[Sun]]/30)&amp;"s"&amp;ROUNDUP(MOD(P[[#This Row],[Sun]],30),2)</f>
        <v>10s16.74</v>
      </c>
      <c r="I9" s="8" t="str">
        <f>INT(P[[#This Row],[Moon]]/30)&amp;"s"&amp;ROUNDUP(MOD(P[[#This Row],[Moon]],30),2)</f>
        <v>6s16.77</v>
      </c>
      <c r="J9" s="14">
        <f>G9</f>
        <v>45352.039284384809</v>
      </c>
      <c r="K9" s="10" t="str">
        <f>naks(P[[#This Row],[Moon]])</f>
        <v>Swati</v>
      </c>
      <c r="L9" s="15">
        <f>(C10-P[[#This Row],[SunRise]])/(MOD(360+V10-P[[#This Row],[Moon]],360))*(13.3333333333333-MOD(P[[#This Row],[Moon]],13.333333333333))+P[[#This Row],[SunRise]]</f>
        <v>45352.531826804967</v>
      </c>
      <c r="M9" s="10" t="str">
        <f>IF(Panchanga!$R9&gt;15,"K","S")&amp;ROUNDUP(MOD(Panchanga!$R9,15),0)&amp;" ("&amp;ROUND(Panchanga!$R9,2)&amp;")"</f>
        <v>K6 (20)</v>
      </c>
      <c r="N9" s="4">
        <f>IF(AND(Panchanga!$R9&lt;28.5,Panchanga!$R9&gt;0.49999),MOD((Panchanga!$R9-0.5)*2,7),MOD((Panchanga!$R9+30-28.5),30)*2+7)</f>
        <v>4.0052000000000021</v>
      </c>
      <c r="O9" s="4" t="str">
        <f>CHOOSE(ROUNDUP(Panchanga!$N9,0),"Bhava","Baalava","Kaulava","Taitula","Garija","Vanija","Vishti","Shakuni","Chatushapda","Naaga","Kimstugna")</f>
        <v>Garija</v>
      </c>
      <c r="P9" s="11" t="str">
        <f>CHOOSE(ROUNDUP(Panchanga!$S9,0),"viṣkambha","prīti","āyuṣmāna","saubhāgya","śobhana","atigaṇḍa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("&amp;Panchanga!$S9&amp;")"</f>
        <v>dhruva  (11.52)</v>
      </c>
      <c r="Q9" s="4">
        <f>IF(AND(Panchanga!$R9&lt;28.5,Panchanga!$R9&gt;0.49999),MOD((Panchanga!$R9-0.5)*2,7),MOD((Panchanga!$R9+30-28.5),30)*2+7)</f>
        <v>4.0052000000000021</v>
      </c>
      <c r="R9" s="4">
        <f>ROUNDUP(MOD(360+P[[#This Row],[Moon]]-P[[#This Row],[Sun]],360)/12,4)</f>
        <v>20.002600000000001</v>
      </c>
      <c r="S9" s="4">
        <f>ROUNDUP(MOD(P[[#This Row],[Sun]]+P[[#This Row],[Moon]],360)/13.333333333,2)</f>
        <v>11.52</v>
      </c>
      <c r="T9" s="4" t="str">
        <f>SIGN(W10-Panchanga!$W9)*INT(Panchanga!$W9/30+1)&amp;"Ma,"&amp;SIGN(X10-Panchanga!$X9)*INT(Panchanga!$X9/30+1)&amp;"Me,"&amp;SIGN(Y10-Panchanga!$Y9)*INT(Panchanga!$Y9/30+1)&amp;"J, "&amp;SIGN(Z10-Panchanga!$Z9)*INT(Panchanga!$Z9/30+1)&amp;"V,"&amp;SIGN(AA10-Panchanga!$AA9)*INT(Panchanga!$AA9/30+1)&amp;"S,"&amp;INT(Panchanga!$AB9/30+1)&amp;"R"</f>
        <v>10Ma,11Me,1J, 10V,11S,12R</v>
      </c>
      <c r="U9" s="8">
        <f>Planet($G9,0)</f>
        <v>316.73551865226023</v>
      </c>
      <c r="V9" s="13">
        <f t="shared" si="15"/>
        <v>196.76641261060774</v>
      </c>
      <c r="W9" s="4">
        <f>Planet(Panchanga!$G9,4)</f>
        <v>288.7541838547383</v>
      </c>
      <c r="X9" s="4">
        <f>Planet(Panchanga!$G9,2)</f>
        <v>318.20538278142408</v>
      </c>
      <c r="Y9" s="4">
        <f>Planet(Panchanga!$G9,5)</f>
        <v>17.127537753985141</v>
      </c>
      <c r="Z9" s="4">
        <f>Planet(Panchanga!$G9,3)</f>
        <v>292.34825748919394</v>
      </c>
      <c r="AA9" s="4">
        <f>Planet(Panchanga!$G9,6)</f>
        <v>315.72460624799788</v>
      </c>
      <c r="AB9" s="4">
        <f>Planet(Panchanga!$G9,10)</f>
        <v>353.50444811841015</v>
      </c>
      <c r="AC9" s="4" t="str">
        <f>TEXT(Panchanga!$C9+($C10-Panchanga!$C9)/ABS(IF($R10&lt;1,$R10+30,$R10)-Panchanga!$R9)*(ROUNDUP(Panchanga!$R9,0)-Panchanga!$R9),"hh:mm AM/PM")</f>
        <v>07:55 AM</v>
      </c>
      <c r="AD9" s="4"/>
    </row>
    <row r="10" spans="1:30" x14ac:dyDescent="0.2">
      <c r="A10" s="3">
        <f>A9+1</f>
        <v>45353</v>
      </c>
      <c r="B10" s="3">
        <f t="shared" ref="B10:B40" si="16">A10+TimeZone/24</f>
        <v>45353.229166666664</v>
      </c>
      <c r="C10" s="6">
        <f t="shared" si="12"/>
        <v>45353.26805602495</v>
      </c>
      <c r="D10" s="6">
        <f>sunset(Lat,Long,B10)+TimeZone/24-0.000277777777777778</f>
        <v>45352.762040841902</v>
      </c>
      <c r="E10" s="6">
        <f>PlanetRiseSet(Lat,Long,B10,1,1)+TimeZone/24+0.00103009259259259</f>
        <v>45352.955309753459</v>
      </c>
      <c r="F10" s="6">
        <f>PlanetRiseSet(Lat,Long,B10+1,1,2)+TimeZone/24+0.00103009259259259</f>
        <v>45354.473034246512</v>
      </c>
      <c r="G10" s="7">
        <f>Panchanga!$C10-TimeZone/24</f>
        <v>45353.038889358286</v>
      </c>
      <c r="H10" s="8" t="str">
        <f>INT(P[[#This Row],[Sun]]/30)&amp;"s"&amp;ROUNDUP(MOD(P[[#This Row],[Sun]],30),2)</f>
        <v>10s17.74</v>
      </c>
      <c r="I10" s="13" t="str">
        <f>INT(P[[#This Row],[Moon]]/30)&amp;"s"&amp;ROUNDUP(MOD(P[[#This Row],[Moon]],30),2)</f>
        <v>6s29.04</v>
      </c>
      <c r="J10" s="14">
        <f t="shared" ref="J10:J73" si="17">G10</f>
        <v>45353.038889358286</v>
      </c>
      <c r="K10" s="10" t="str">
        <f>naks(P[[#This Row],[Moon]])</f>
        <v>Visakha</v>
      </c>
      <c r="L10" s="6">
        <f>(C11-P[[#This Row],[SunRise]])/(MOD(360+V11-P[[#This Row],[Moon]],360))*(13.3333333333333-MOD(P[[#This Row],[Moon]],13.333333333333))+P[[#This Row],[SunRise]]</f>
        <v>45353.609794459197</v>
      </c>
      <c r="M10" s="4" t="str">
        <f>IF(Panchanga!$R10&gt;15,"K","S")&amp;ROUNDUP(MOD(Panchanga!$R10,15),0)&amp;" ("&amp;ROUND(Panchanga!$R10,2)&amp;")"</f>
        <v>K6 (20.94)</v>
      </c>
      <c r="N10" s="4">
        <f>IF(AND(Panchanga!$R10&lt;28.5,Panchanga!$R10&gt;0.49999),MOD((Panchanga!$R10-0.5)*2,7),MOD((Panchanga!$R10+30-28.5),30)*2+7)</f>
        <v>5.8836000000000013</v>
      </c>
      <c r="O10" s="4" t="str">
        <f>CHOOSE(ROUNDUP(Panchanga!$N10,0),"Bhava","Baalava","Kaulava","Taitula","Garija","Vanija","Vishti","Shakuni","Chatushapda","Naaga","Kimstugna")</f>
        <v>Vanija</v>
      </c>
      <c r="P10" s="11" t="str">
        <f>CHOOSE(ROUNDUP(Panchanga!$S10,0),"viṣkambha","prīti","āyuṣmāna","saubhāgya","śobhana","atigaṇḍa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("&amp;Panchanga!$S10&amp;")"</f>
        <v>vyāghāta (12.51)</v>
      </c>
      <c r="Q10" s="4">
        <f>IF(AND(Panchanga!$R10&lt;28.5,Panchanga!$R10&gt;0.49999),MOD((Panchanga!$R10-0.5)*2,7),MOD((Panchanga!$R10+30-28.5),30)*2+7)</f>
        <v>5.8836000000000013</v>
      </c>
      <c r="R10" s="4">
        <f>ROUNDUP(MOD(360+P[[#This Row],[Moon]]-P[[#This Row],[Sun]],360)/12,4)</f>
        <v>20.941800000000001</v>
      </c>
      <c r="S10" s="4">
        <f>ROUNDUP(MOD(P[[#This Row],[Sun]]+P[[#This Row],[Moon]],360)/13.333333333,2)</f>
        <v>12.51</v>
      </c>
      <c r="T10" s="4" t="str">
        <f>SIGN(W11-Panchanga!$W10)*INT(Panchanga!$W10/30+1)&amp;"Ma,"&amp;SIGN(X11-Panchanga!$X10)*INT(Panchanga!$X10/30+1)&amp;"Me,"&amp;SIGN(Y11-Panchanga!$Y10)*INT(Panchanga!$Y10/30+1)&amp;"J, "&amp;SIGN(Z11-Panchanga!$Z10)*INT(Panchanga!$Z10/30+1)&amp;"V,"&amp;SIGN(AA11-Panchanga!$AA10)*INT(Panchanga!$AA10/30+1)&amp;"S,"&amp;INT(Panchanga!$AB10/30+1)&amp;"R"</f>
        <v>10Ma,11Me,1J, 10V,11S,12R</v>
      </c>
      <c r="U10" s="4">
        <f t="shared" si="14"/>
        <v>317.73848380287762</v>
      </c>
      <c r="V10" s="4">
        <f t="shared" si="15"/>
        <v>209.03903070000703</v>
      </c>
      <c r="W10" s="4">
        <f>Planet(Panchanga!$G10,4)</f>
        <v>289.52840191839965</v>
      </c>
      <c r="X10" s="4">
        <f>Planet(Panchanga!$G10,2)</f>
        <v>320.10343647501605</v>
      </c>
      <c r="Y10" s="4">
        <f>Planet(Panchanga!$G10,5)</f>
        <v>17.299062970848926</v>
      </c>
      <c r="Z10" s="4">
        <f>Planet(Panchanga!$G10,3)</f>
        <v>293.58560490637467</v>
      </c>
      <c r="AA10" s="4">
        <f>Planet(Panchanga!$G10,6)</f>
        <v>315.84667201272231</v>
      </c>
      <c r="AB10" s="4">
        <f>Planet(Panchanga!$G10,10)</f>
        <v>353.45147706410313</v>
      </c>
      <c r="AC10" s="4" t="str">
        <f>TEXT(Panchanga!$C10+($C11-Panchanga!$C10)/ABS(IF($R11&lt;1,$R11+30,$R11)-Panchanga!$R10)*(ROUNDUP(Panchanga!$R10,0)-Panchanga!$R10),"hh:mm AM/PM")</f>
        <v>07:52 AM</v>
      </c>
      <c r="AD10" s="4"/>
    </row>
    <row r="11" spans="1:30" x14ac:dyDescent="0.2">
      <c r="A11" s="3">
        <f t="shared" ref="A11:A74" si="18">A10+1</f>
        <v>45354</v>
      </c>
      <c r="B11" s="3">
        <f t="shared" si="16"/>
        <v>45354.229166666664</v>
      </c>
      <c r="C11" s="6">
        <f t="shared" si="12"/>
        <v>45354.267654775329</v>
      </c>
      <c r="D11" s="6">
        <f>sunset(Lat,Long,B11)+TimeZone/24-0.000277777777777778</f>
        <v>45353.762155899356</v>
      </c>
      <c r="E11" s="6">
        <f>PlanetRiseSet(Lat,Long,B11,1,1)+TimeZone/24+0.00103009259259259</f>
        <v>45353.992645573489</v>
      </c>
      <c r="F11" s="6">
        <f>PlanetRiseSet(Lat,Long,B11+1,1,2)+TimeZone/24+0.00103009259259259</f>
        <v>45354.473034273055</v>
      </c>
      <c r="G11" s="7">
        <f>Panchanga!$C11-TimeZone/24</f>
        <v>45354.038488108665</v>
      </c>
      <c r="H11" s="8" t="str">
        <f>INT(P[[#This Row],[Sun]]/30)&amp;"s"&amp;ROUNDUP(MOD(P[[#This Row],[Sun]],30),2)</f>
        <v>10s18.75</v>
      </c>
      <c r="I11" s="13" t="str">
        <f>INT(P[[#This Row],[Moon]]/30)&amp;"s"&amp;ROUNDUP(MOD(P[[#This Row],[Moon]],30),2)</f>
        <v>7s11.61</v>
      </c>
      <c r="J11" s="14">
        <f t="shared" si="17"/>
        <v>45354.038488108665</v>
      </c>
      <c r="K11" s="10" t="str">
        <f>naks(P[[#This Row],[Moon]])</f>
        <v>Anuradha</v>
      </c>
      <c r="L11" s="6">
        <f>(C12-P[[#This Row],[SunRise]])/(MOD(360+V12-P[[#This Row],[Moon]],360))*(13.3333333333333-MOD(P[[#This Row],[Moon]],13.333333333333))+P[[#This Row],[SunRise]]</f>
        <v>45354.659584005887</v>
      </c>
      <c r="M11" s="4" t="str">
        <f>IF(Panchanga!$R11&gt;15,"K","S")&amp;ROUNDUP(MOD(Panchanga!$R11,15),0)&amp;" ("&amp;ROUND(Panchanga!$R11,2)&amp;")"</f>
        <v>K7 (21.91)</v>
      </c>
      <c r="N11" s="4">
        <f>IF(AND(Panchanga!$R11&lt;28.5,Panchanga!$R11&gt;0.49999),MOD((Panchanga!$R11-0.5)*2,7),MOD((Panchanga!$R11+30-28.5),30)*2+7)</f>
        <v>0.81000000000000227</v>
      </c>
      <c r="O11" s="4" t="str">
        <f>CHOOSE(ROUNDUP(Panchanga!$N11,0),"Bhava","Baalava","Kaulava","Taitula","Garija","Vanija","Vishti","Shakuni","Chatushapda","Naaga","Kimstugna")</f>
        <v>Bhava</v>
      </c>
      <c r="P11" s="11" t="str">
        <f>CHOOSE(ROUNDUP(Panchanga!$S11,0),"viṣkambha","prīti","āyuṣmāna","saubhāgya","śobhana","atigaṇḍa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("&amp;Panchanga!$S11&amp;")"</f>
        <v>harṣaṇa (13.53)</v>
      </c>
      <c r="Q11" s="4">
        <f>IF(AND(Panchanga!$R11&lt;28.5,Panchanga!$R11&gt;0.49999),MOD((Panchanga!$R11-0.5)*2,7),MOD((Panchanga!$R11+30-28.5),30)*2+7)</f>
        <v>0.81000000000000227</v>
      </c>
      <c r="R11" s="4">
        <f>ROUNDUP(MOD(360+P[[#This Row],[Moon]]-P[[#This Row],[Sun]],360)/12,4)</f>
        <v>21.905000000000001</v>
      </c>
      <c r="S11" s="4">
        <f>ROUNDUP(MOD(P[[#This Row],[Sun]]+P[[#This Row],[Moon]],360)/13.333333333,2)</f>
        <v>13.53</v>
      </c>
      <c r="T11" s="4" t="str">
        <f>SIGN(W12-Panchanga!$W11)*INT(Panchanga!$W11/30+1)&amp;"Ma,"&amp;SIGN(X12-Panchanga!$X11)*INT(Panchanga!$X11/30+1)&amp;"Me,"&amp;SIGN(Y12-Panchanga!$Y11)*INT(Panchanga!$Y11/30+1)&amp;"J, "&amp;SIGN(Z12-Panchanga!$Z11)*INT(Panchanga!$Z11/30+1)&amp;"V,"&amp;SIGN(AA12-Panchanga!$AA11)*INT(Panchanga!$AA11/30+1)&amp;"S,"&amp;INT(Panchanga!$AB11/30+1)&amp;"R"</f>
        <v>10Ma,11Me,1J, 10V,11S,12R</v>
      </c>
      <c r="U11" s="4">
        <f t="shared" si="14"/>
        <v>318.74102083606726</v>
      </c>
      <c r="V11" s="4">
        <f t="shared" si="15"/>
        <v>221.60003969369498</v>
      </c>
      <c r="W11" s="4">
        <f>Planet(Panchanga!$G11,4)</f>
        <v>290.30293659911274</v>
      </c>
      <c r="X11" s="4">
        <f>Planet(Panchanga!$G11,2)</f>
        <v>322.01355462894657</v>
      </c>
      <c r="Y11" s="4">
        <f>Planet(Panchanga!$G11,5)</f>
        <v>17.472422803371153</v>
      </c>
      <c r="Z11" s="4">
        <f>Planet(Panchanga!$G11,3)</f>
        <v>294.8230091519203</v>
      </c>
      <c r="AA11" s="4">
        <f>Planet(Panchanga!$G11,6)</f>
        <v>315.96871436332765</v>
      </c>
      <c r="AB11" s="4">
        <f>Planet(Panchanga!$G11,10)</f>
        <v>353.3985063396172</v>
      </c>
      <c r="AC11" s="4" t="str">
        <f>TEXT(Panchanga!$C11+($C12-Panchanga!$C11)/ABS(IF($R12&lt;1,$R12+30,$R12)-Panchanga!$R11)*(ROUNDUP(Panchanga!$R11,0)-Panchanga!$R11),"hh:mm AM/PM")</f>
        <v>08:43 AM</v>
      </c>
      <c r="AD11" s="4"/>
    </row>
    <row r="12" spans="1:30" x14ac:dyDescent="0.2">
      <c r="A12" s="3">
        <f t="shared" si="18"/>
        <v>45355</v>
      </c>
      <c r="B12" s="3">
        <f t="shared" si="16"/>
        <v>45355.229166666664</v>
      </c>
      <c r="C12" s="6">
        <f t="shared" si="12"/>
        <v>45355.267247580145</v>
      </c>
      <c r="D12" s="6">
        <f>sunset(Lat,Long,B12)+TimeZone/24-0.000277777777777778</f>
        <v>45354.762266466903</v>
      </c>
      <c r="E12" s="6">
        <f>PlanetRiseSet(Lat,Long,B12,1,1)+TimeZone/24+0.00103009259259259</f>
        <v>45355.032352126356</v>
      </c>
      <c r="F12" s="6">
        <f>PlanetRiseSet(Lat,Long,B12+1,1,2)+TimeZone/24+0.00103009259259259</f>
        <v>45355.509761404399</v>
      </c>
      <c r="G12" s="7">
        <f>Panchanga!$C12-TimeZone/24</f>
        <v>45355.03808091348</v>
      </c>
      <c r="H12" s="8" t="str">
        <f>INT(P[[#This Row],[Sun]]/30)&amp;"s"&amp;ROUNDUP(MOD(P[[#This Row],[Sun]],30),2)</f>
        <v>10s19.75</v>
      </c>
      <c r="I12" s="13" t="str">
        <f>INT(P[[#This Row],[Moon]]/30)&amp;"s"&amp;ROUNDUP(MOD(P[[#This Row],[Moon]],30),2)</f>
        <v>7s24.53</v>
      </c>
      <c r="J12" s="14">
        <f t="shared" si="17"/>
        <v>45355.03808091348</v>
      </c>
      <c r="K12" s="10" t="str">
        <f>naks(P[[#This Row],[Moon]])</f>
        <v>Jyestha</v>
      </c>
      <c r="L12" s="6">
        <f>(C13-P[[#This Row],[SunRise]])/(MOD(360+V13-P[[#This Row],[Moon]],360))*(13.3333333333333-MOD(P[[#This Row],[Moon]],13.333333333333))+P[[#This Row],[SunRise]]</f>
        <v>45355.677538943688</v>
      </c>
      <c r="M12" s="4" t="str">
        <f>IF(Panchanga!$R12&gt;15,"K","S")&amp;ROUNDUP(MOD(Panchanga!$R12,15),0)&amp;" ("&amp;ROUND(Panchanga!$R12,2)&amp;")"</f>
        <v>K8 (22.9)</v>
      </c>
      <c r="N12" s="4">
        <f>IF(AND(Panchanga!$R12&lt;28.5,Panchanga!$R12&gt;0.49999),MOD((Panchanga!$R12-0.5)*2,7),MOD((Panchanga!$R12+30-28.5),30)*2+7)</f>
        <v>2.796599999999998</v>
      </c>
      <c r="O12" s="4" t="str">
        <f>CHOOSE(ROUNDUP(Panchanga!$N12,0),"Bhava","Baalava","Kaulava","Taitula","Garija","Vanija","Vishti","Shakuni","Chatushapda","Naaga","Kimstugna")</f>
        <v>Kaulava</v>
      </c>
      <c r="P12" s="11" t="str">
        <f>CHOOSE(ROUNDUP(Panchanga!$S12,0),"viṣkambha","prīti","āyuṣmāna","saubhāgya","śobhana","atigaṇḍa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("&amp;Panchanga!$S12&amp;")"</f>
        <v>vajra (14.57)</v>
      </c>
      <c r="Q12" s="4">
        <f>IF(AND(Panchanga!$R12&lt;28.5,Panchanga!$R12&gt;0.49999),MOD((Panchanga!$R12-0.5)*2,7),MOD((Panchanga!$R12+30-28.5),30)*2+7)</f>
        <v>2.796599999999998</v>
      </c>
      <c r="R12" s="4">
        <f>ROUNDUP(MOD(360+P[[#This Row],[Moon]]-P[[#This Row],[Sun]],360)/12,4)</f>
        <v>22.898299999999999</v>
      </c>
      <c r="S12" s="4">
        <f>ROUNDUP(MOD(P[[#This Row],[Sun]]+P[[#This Row],[Moon]],360)/13.333333333,2)</f>
        <v>14.57</v>
      </c>
      <c r="T12" s="4" t="str">
        <f>SIGN(W13-Panchanga!$W12)*INT(Panchanga!$W12/30+1)&amp;"Ma,"&amp;SIGN(X13-Panchanga!$X12)*INT(Panchanga!$X12/30+1)&amp;"Me,"&amp;SIGN(Y13-Panchanga!$Y12)*INT(Panchanga!$Y12/30+1)&amp;"J, "&amp;SIGN(Z13-Panchanga!$Z12)*INT(Panchanga!$Z12/30+1)&amp;"V,"&amp;SIGN(AA13-Panchanga!$AA12)*INT(Panchanga!$AA12/30+1)&amp;"S,"&amp;INT(Panchanga!$AB12/30+1)&amp;"R"</f>
        <v>10Ma,11Me,1J, 10V,11S,12R</v>
      </c>
      <c r="U12" s="4">
        <f t="shared" si="14"/>
        <v>319.74313067158045</v>
      </c>
      <c r="V12" s="4">
        <f t="shared" si="15"/>
        <v>234.52217836572407</v>
      </c>
      <c r="W12" s="4">
        <f>Planet(Panchanga!$G12,4)</f>
        <v>291.07777675681717</v>
      </c>
      <c r="X12" s="4">
        <f>Planet(Panchanga!$G12,2)</f>
        <v>323.93429357718026</v>
      </c>
      <c r="Y12" s="4">
        <f>Planet(Panchanga!$G12,5)</f>
        <v>17.647589422958195</v>
      </c>
      <c r="Z12" s="4">
        <f>Planet(Panchanga!$G12,3)</f>
        <v>296.06046346375797</v>
      </c>
      <c r="AA12" s="4">
        <f>Planet(Panchanga!$G12,6)</f>
        <v>316.09070792805517</v>
      </c>
      <c r="AB12" s="4">
        <f>Planet(Panchanga!$G12,10)</f>
        <v>353.34553593012339</v>
      </c>
      <c r="AC12" s="4" t="str">
        <f>TEXT(Panchanga!$C12+($C13-Panchanga!$C12)/ABS(IF($R13&lt;1,$R13+30,$R13)-Panchanga!$R12)*(ROUNDUP(Panchanga!$R12,0)-Panchanga!$R12),"hh:mm AM/PM")</f>
        <v>08:47 AM</v>
      </c>
      <c r="AD12" s="4"/>
    </row>
    <row r="13" spans="1:30" x14ac:dyDescent="0.2">
      <c r="A13" s="3">
        <f t="shared" si="18"/>
        <v>45356</v>
      </c>
      <c r="B13" s="3">
        <f t="shared" si="16"/>
        <v>45356.229166666664</v>
      </c>
      <c r="C13" s="6">
        <f t="shared" si="12"/>
        <v>45356.266834714137</v>
      </c>
      <c r="D13" s="6">
        <f>sunset(Lat,Long,B13)+TimeZone/24-0.000277777777777778</f>
        <v>45355.762372718702</v>
      </c>
      <c r="E13" s="6">
        <f>PlanetRiseSet(Lat,Long,B13,1,1)+TimeZone/24+0.00103009259259259</f>
        <v>45356.07371979874</v>
      </c>
      <c r="F13" s="6">
        <f>PlanetRiseSet(Lat,Long,B13+1,1,2)+TimeZone/24+0.00103009259259259</f>
        <v>45356.550482625295</v>
      </c>
      <c r="G13" s="7">
        <f>Panchanga!$C13-TimeZone/24</f>
        <v>45356.037668047473</v>
      </c>
      <c r="H13" s="8" t="str">
        <f>INT(P[[#This Row],[Sun]]/30)&amp;"s"&amp;ROUNDUP(MOD(P[[#This Row],[Sun]],30),2)</f>
        <v>10s20.75</v>
      </c>
      <c r="I13" s="13" t="str">
        <f>INT(P[[#This Row],[Moon]]/30)&amp;"s"&amp;ROUNDUP(MOD(P[[#This Row],[Moon]],30),2)</f>
        <v>8s7.87</v>
      </c>
      <c r="J13" s="14">
        <f t="shared" si="17"/>
        <v>45356.037668047473</v>
      </c>
      <c r="K13" s="10" t="str">
        <f>naks(P[[#This Row],[Moon]])</f>
        <v>Moola</v>
      </c>
      <c r="L13" s="6">
        <f>(C14-P[[#This Row],[SunRise]])/(MOD(360+V14-P[[#This Row],[Moon]],360))*(13.3333333333333-MOD(P[[#This Row],[Moon]],13.333333333333))+P[[#This Row],[SunRise]]</f>
        <v>45356.662471184434</v>
      </c>
      <c r="M13" s="4" t="str">
        <f>IF(Panchanga!$R13&gt;15,"K","S")&amp;ROUNDUP(MOD(Panchanga!$R13,15),0)&amp;" ("&amp;ROUND(Panchanga!$R13,2)&amp;")"</f>
        <v>K9 (23.93)</v>
      </c>
      <c r="N13" s="4">
        <f>IF(AND(Panchanga!$R13&lt;28.5,Panchanga!$R13&gt;0.49999),MOD((Panchanga!$R13-0.5)*2,7),MOD((Panchanga!$R13+30-28.5),30)*2+7)</f>
        <v>4.8539999999999992</v>
      </c>
      <c r="O13" s="4" t="str">
        <f>CHOOSE(ROUNDUP(Panchanga!$N13,0),"Bhava","Baalava","Kaulava","Taitula","Garija","Vanija","Vishti","Shakuni","Chatushapda","Naaga","Kimstugna")</f>
        <v>Garija</v>
      </c>
      <c r="P13" s="11" t="str">
        <f>CHOOSE(ROUNDUP(Panchanga!$S13,0),"viṣkambha","prīti","āyuṣmāna","saubhāgya","śobhana","atigaṇḍa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("&amp;Panchanga!$S13&amp;")"</f>
        <v>siddhi (15.65)</v>
      </c>
      <c r="Q13" s="4">
        <f>IF(AND(Panchanga!$R13&lt;28.5,Panchanga!$R13&gt;0.49999),MOD((Panchanga!$R13-0.5)*2,7),MOD((Panchanga!$R13+30-28.5),30)*2+7)</f>
        <v>4.8539999999999992</v>
      </c>
      <c r="R13" s="4">
        <f>ROUNDUP(MOD(360+P[[#This Row],[Moon]]-P[[#This Row],[Sun]],360)/12,4)</f>
        <v>23.927</v>
      </c>
      <c r="S13" s="4">
        <f>ROUNDUP(MOD(P[[#This Row],[Sun]]+P[[#This Row],[Moon]],360)/13.333333333,2)</f>
        <v>15.65</v>
      </c>
      <c r="T13" s="4" t="str">
        <f>SIGN(W14-Panchanga!$W13)*INT(Panchanga!$W13/30+1)&amp;"Ma,"&amp;SIGN(X14-Panchanga!$X13)*INT(Panchanga!$X13/30+1)&amp;"Me,"&amp;SIGN(Y14-Panchanga!$Y13)*INT(Panchanga!$Y13/30+1)&amp;"J, "&amp;SIGN(Z14-Panchanga!$Z13)*INT(Panchanga!$Z13/30+1)&amp;"V,"&amp;SIGN(AA14-Panchanga!$AA13)*INT(Panchanga!$AA13/30+1)&amp;"S,"&amp;INT(Panchanga!$AB13/30+1)&amp;"R"</f>
        <v>10Ma,11Me,1J, 10V,11S,12R</v>
      </c>
      <c r="U13" s="4">
        <f t="shared" si="14"/>
        <v>320.74481156665701</v>
      </c>
      <c r="V13" s="4">
        <f t="shared" si="15"/>
        <v>247.86771891187576</v>
      </c>
      <c r="W13" s="4">
        <f>Planet(Panchanga!$G13,4)</f>
        <v>291.85290950510444</v>
      </c>
      <c r="X13" s="4">
        <f>Planet(Panchanga!$G13,2)</f>
        <v>325.86385381855393</v>
      </c>
      <c r="Y13" s="4">
        <f>Planet(Panchanga!$G13,5)</f>
        <v>17.824535135528727</v>
      </c>
      <c r="Z13" s="4">
        <f>Planet(Panchanga!$G13,3)</f>
        <v>297.29795920209182</v>
      </c>
      <c r="AA13" s="4">
        <f>Planet(Panchanga!$G13,6)</f>
        <v>316.2126327861917</v>
      </c>
      <c r="AB13" s="4">
        <f>Planet(Panchanga!$G13,10)</f>
        <v>353.29256582122326</v>
      </c>
      <c r="AC13" s="4" t="str">
        <f>TEXT(Panchanga!$C13+($C14-Panchanga!$C13)/ABS(IF($R14&lt;1,$R14+30,$R14)-Panchanga!$R13)*(ROUNDUP(Panchanga!$R13,0)-Panchanga!$R13),"hh:mm AM/PM")</f>
        <v>08:02 AM</v>
      </c>
      <c r="AD13" s="4"/>
    </row>
    <row r="14" spans="1:30" x14ac:dyDescent="0.2">
      <c r="A14" s="3">
        <f t="shared" si="18"/>
        <v>45357</v>
      </c>
      <c r="B14" s="3">
        <f t="shared" si="16"/>
        <v>45357.229166666664</v>
      </c>
      <c r="C14" s="6">
        <f t="shared" si="12"/>
        <v>45357.266416445993</v>
      </c>
      <c r="D14" s="6">
        <f>sunset(Lat,Long,B14)+TimeZone/24-0.000277777777777778</f>
        <v>45356.762474825184</v>
      </c>
      <c r="E14" s="6">
        <f>PlanetRiseSet(Lat,Long,B14,1,1)+TimeZone/24+0.00103009259259259</f>
        <v>45357.115358417075</v>
      </c>
      <c r="F14" s="6">
        <f>PlanetRiseSet(Lat,Long,B14+1,1,2)+TimeZone/24+0.00103009259259259</f>
        <v>45357.594161653113</v>
      </c>
      <c r="G14" s="7">
        <f>Panchanga!$C14-TimeZone/24</f>
        <v>45357.037249779329</v>
      </c>
      <c r="H14" s="8" t="str">
        <f>INT(P[[#This Row],[Sun]]/30)&amp;"s"&amp;ROUNDUP(MOD(P[[#This Row],[Sun]],30),2)</f>
        <v>10s21.75</v>
      </c>
      <c r="I14" s="13" t="str">
        <f>INT(P[[#This Row],[Moon]]/30)&amp;"s"&amp;ROUNDUP(MOD(P[[#This Row],[Moon]],30),2)</f>
        <v>8s21.68</v>
      </c>
      <c r="J14" s="14">
        <f t="shared" si="17"/>
        <v>45357.037249779329</v>
      </c>
      <c r="K14" s="10" t="str">
        <f>naks(P[[#This Row],[Moon]])</f>
        <v>Purva Asadha</v>
      </c>
      <c r="L14" s="6">
        <f>(C15-P[[#This Row],[SunRise]])/(MOD(360+V15-P[[#This Row],[Moon]],360))*(13.3333333333333-MOD(P[[#This Row],[Moon]],13.333333333333))+P[[#This Row],[SunRise]]</f>
        <v>45357.615789034171</v>
      </c>
      <c r="M14" s="4" t="str">
        <f>IF(Panchanga!$R14&gt;15,"K","S")&amp;ROUNDUP(MOD(Panchanga!$R14,15),0)&amp;" ("&amp;ROUND(Panchanga!$R14,2)&amp;")"</f>
        <v>K10 (24.99)</v>
      </c>
      <c r="N14" s="4">
        <f>IF(AND(Panchanga!$R14&lt;28.5,Panchanga!$R14&gt;0.49999),MOD((Panchanga!$R14-0.5)*2,7),MOD((Panchanga!$R14+30-28.5),30)*2+7)</f>
        <v>6.9885999999999981</v>
      </c>
      <c r="O14" s="4" t="str">
        <f>CHOOSE(ROUNDUP(Panchanga!$N14,0),"Bhava","Baalava","Kaulava","Taitula","Garija","Vanija","Vishti","Shakuni","Chatushapda","Naaga","Kimstugna")</f>
        <v>Vishti</v>
      </c>
      <c r="P14" s="11" t="str">
        <f>CHOOSE(ROUNDUP(Panchanga!$S14,0),"viṣkambha","prīti","āyuṣmāna","saubhāgya","śobhana","atigaṇḍa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("&amp;Panchanga!$S14&amp;")"</f>
        <v>vyatipāta (16.76)</v>
      </c>
      <c r="Q14" s="4">
        <f>IF(AND(Panchanga!$R14&lt;28.5,Panchanga!$R14&gt;0.49999),MOD((Panchanga!$R14-0.5)*2,7),MOD((Panchanga!$R14+30-28.5),30)*2+7)</f>
        <v>6.9885999999999981</v>
      </c>
      <c r="R14" s="4">
        <f>ROUNDUP(MOD(360+P[[#This Row],[Moon]]-P[[#This Row],[Sun]],360)/12,4)</f>
        <v>24.994299999999999</v>
      </c>
      <c r="S14" s="4">
        <f>ROUNDUP(MOD(P[[#This Row],[Sun]]+P[[#This Row],[Moon]],360)/13.333333333,2)</f>
        <v>16.760000000000002</v>
      </c>
      <c r="T14" s="4" t="str">
        <f>SIGN(W15-Panchanga!$W14)*INT(Panchanga!$W14/30+1)&amp;"Ma,"&amp;SIGN(X15-Panchanga!$X14)*INT(Panchanga!$X14/30+1)&amp;"Me,"&amp;SIGN(Y15-Panchanga!$Y14)*INT(Panchanga!$Y14/30+1)&amp;"J, "&amp;SIGN(Z15-Panchanga!$Z14)*INT(Panchanga!$Z14/30+1)&amp;"V,"&amp;SIGN(AA15-Panchanga!$AA14)*INT(Panchanga!$AA14/30+1)&amp;"S,"&amp;INT(Panchanga!$AB14/30+1)&amp;"R"</f>
        <v>10Ma,11Me,1J, 10V,11S,12R</v>
      </c>
      <c r="U14" s="4">
        <f t="shared" si="14"/>
        <v>321.74605843549659</v>
      </c>
      <c r="V14" s="4">
        <f t="shared" si="15"/>
        <v>261.67667925607822</v>
      </c>
      <c r="W14" s="4">
        <f>Planet(Panchanga!$G14,4)</f>
        <v>292.62832001792293</v>
      </c>
      <c r="X14" s="4">
        <f>Planet(Panchanga!$G14,2)</f>
        <v>327.80003009590115</v>
      </c>
      <c r="Y14" s="4">
        <f>Planet(Panchanga!$G14,5)</f>
        <v>18.003232204772566</v>
      </c>
      <c r="Z14" s="4">
        <f>Planet(Panchanga!$G14,3)</f>
        <v>298.53548558382579</v>
      </c>
      <c r="AA14" s="4">
        <f>Planet(Panchanga!$G14,6)</f>
        <v>316.33446990684752</v>
      </c>
      <c r="AB14" s="4">
        <f>Planet(Panchanga!$G14,10)</f>
        <v>353.23959599853509</v>
      </c>
      <c r="AC14" s="4" t="str">
        <f>TEXT(Panchanga!$C14+($C15-Panchanga!$C14)/ABS(IF($R15&lt;1,$R15+30,$R15)-Panchanga!$R14)*(ROUNDUP(Panchanga!$R14,0)-Panchanga!$R14),"hh:mm AM/PM")</f>
        <v>06:31 AM</v>
      </c>
      <c r="AD14" s="4"/>
    </row>
    <row r="15" spans="1:30" x14ac:dyDescent="0.2">
      <c r="A15" s="3">
        <f t="shared" si="18"/>
        <v>45358</v>
      </c>
      <c r="B15" s="3">
        <f t="shared" si="16"/>
        <v>45358.229166666664</v>
      </c>
      <c r="C15" s="6">
        <f t="shared" si="12"/>
        <v>45358.265993036483</v>
      </c>
      <c r="D15" s="6">
        <f>sunset(Lat,Long,B15)+TimeZone/24-0.000277777777777778</f>
        <v>45357.762572947002</v>
      </c>
      <c r="E15" s="6">
        <f>PlanetRiseSet(Lat,Long,B15,1,1)+TimeZone/24+0.00103009259259259</f>
        <v>45358.155645814877</v>
      </c>
      <c r="F15" s="6">
        <f>PlanetRiseSet(Lat,Long,B15+1,1,2)+TimeZone/24+0.00103009259259259</f>
        <v>45358.639107865434</v>
      </c>
      <c r="G15" s="7">
        <f>Panchanga!$C15-TimeZone/24</f>
        <v>45358.036826369818</v>
      </c>
      <c r="H15" s="8" t="str">
        <f>INT(P[[#This Row],[Sun]]/30)&amp;"s"&amp;ROUNDUP(MOD(P[[#This Row],[Sun]],30),2)</f>
        <v>10s22.75</v>
      </c>
      <c r="I15" s="13" t="str">
        <f>INT(P[[#This Row],[Moon]]/30)&amp;"s"&amp;ROUNDUP(MOD(P[[#This Row],[Moon]],30),2)</f>
        <v>9s5.96</v>
      </c>
      <c r="J15" s="14">
        <f t="shared" si="17"/>
        <v>45358.036826369818</v>
      </c>
      <c r="K15" s="10" t="str">
        <f>naks(P[[#This Row],[Moon]])</f>
        <v>Uttara Asadha</v>
      </c>
      <c r="L15" s="6">
        <f>(C16-P[[#This Row],[SunRise]])/(MOD(360+V16-P[[#This Row],[Moon]],360))*(13.3333333333333-MOD(P[[#This Row],[Moon]],13.333333333333))+P[[#This Row],[SunRise]]</f>
        <v>45358.541138064786</v>
      </c>
      <c r="M15" s="4" t="str">
        <f>IF(Panchanga!$R15&gt;15,"K","S")&amp;ROUNDUP(MOD(Panchanga!$R15,15),0)&amp;" ("&amp;ROUND(Panchanga!$R15,2)&amp;")"</f>
        <v>K12 (26.1)</v>
      </c>
      <c r="N15" s="4">
        <f>IF(AND(Panchanga!$R15&lt;28.5,Panchanga!$R15&gt;0.49999),MOD((Panchanga!$R15-0.5)*2,7),MOD((Panchanga!$R15+30-28.5),30)*2+7)</f>
        <v>2.2012</v>
      </c>
      <c r="O15" s="4" t="str">
        <f>CHOOSE(ROUNDUP(Panchanga!$N15,0),"Bhava","Baalava","Kaulava","Taitula","Garija","Vanija","Vishti","Shakuni","Chatushapda","Naaga","Kimstugna")</f>
        <v>Kaulava</v>
      </c>
      <c r="P15" s="11" t="str">
        <f>CHOOSE(ROUNDUP(Panchanga!$S15,0),"viṣkambha","prīti","āyuṣmāna","saubhāgya","śobhana","atigaṇḍa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("&amp;Panchanga!$S15&amp;")"</f>
        <v>varīyas (17.91)</v>
      </c>
      <c r="Q15" s="4">
        <f>IF(AND(Panchanga!$R15&lt;28.5,Panchanga!$R15&gt;0.49999),MOD((Panchanga!$R15-0.5)*2,7),MOD((Panchanga!$R15+30-28.5),30)*2+7)</f>
        <v>2.2012</v>
      </c>
      <c r="R15" s="4">
        <f>ROUNDUP(MOD(360+P[[#This Row],[Moon]]-P[[#This Row],[Sun]],360)/12,4)</f>
        <v>26.1006</v>
      </c>
      <c r="S15" s="4">
        <f>ROUNDUP(MOD(P[[#This Row],[Sun]]+P[[#This Row],[Moon]],360)/13.333333333,2)</f>
        <v>17.91</v>
      </c>
      <c r="T15" s="4" t="str">
        <f>SIGN(W16-Panchanga!$W15)*INT(Panchanga!$W15/30+1)&amp;"Ma,"&amp;SIGN(X16-Panchanga!$X15)*INT(Panchanga!$X15/30+1)&amp;"Me,"&amp;SIGN(Y16-Panchanga!$Y15)*INT(Panchanga!$Y15/30+1)&amp;"J, "&amp;SIGN(Z16-Panchanga!$Z15)*INT(Panchanga!$Z15/30+1)&amp;"V,"&amp;SIGN(AA16-Panchanga!$AA15)*INT(Panchanga!$AA15/30+1)&amp;"S,"&amp;INT(Panchanga!$AB15/30+1)&amp;"R"</f>
        <v>10Ma,11Me,1J, 10V,11S,12R</v>
      </c>
      <c r="U15" s="4">
        <f t="shared" si="14"/>
        <v>322.74686210240037</v>
      </c>
      <c r="V15" s="4">
        <f t="shared" si="15"/>
        <v>275.95334196866798</v>
      </c>
      <c r="W15" s="4">
        <f>Planet(Panchanga!$G15,4)</f>
        <v>293.40399139257585</v>
      </c>
      <c r="X15" s="4">
        <f>Planet(Panchanga!$G15,2)</f>
        <v>329.74015968369838</v>
      </c>
      <c r="Y15" s="4">
        <f>Planet(Panchanga!$G15,5)</f>
        <v>18.183652615952067</v>
      </c>
      <c r="Z15" s="4">
        <f>Planet(Panchanga!$G15,3)</f>
        <v>299.77302945561604</v>
      </c>
      <c r="AA15" s="4">
        <f>Planet(Panchanga!$G15,6)</f>
        <v>316.45619998409882</v>
      </c>
      <c r="AB15" s="4">
        <f>Planet(Panchanga!$G15,10)</f>
        <v>353.18662644835666</v>
      </c>
      <c r="AC15" s="4" t="str">
        <f>TEXT(Panchanga!$C15+($C16-Panchanga!$C15)/ABS(IF($R16&lt;1,$R16+30,$R16)-Panchanga!$R15)*(ROUNDUP(Panchanga!$R15,0)-Panchanga!$R15),"hh:mm AM/PM")</f>
        <v>01:16 AM</v>
      </c>
      <c r="AD15" s="4"/>
    </row>
    <row r="16" spans="1:30" x14ac:dyDescent="0.2">
      <c r="A16" s="3">
        <f t="shared" si="18"/>
        <v>45359</v>
      </c>
      <c r="B16" s="3">
        <f t="shared" si="16"/>
        <v>45359.229166666664</v>
      </c>
      <c r="C16" s="6">
        <f t="shared" si="12"/>
        <v>45359.265564737994</v>
      </c>
      <c r="D16" s="6">
        <f>sunset(Lat,Long,B16)+TimeZone/24-0.000277777777777778</f>
        <v>45358.762667235962</v>
      </c>
      <c r="E16" s="6">
        <f>PlanetRiseSet(Lat,Long,B16,1,1)+TimeZone/24+0.00103009259259259</f>
        <v>45359.193412080094</v>
      </c>
      <c r="F16" s="6">
        <f>PlanetRiseSet(Lat,Long,B16+1,1,2)+TimeZone/24+0.00103009259259259</f>
        <v>45359.683694998421</v>
      </c>
      <c r="G16" s="7">
        <f>Panchanga!$C16-TimeZone/24</f>
        <v>45359.03639807133</v>
      </c>
      <c r="H16" s="8" t="str">
        <f>INT(P[[#This Row],[Sun]]/30)&amp;"s"&amp;ROUNDUP(MOD(P[[#This Row],[Sun]],30),2)</f>
        <v>10s23.75</v>
      </c>
      <c r="I16" s="13" t="str">
        <f>INT(P[[#This Row],[Moon]]/30)&amp;"s"&amp;ROUNDUP(MOD(P[[#This Row],[Moon]],30),2)</f>
        <v>9s20.66</v>
      </c>
      <c r="J16" s="14">
        <f t="shared" si="17"/>
        <v>45359.03639807133</v>
      </c>
      <c r="K16" s="10" t="str">
        <f>naks(P[[#This Row],[Moon]])</f>
        <v>Sravana</v>
      </c>
      <c r="L16" s="6">
        <f>(C17-P[[#This Row],[SunRise]])/(MOD(360+V17-P[[#This Row],[Moon]],360))*(13.3333333333333-MOD(P[[#This Row],[Moon]],13.333333333333))+P[[#This Row],[SunRise]]</f>
        <v>45359.443730490006</v>
      </c>
      <c r="M16" s="4" t="str">
        <f>IF(Panchanga!$R16&gt;15,"K","S")&amp;ROUNDUP(MOD(Panchanga!$R16,15),0)&amp;" ("&amp;ROUND(Panchanga!$R16,2)&amp;")"</f>
        <v>K13 (27.24)</v>
      </c>
      <c r="N16" s="4">
        <f>IF(AND(Panchanga!$R16&lt;28.5,Panchanga!$R16&gt;0.49999),MOD((Panchanga!$R16-0.5)*2,7),MOD((Panchanga!$R16+30-28.5),30)*2+7)</f>
        <v>4.4846000000000004</v>
      </c>
      <c r="O16" s="4" t="str">
        <f>CHOOSE(ROUNDUP(Panchanga!$N16,0),"Bhava","Baalava","Kaulava","Taitula","Garija","Vanija","Vishti","Shakuni","Chatushapda","Naaga","Kimstugna")</f>
        <v>Garija</v>
      </c>
      <c r="P16" s="11" t="str">
        <f>CHOOSE(ROUNDUP(Panchanga!$S16,0),"viṣkambha","prīti","āyuṣmāna","saubhāgya","śobhana","atigaṇḍa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("&amp;Panchanga!$S16&amp;")"</f>
        <v>śiva (19.09)</v>
      </c>
      <c r="Q16" s="4">
        <f>IF(AND(Panchanga!$R16&lt;28.5,Panchanga!$R16&gt;0.49999),MOD((Panchanga!$R16-0.5)*2,7),MOD((Panchanga!$R16+30-28.5),30)*2+7)</f>
        <v>4.4846000000000004</v>
      </c>
      <c r="R16" s="4">
        <f>ROUNDUP(MOD(360+P[[#This Row],[Moon]]-P[[#This Row],[Sun]],360)/12,4)</f>
        <v>27.2423</v>
      </c>
      <c r="S16" s="4">
        <f>ROUNDUP(MOD(P[[#This Row],[Sun]]+P[[#This Row],[Moon]],360)/13.333333333,2)</f>
        <v>19.09</v>
      </c>
      <c r="T16" s="4" t="str">
        <f>SIGN(W17-Panchanga!$W16)*INT(Panchanga!$W16/30+1)&amp;"Ma,"&amp;SIGN(X17-Panchanga!$X16)*INT(Panchanga!$X16/30+1)&amp;"Me,"&amp;SIGN(Y17-Panchanga!$Y16)*INT(Panchanga!$Y16/30+1)&amp;"J, "&amp;SIGN(Z17-Panchanga!$Z16)*INT(Panchanga!$Z16/30+1)&amp;"V,"&amp;SIGN(AA17-Panchanga!$AA16)*INT(Panchanga!$AA16/30+1)&amp;"S,"&amp;INT(Panchanga!$AB16/30+1)&amp;"R"</f>
        <v>10Ma,12Me,1J, 11V,11S,12R</v>
      </c>
      <c r="U16" s="4">
        <f t="shared" si="14"/>
        <v>323.74720865878521</v>
      </c>
      <c r="V16" s="4">
        <f t="shared" si="15"/>
        <v>290.65440663538311</v>
      </c>
      <c r="W16" s="4">
        <f>Planet(Panchanga!$G16,4)</f>
        <v>294.17990466682471</v>
      </c>
      <c r="X16" s="4">
        <f>Planet(Panchanga!$G16,2)</f>
        <v>331.68107180241009</v>
      </c>
      <c r="Y16" s="4">
        <f>Planet(Panchanga!$G16,5)</f>
        <v>18.36576778112725</v>
      </c>
      <c r="Z16" s="4">
        <f>Planet(Panchanga!$G16,3)</f>
        <v>301.01057523600514</v>
      </c>
      <c r="AA16" s="4">
        <f>Planet(Panchanga!$G16,6)</f>
        <v>316.5778031743418</v>
      </c>
      <c r="AB16" s="4">
        <f>Planet(Panchanga!$G16,10)</f>
        <v>353.13365715720079</v>
      </c>
      <c r="AC16" s="4" t="str">
        <f>TEXT(Panchanga!$C16+($C17-Panchanga!$C16)/ABS(IF($R17&lt;1,$R17+30,$R17)-Panchanga!$R16)*(ROUNDUP(Panchanga!$R16,0)-Panchanga!$R16),"hh:mm AM/PM")</f>
        <v>09:55 PM</v>
      </c>
      <c r="AD16" s="4"/>
    </row>
    <row r="17" spans="1:30" x14ac:dyDescent="0.2">
      <c r="A17" s="3">
        <f t="shared" si="18"/>
        <v>45360</v>
      </c>
      <c r="B17" s="3">
        <f t="shared" si="16"/>
        <v>45360.229166666664</v>
      </c>
      <c r="C17" s="6">
        <f t="shared" si="12"/>
        <v>45360.265131790809</v>
      </c>
      <c r="D17" s="6">
        <f>sunset(Lat,Long,B17)+TimeZone/24-0.000277777777777778</f>
        <v>45359.762757832694</v>
      </c>
      <c r="E17" s="6">
        <f>PlanetRiseSet(Lat,Long,B17,1,1)+TimeZone/24+0.00103009259259259</f>
        <v>45360.228333213519</v>
      </c>
      <c r="F17" s="6">
        <f>PlanetRiseSet(Lat,Long,B17+1,1,2)+TimeZone/24+0.00103009259259259</f>
        <v>45360.72699589996</v>
      </c>
      <c r="G17" s="7">
        <f>Panchanga!$C17-TimeZone/24</f>
        <v>45360.035965124145</v>
      </c>
      <c r="H17" s="8" t="str">
        <f>INT(P[[#This Row],[Sun]]/30)&amp;"s"&amp;ROUNDUP(MOD(P[[#This Row],[Sun]],30),2)</f>
        <v>10s24.75</v>
      </c>
      <c r="I17" s="13" t="str">
        <f>INT(P[[#This Row],[Moon]]/30)&amp;"s"&amp;ROUNDUP(MOD(P[[#This Row],[Moon]],30),2)</f>
        <v>10s5.69</v>
      </c>
      <c r="J17" s="14">
        <f t="shared" si="17"/>
        <v>45360.035965124145</v>
      </c>
      <c r="K17" s="10" t="str">
        <f>naks(P[[#This Row],[Moon]])</f>
        <v>Dhanistha</v>
      </c>
      <c r="L17" s="6">
        <f>(C18-P[[#This Row],[SunRise]])/(MOD(360+V18-P[[#This Row],[Moon]],360))*(13.3333333333333-MOD(P[[#This Row],[Moon]],13.333333333333))+P[[#This Row],[SunRise]]</f>
        <v>45360.329679133851</v>
      </c>
      <c r="M17" s="4" t="str">
        <f>IF(Panchanga!$R17&gt;15,"K","S")&amp;ROUNDUP(MOD(Panchanga!$R17,15),0)&amp;" ("&amp;ROUND(Panchanga!$R17,2)&amp;")"</f>
        <v>K14 (28.41)</v>
      </c>
      <c r="N17" s="4">
        <f>IF(AND(Panchanga!$R17&lt;28.5,Panchanga!$R17&gt;0.49999),MOD((Panchanga!$R17-0.5)*2,7),MOD((Panchanga!$R17+30-28.5),30)*2+7)</f>
        <v>6.8230000000000004</v>
      </c>
      <c r="O17" s="4" t="str">
        <f>CHOOSE(ROUNDUP(Panchanga!$N17,0),"Bhava","Baalava","Kaulava","Taitula","Garija","Vanija","Vishti","Shakuni","Chatushapda","Naaga","Kimstugna")</f>
        <v>Vishti</v>
      </c>
      <c r="P17" s="11" t="str">
        <f>CHOOSE(ROUNDUP(Panchanga!$S17,0),"viṣkambha","prīti","āyuṣmāna","saubhāgya","śobhana","atigaṇḍa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("&amp;Panchanga!$S17&amp;")"</f>
        <v>siddha (20.29)</v>
      </c>
      <c r="Q17" s="4">
        <f>IF(AND(Panchanga!$R17&lt;28.5,Panchanga!$R17&gt;0.49999),MOD((Panchanga!$R17-0.5)*2,7),MOD((Panchanga!$R17+30-28.5),30)*2+7)</f>
        <v>6.8230000000000004</v>
      </c>
      <c r="R17" s="4">
        <f>ROUNDUP(MOD(360+P[[#This Row],[Moon]]-P[[#This Row],[Sun]],360)/12,4)</f>
        <v>28.4115</v>
      </c>
      <c r="S17" s="4">
        <f>ROUNDUP(MOD(P[[#This Row],[Sun]]+P[[#This Row],[Moon]],360)/13.333333333,2)</f>
        <v>20.290000000000003</v>
      </c>
      <c r="T17" s="4" t="str">
        <f>SIGN(W18-Panchanga!$W17)*INT(Panchanga!$W17/30+1)&amp;"Ma,"&amp;SIGN(X18-Panchanga!$X17)*INT(Panchanga!$X17/30+1)&amp;"Me,"&amp;SIGN(Y18-Panchanga!$Y17)*INT(Panchanga!$Y17/30+1)&amp;"J, "&amp;SIGN(Z18-Panchanga!$Z17)*INT(Panchanga!$Z17/30+1)&amp;"V,"&amp;SIGN(AA18-Panchanga!$AA17)*INT(Panchanga!$AA17/30+1)&amp;"S,"&amp;INT(Panchanga!$AB17/30+1)&amp;"R"</f>
        <v>10Ma,12Me,1J, 11V,11S,12R</v>
      </c>
      <c r="U17" s="4">
        <f t="shared" si="14"/>
        <v>324.74707921556552</v>
      </c>
      <c r="V17" s="4">
        <f t="shared" si="15"/>
        <v>305.68404523822215</v>
      </c>
      <c r="W17" s="4">
        <f>Planet(Panchanga!$G17,4)</f>
        <v>294.95603911741352</v>
      </c>
      <c r="X17" s="4">
        <f>Planet(Panchanga!$G17,2)</f>
        <v>333.61904163642981</v>
      </c>
      <c r="Y17" s="4">
        <f>Planet(Panchanga!$G17,5)</f>
        <v>18.549548224808042</v>
      </c>
      <c r="Z17" s="4">
        <f>Planet(Panchanga!$G17,3)</f>
        <v>302.24810518537726</v>
      </c>
      <c r="AA17" s="4">
        <f>Planet(Panchanga!$G17,6)</f>
        <v>316.6992590780884</v>
      </c>
      <c r="AB17" s="4">
        <f>Planet(Panchanga!$G17,10)</f>
        <v>353.08068811245874</v>
      </c>
      <c r="AC17" s="4" t="str">
        <f>TEXT(Panchanga!$C17+($C18-Panchanga!$C17)/ABS(IF($R18&lt;1,$R18+30,$R18)-Panchanga!$R17)*(ROUNDUP(Panchanga!$R17,0)-Panchanga!$R17),"hh:mm AM/PM")</f>
        <v>06:16 PM</v>
      </c>
      <c r="AD17" s="4"/>
    </row>
    <row r="18" spans="1:30" x14ac:dyDescent="0.2">
      <c r="A18" s="3">
        <f t="shared" si="18"/>
        <v>45361</v>
      </c>
      <c r="B18" s="3">
        <f t="shared" si="16"/>
        <v>45361.229166666664</v>
      </c>
      <c r="C18" s="6">
        <f t="shared" si="12"/>
        <v>45361.264694425896</v>
      </c>
      <c r="D18" s="6">
        <f>sunset(Lat,Long,B18)+TimeZone/24-0.000277777777777778</f>
        <v>45360.762844868979</v>
      </c>
      <c r="E18" s="6">
        <f>PlanetRiseSet(Lat,Long,B18,1,1)+TimeZone/24+0.00103009259259259</f>
        <v>45361.260839479197</v>
      </c>
      <c r="F18" s="6">
        <f>PlanetRiseSet(Lat,Long,B18+1,1,2)+TimeZone/24+0.00103009259259259</f>
        <v>45361.76890862469</v>
      </c>
      <c r="G18" s="7">
        <f>Panchanga!$C18-TimeZone/24</f>
        <v>45361.035527759232</v>
      </c>
      <c r="H18" s="8" t="str">
        <f>INT(P[[#This Row],[Sun]]/30)&amp;"s"&amp;ROUNDUP(MOD(P[[#This Row],[Sun]],30),2)</f>
        <v>10s25.75</v>
      </c>
      <c r="I18" s="13" t="str">
        <f>INT(P[[#This Row],[Moon]]/30)&amp;"s"&amp;ROUNDUP(MOD(P[[#This Row],[Moon]],30),2)</f>
        <v>10s20.91</v>
      </c>
      <c r="J18" s="14">
        <f t="shared" si="17"/>
        <v>45361.035527759232</v>
      </c>
      <c r="K18" s="10" t="str">
        <f>naks(P[[#This Row],[Moon]])</f>
        <v>Purva Bhadrapada</v>
      </c>
      <c r="L18" s="6">
        <f>(C19-P[[#This Row],[SunRise]])/(MOD(360+V19-P[[#This Row],[Moon]],360))*(13.3333333333333-MOD(P[[#This Row],[Moon]],13.333333333333))+P[[#This Row],[SunRise]]</f>
        <v>45362.080369471019</v>
      </c>
      <c r="M18" s="4" t="str">
        <f>IF(Panchanga!$R18&gt;15,"K","S")&amp;ROUNDUP(MOD(Panchanga!$R18,15),0)&amp;" ("&amp;ROUND(Panchanga!$R18,2)&amp;")"</f>
        <v>K15 (29.6)</v>
      </c>
      <c r="N18" s="4">
        <f>IF(AND(Panchanga!$R18&lt;28.5,Panchanga!$R18&gt;0.49999),MOD((Panchanga!$R18-0.5)*2,7),MOD((Panchanga!$R18+30-28.5),30)*2+7)</f>
        <v>9.1923999999999921</v>
      </c>
      <c r="O18" s="4" t="str">
        <f>CHOOSE(ROUNDUP(Panchanga!$N18,0),"Bhava","Baalava","Kaulava","Taitula","Garija","Vanija","Vishti","Shakuni","Chatushapda","Naaga","Kimstugna")</f>
        <v>Naaga</v>
      </c>
      <c r="P18" s="11" t="str">
        <f>CHOOSE(ROUNDUP(Panchanga!$S18,0),"viṣkambha","prīti","āyuṣmāna","saubhāgya","śobhana","atigaṇḍa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("&amp;Panchanga!$S18&amp;")"</f>
        <v>sādhya (21.5)</v>
      </c>
      <c r="Q18" s="4">
        <f>IF(AND(Panchanga!$R18&lt;28.5,Panchanga!$R18&gt;0.49999),MOD((Panchanga!$R18-0.5)*2,7),MOD((Panchanga!$R18+30-28.5),30)*2+7)</f>
        <v>9.1923999999999921</v>
      </c>
      <c r="R18" s="4">
        <f>ROUNDUP(MOD(360+P[[#This Row],[Moon]]-P[[#This Row],[Sun]],360)/12,4)</f>
        <v>29.5962</v>
      </c>
      <c r="S18" s="4">
        <f>ROUNDUP(MOD(P[[#This Row],[Sun]]+P[[#This Row],[Moon]],360)/13.333333333,2)</f>
        <v>21.5</v>
      </c>
      <c r="T18" s="4" t="str">
        <f>SIGN(W19-Panchanga!$W18)*INT(Panchanga!$W18/30+1)&amp;"Ma,"&amp;SIGN(X19-Panchanga!$X18)*INT(Panchanga!$X18/30+1)&amp;"Me,"&amp;SIGN(Y19-Panchanga!$Y18)*INT(Panchanga!$Y18/30+1)&amp;"J, "&amp;SIGN(Z19-Panchanga!$Z18)*INT(Panchanga!$Z18/30+1)&amp;"V,"&amp;SIGN(AA19-Panchanga!$AA18)*INT(Panchanga!$AA18/30+1)&amp;"S,"&amp;INT(Panchanga!$AB18/30+1)&amp;"R"</f>
        <v>10Ma,12Me,1J, 11V,11S,12R</v>
      </c>
      <c r="U18" s="4">
        <f t="shared" si="14"/>
        <v>325.74645043460856</v>
      </c>
      <c r="V18" s="4">
        <f t="shared" si="15"/>
        <v>320.90065397940515</v>
      </c>
      <c r="W18" s="4">
        <f>Planet(Panchanga!$G18,4)</f>
        <v>295.73237294761952</v>
      </c>
      <c r="X18" s="4">
        <f>Planet(Panchanga!$G18,2)</f>
        <v>335.54975318822193</v>
      </c>
      <c r="Y18" s="4">
        <f>Planet(Panchanga!$G18,5)</f>
        <v>18.734963329779028</v>
      </c>
      <c r="Z18" s="4">
        <f>Planet(Panchanga!$G18,3)</f>
        <v>303.48560018027456</v>
      </c>
      <c r="AA18" s="4">
        <f>Planet(Panchanga!$G18,6)</f>
        <v>316.82054683711169</v>
      </c>
      <c r="AB18" s="4">
        <f>Planet(Panchanga!$G18,10)</f>
        <v>353.02771930175362</v>
      </c>
      <c r="AC18" s="4" t="str">
        <f>TEXT(Panchanga!$C18+($C19-Panchanga!$C18)/ABS(IF($R19&lt;1,$R19+30,$R19)-Panchanga!$R18)*(ROUNDUP(Panchanga!$R18,0)-Panchanga!$R18),"hh:mm AM/PM")</f>
        <v>02:31 PM</v>
      </c>
      <c r="AD18" s="4"/>
    </row>
    <row r="19" spans="1:30" x14ac:dyDescent="0.2">
      <c r="A19" s="3">
        <f t="shared" si="18"/>
        <v>45362</v>
      </c>
      <c r="B19" s="3">
        <f t="shared" si="16"/>
        <v>45362.229166666664</v>
      </c>
      <c r="C19" s="6">
        <f t="shared" si="12"/>
        <v>45362.264252867702</v>
      </c>
      <c r="D19" s="6">
        <f>sunset(Lat,Long,B19)+TimeZone/24-0.000277777777777778</f>
        <v>45361.76292846915</v>
      </c>
      <c r="E19" s="6">
        <f>PlanetRiseSet(Lat,Long,B19,1,1)+TimeZone/24+0.00103009259259259</f>
        <v>45362.29179780573</v>
      </c>
      <c r="F19" s="6">
        <f>PlanetRiseSet(Lat,Long,B19+1,1,2)+TimeZone/24+0.00103009259259259</f>
        <v>45362.809897346109</v>
      </c>
      <c r="G19" s="7">
        <f>Panchanga!$C19-TimeZone/24</f>
        <v>45362.035086201038</v>
      </c>
      <c r="H19" s="8" t="str">
        <f>INT(P[[#This Row],[Sun]]/30)&amp;"s"&amp;ROUNDUP(MOD(P[[#This Row],[Sun]],30),2)</f>
        <v>10s26.75</v>
      </c>
      <c r="I19" s="13" t="str">
        <f>INT(P[[#This Row],[Moon]]/30)&amp;"s"&amp;ROUNDUP(MOD(P[[#This Row],[Moon]],30),2)</f>
        <v>11s6.14</v>
      </c>
      <c r="J19" s="14">
        <f t="shared" si="17"/>
        <v>45362.035086201038</v>
      </c>
      <c r="K19" s="10" t="str">
        <f>naks(P[[#This Row],[Moon]])</f>
        <v>Uttara Bhadrapada</v>
      </c>
      <c r="L19" s="6">
        <f>(C20-P[[#This Row],[SunRise]])/(MOD(360+V20-P[[#This Row],[Moon]],360))*(13.3333333333333-MOD(P[[#This Row],[Moon]],13.333333333333))+P[[#This Row],[SunRise]]</f>
        <v>45362.961948512988</v>
      </c>
      <c r="M19" s="4" t="str">
        <f>IF(Panchanga!$R19&gt;15,"K","S")&amp;ROUNDUP(MOD(Panchanga!$R19,15),0)&amp;" ("&amp;ROUND(Panchanga!$R19,2)&amp;")"</f>
        <v>S1 (0.78)</v>
      </c>
      <c r="N19" s="4">
        <f>IF(AND(Panchanga!$R19&lt;28.5,Panchanga!$R19&gt;0.49999),MOD((Panchanga!$R19-0.5)*2,7),MOD((Panchanga!$R19+30-28.5),30)*2+7)</f>
        <v>0.56519999999999992</v>
      </c>
      <c r="O19" s="4" t="str">
        <f>CHOOSE(ROUNDUP(Panchanga!$N19,0),"Bhava","Baalava","Kaulava","Taitula","Garija","Vanija","Vishti","Shakuni","Chatushapda","Naaga","Kimstugna")</f>
        <v>Bhava</v>
      </c>
      <c r="P19" s="11" t="str">
        <f>CHOOSE(ROUNDUP(Panchanga!$S19,0),"viṣkambha","prīti","āyuṣmāna","saubhāgya","śobhana","atigaṇḍa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("&amp;Panchanga!$S19&amp;")"</f>
        <v>śubha (22.72)</v>
      </c>
      <c r="Q19" s="4">
        <f>IF(AND(Panchanga!$R19&lt;28.5,Panchanga!$R19&gt;0.49999),MOD((Panchanga!$R19-0.5)*2,7),MOD((Panchanga!$R19+30-28.5),30)*2+7)</f>
        <v>0.56519999999999992</v>
      </c>
      <c r="R19" s="4">
        <f>ROUNDUP(MOD(360+P[[#This Row],[Moon]]-P[[#This Row],[Sun]],360)/12,4)</f>
        <v>0.78259999999999996</v>
      </c>
      <c r="S19" s="4">
        <f>ROUNDUP(MOD(P[[#This Row],[Sun]]+P[[#This Row],[Moon]],360)/13.333333333,2)</f>
        <v>22.720000000000002</v>
      </c>
      <c r="T19" s="4" t="str">
        <f>SIGN(W20-Panchanga!$W19)*INT(Panchanga!$W19/30+1)&amp;"Ma,"&amp;SIGN(X20-Panchanga!$X19)*INT(Panchanga!$X19/30+1)&amp;"Me,"&amp;SIGN(Y20-Panchanga!$Y19)*INT(Panchanga!$Y19/30+1)&amp;"J, "&amp;SIGN(Z20-Panchanga!$Z19)*INT(Panchanga!$Z19/30+1)&amp;"V,"&amp;SIGN(AA20-Panchanga!$AA19)*INT(Panchanga!$AA19/30+1)&amp;"S,"&amp;INT(Panchanga!$AB19/30+1)&amp;"R"</f>
        <v>10Ma,12Me,1J, 11V,11S,12R</v>
      </c>
      <c r="U19" s="4">
        <f t="shared" si="14"/>
        <v>326.74529602100716</v>
      </c>
      <c r="V19" s="4">
        <f t="shared" si="15"/>
        <v>336.13612020671519</v>
      </c>
      <c r="W19" s="4">
        <f>Planet(Panchanga!$G19,4)</f>
        <v>296.50888433045941</v>
      </c>
      <c r="X19" s="4">
        <f>Planet(Panchanga!$G19,2)</f>
        <v>337.4682756174617</v>
      </c>
      <c r="Y19" s="4">
        <f>Planet(Panchanga!$G19,5)</f>
        <v>18.921981248905436</v>
      </c>
      <c r="Z19" s="4">
        <f>Planet(Panchanga!$G19,3)</f>
        <v>304.72304096657882</v>
      </c>
      <c r="AA19" s="4">
        <f>Planet(Panchanga!$G19,6)</f>
        <v>316.9416453435125</v>
      </c>
      <c r="AB19" s="4">
        <f>Planet(Panchanga!$G19,10)</f>
        <v>352.97475071328836</v>
      </c>
      <c r="AC19" s="4" t="str">
        <f>TEXT(Panchanga!$C19+($C20-Panchanga!$C19)/ABS(IF($R20&lt;1,$R20+30,$R20)-Panchanga!$R19)*(ROUNDUP(Panchanga!$R19,0)-Panchanga!$R19),"hh:mm AM/PM")</f>
        <v>10:47 AM</v>
      </c>
      <c r="AD19" s="4"/>
    </row>
    <row r="20" spans="1:30" x14ac:dyDescent="0.2">
      <c r="A20" s="3">
        <f t="shared" si="18"/>
        <v>45363</v>
      </c>
      <c r="B20" s="3">
        <f t="shared" si="16"/>
        <v>45363.229166666664</v>
      </c>
      <c r="C20" s="6">
        <f t="shared" si="12"/>
        <v>45363.263807341144</v>
      </c>
      <c r="D20" s="6">
        <f>sunset(Lat,Long,B20)+TimeZone/24-0.000277777777777778</f>
        <v>45362.763008756141</v>
      </c>
      <c r="E20" s="6">
        <f>PlanetRiseSet(Lat,Long,B20,1,1)+TimeZone/24+0.00103009259259259</f>
        <v>45363.322236870568</v>
      </c>
      <c r="F20" s="6">
        <f>PlanetRiseSet(Lat,Long,B20+1,1,2)+TimeZone/24+0.00103009259259259</f>
        <v>45363.850642779529</v>
      </c>
      <c r="G20" s="7">
        <f>Panchanga!$C20-TimeZone/24</f>
        <v>45363.034640674479</v>
      </c>
      <c r="H20" s="8" t="str">
        <f>INT(P[[#This Row],[Sun]]/30)&amp;"s"&amp;ROUNDUP(MOD(P[[#This Row],[Sun]],30),2)</f>
        <v>10s27.75</v>
      </c>
      <c r="I20" s="16" t="str">
        <f>INT(P[[#This Row],[Moon]]/30)&amp;"s"&amp;ROUNDUP(MOD(P[[#This Row],[Moon]],30),2)</f>
        <v>11s21.23</v>
      </c>
      <c r="J20" s="14">
        <f t="shared" si="17"/>
        <v>45363.034640674479</v>
      </c>
      <c r="K20" s="10" t="str">
        <f>naks(P[[#This Row],[Moon]])</f>
        <v>Revati</v>
      </c>
      <c r="L20" s="6">
        <f>(C21-P[[#This Row],[SunRise]])/(MOD(360+V21-P[[#This Row],[Moon]],360))*(13.3333333333333-MOD(P[[#This Row],[Moon]],13.333333333333))+P[[#This Row],[SunRise]]</f>
        <v>45363.856747950464</v>
      </c>
      <c r="M20" s="4" t="str">
        <f>IF(Panchanga!$R20&gt;15,"K","S")&amp;ROUNDUP(MOD(Panchanga!$R20,15),0)&amp;" ("&amp;ROUND(Panchanga!$R20,2)&amp;")"</f>
        <v>S2 (1.96)</v>
      </c>
      <c r="N20" s="4">
        <f>IF(AND(Panchanga!$R20&lt;28.5,Panchanga!$R20&gt;0.49999),MOD((Panchanga!$R20-0.5)*2,7),MOD((Panchanga!$R20+30-28.5),30)*2+7)</f>
        <v>2.9131999999999998</v>
      </c>
      <c r="O20" s="4" t="str">
        <f>CHOOSE(ROUNDUP(Panchanga!$N20,0),"Bhava","Baalava","Kaulava","Taitula","Garija","Vanija","Vishti","Shakuni","Chatushapda","Naaga","Kimstugna")</f>
        <v>Kaulava</v>
      </c>
      <c r="P20" s="11" t="str">
        <f>CHOOSE(ROUNDUP(Panchanga!$S20,0),"viṣkambha","prīti","āyuṣmāna","saubhāgya","śobhana","atigaṇḍa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("&amp;Panchanga!$S20&amp;")"</f>
        <v>śukla (23.93)</v>
      </c>
      <c r="Q20" s="4">
        <f>IF(AND(Panchanga!$R20&lt;28.5,Panchanga!$R20&gt;0.49999),MOD((Panchanga!$R20-0.5)*2,7),MOD((Panchanga!$R20+30-28.5),30)*2+7)</f>
        <v>2.9131999999999998</v>
      </c>
      <c r="R20" s="4">
        <f>ROUNDUP(MOD(360+P[[#This Row],[Moon]]-P[[#This Row],[Sun]],360)/12,4)</f>
        <v>1.9565999999999999</v>
      </c>
      <c r="S20" s="4">
        <f>ROUNDUP(MOD(P[[#This Row],[Sun]]+P[[#This Row],[Moon]],360)/13.333333333,2)</f>
        <v>23.930000000000003</v>
      </c>
      <c r="T20" s="4" t="str">
        <f>SIGN(W21-Panchanga!$W20)*INT(Panchanga!$W20/30+1)&amp;"Ma,"&amp;SIGN(X21-Panchanga!$X20)*INT(Panchanga!$X20/30+1)&amp;"Me,"&amp;SIGN(Y21-Panchanga!$Y20)*INT(Panchanga!$Y20/30+1)&amp;"J, "&amp;SIGN(Z21-Panchanga!$Z20)*INT(Panchanga!$Z20/30+1)&amp;"V,"&amp;SIGN(AA21-Panchanga!$AA20)*INT(Panchanga!$AA20/30+1)&amp;"S,"&amp;INT(Panchanga!$AB20/30+1)&amp;"R"</f>
        <v>10Ma,12Me,1J, 11V,11S,12R</v>
      </c>
      <c r="U20" s="4">
        <f t="shared" si="14"/>
        <v>327.74358903029133</v>
      </c>
      <c r="V20" s="4">
        <f t="shared" si="15"/>
        <v>351.2227197762345</v>
      </c>
      <c r="W20" s="4">
        <f>Planet(Panchanga!$G20,4)</f>
        <v>297.28555261432922</v>
      </c>
      <c r="X20" s="4">
        <f>Planet(Panchanga!$G20,2)</f>
        <v>339.36905786923887</v>
      </c>
      <c r="Y20" s="4">
        <f>Planet(Panchanga!$G20,5)</f>
        <v>19.110569055767836</v>
      </c>
      <c r="Z20" s="4">
        <f>Planet(Panchanga!$G20,3)</f>
        <v>305.96040968120633</v>
      </c>
      <c r="AA20" s="4">
        <f>Planet(Panchanga!$G20,6)</f>
        <v>317.06253352185024</v>
      </c>
      <c r="AB20" s="4">
        <f>Planet(Panchanga!$G20,10)</f>
        <v>352.92178233510037</v>
      </c>
      <c r="AC20" s="4" t="str">
        <f>TEXT(Panchanga!$C20+($C21-Panchanga!$C20)/ABS(IF($R21&lt;1,$R21+30,$R21)-Panchanga!$R20)*(ROUNDUP(Panchanga!$R20,0)-Panchanga!$R20),"hh:mm AM/PM")</f>
        <v>07:14 AM</v>
      </c>
      <c r="AD20" s="4"/>
    </row>
    <row r="21" spans="1:30" x14ac:dyDescent="0.2">
      <c r="A21" s="3">
        <f t="shared" si="18"/>
        <v>45364</v>
      </c>
      <c r="B21" s="3">
        <f t="shared" si="16"/>
        <v>45364.229166666664</v>
      </c>
      <c r="C21" s="6">
        <f t="shared" si="12"/>
        <v>45364.263358074859</v>
      </c>
      <c r="D21" s="6">
        <f>sunset(Lat,Long,B21)+TimeZone/24-0.000277777777777778</f>
        <v>45363.763085856612</v>
      </c>
      <c r="E21" s="6">
        <f>PlanetRiseSet(Lat,Long,B21,1,1)+TimeZone/24+0.00103009259259259</f>
        <v>45364.353176456098</v>
      </c>
      <c r="F21" s="6">
        <f>PlanetRiseSet(Lat,Long,B21+1,1,2)+TimeZone/24+0.00103009259259259</f>
        <v>45364.89173448753</v>
      </c>
      <c r="G21" s="7">
        <f>Panchanga!$C21-TimeZone/24</f>
        <v>45364.034191408195</v>
      </c>
      <c r="H21" s="8" t="str">
        <f>INT(P[[#This Row],[Sun]]/30)&amp;"s"&amp;ROUNDUP(MOD(P[[#This Row],[Sun]],30),2)</f>
        <v>10s28.75</v>
      </c>
      <c r="I21" s="13" t="str">
        <f>INT(P[[#This Row],[Moon]]/30)&amp;"s"&amp;ROUNDUP(MOD(P[[#This Row],[Moon]],30),2)</f>
        <v>0s6.02</v>
      </c>
      <c r="J21" s="14">
        <f t="shared" si="17"/>
        <v>45364.034191408195</v>
      </c>
      <c r="K21" s="10" t="str">
        <f>naks(P[[#This Row],[Moon]])</f>
        <v>Aswini</v>
      </c>
      <c r="L21" s="6">
        <f>(C22-P[[#This Row],[SunRise]])/(MOD(360+V22-P[[#This Row],[Moon]],360))*(13.3333333333333-MOD(P[[#This Row],[Moon]],13.333333333333))+P[[#This Row],[SunRise]]</f>
        <v>45364.770780338768</v>
      </c>
      <c r="M21" s="4" t="str">
        <f>IF(Panchanga!$R21&gt;15,"K","S")&amp;ROUNDUP(MOD(Panchanga!$R21,15),0)&amp;" ("&amp;ROUND(Panchanga!$R21,2)&amp;")"</f>
        <v>S4 (3.11)</v>
      </c>
      <c r="N21" s="4">
        <f>IF(AND(Panchanga!$R21&lt;28.5,Panchanga!$R21&gt;0.49999),MOD((Panchanga!$R21-0.5)*2,7),MOD((Panchanga!$R21+30-28.5),30)*2+7)</f>
        <v>5.2130000000000001</v>
      </c>
      <c r="O21" s="4" t="str">
        <f>CHOOSE(ROUNDUP(Panchanga!$N21,0),"Bhava","Baalava","Kaulava","Taitula","Garija","Vanija","Vishti","Shakuni","Chatushapda","Naaga","Kimstugna")</f>
        <v>Vanija</v>
      </c>
      <c r="P21" s="11" t="str">
        <f>CHOOSE(ROUNDUP(Panchanga!$S21,0),"viṣkambha","prīti","āyuṣmāna","saubhāgya","śobhana","atigaṇḍa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("&amp;Panchanga!$S21&amp;")"</f>
        <v>mahendra (25.11)</v>
      </c>
      <c r="Q21" s="4">
        <f>IF(AND(Panchanga!$R21&lt;28.5,Panchanga!$R21&gt;0.49999),MOD((Panchanga!$R21-0.5)*2,7),MOD((Panchanga!$R21+30-28.5),30)*2+7)</f>
        <v>5.2130000000000001</v>
      </c>
      <c r="R21" s="4">
        <f>ROUNDUP(MOD(360+P[[#This Row],[Moon]]-P[[#This Row],[Sun]],360)/12,4)</f>
        <v>3.1065</v>
      </c>
      <c r="S21" s="4">
        <f>ROUNDUP(MOD(P[[#This Row],[Sun]]+P[[#This Row],[Moon]],360)/13.333333333,2)</f>
        <v>25.110000000000003</v>
      </c>
      <c r="T21" s="4" t="str">
        <f>SIGN(W22-Panchanga!$W21)*INT(Panchanga!$W21/30+1)&amp;"Ma,"&amp;SIGN(X22-Panchanga!$X21)*INT(Panchanga!$X21/30+1)&amp;"Me,"&amp;SIGN(Y22-Panchanga!$Y21)*INT(Panchanga!$Y21/30+1)&amp;"J, "&amp;SIGN(Z22-Panchanga!$Z21)*INT(Panchanga!$Z21/30+1)&amp;"V,"&amp;SIGN(AA22-Panchanga!$AA21)*INT(Panchanga!$AA21/30+1)&amp;"S,"&amp;INT(Panchanga!$AB21/30+1)&amp;"R"</f>
        <v>10Ma,12Me,1J, 11V,11S,12R</v>
      </c>
      <c r="U21" s="4">
        <f t="shared" si="14"/>
        <v>328.74130442314424</v>
      </c>
      <c r="V21" s="4">
        <f t="shared" si="15"/>
        <v>6.0190362196992444</v>
      </c>
      <c r="W21" s="4">
        <f>Planet(Panchanga!$G21,4)</f>
        <v>298.06235935802079</v>
      </c>
      <c r="X21" s="4">
        <f>Planet(Panchanga!$G21,2)</f>
        <v>341.24594588685414</v>
      </c>
      <c r="Y21" s="4">
        <f>Planet(Panchanga!$G21,5)</f>
        <v>19.300693125100167</v>
      </c>
      <c r="Z21" s="4">
        <f>Planet(Panchanga!$G21,3)</f>
        <v>307.19769121573637</v>
      </c>
      <c r="AA21" s="4">
        <f>Planet(Panchanga!$G21,6)</f>
        <v>317.18319062168337</v>
      </c>
      <c r="AB21" s="4">
        <f>Planet(Panchanga!$G21,10)</f>
        <v>352.86881415514409</v>
      </c>
      <c r="AC21" s="4" t="str">
        <f>TEXT(Panchanga!$C21+($C22-Panchanga!$C21)/ABS(IF($R22&lt;1,$R22+30,$R22)-Panchanga!$R21)*(ROUNDUP(Panchanga!$R21,0)-Panchanga!$R21),"hh:mm AM/PM")</f>
        <v>01:29 AM</v>
      </c>
      <c r="AD21" s="4"/>
    </row>
    <row r="22" spans="1:30" x14ac:dyDescent="0.2">
      <c r="A22" s="3">
        <f t="shared" si="18"/>
        <v>45365</v>
      </c>
      <c r="B22" s="3">
        <f t="shared" si="16"/>
        <v>45365.229166666664</v>
      </c>
      <c r="C22" s="6">
        <f t="shared" si="12"/>
        <v>45365.262905310527</v>
      </c>
      <c r="D22" s="6">
        <f>sunset(Lat,Long,B22)+TimeZone/24-0.000277777777777778</f>
        <v>45364.763159908398</v>
      </c>
      <c r="E22" s="6">
        <f>PlanetRiseSet(Lat,Long,B22,1,1)+TimeZone/24+0.00103009259259259</f>
        <v>45365.385501802586</v>
      </c>
      <c r="F22" s="6">
        <f>PlanetRiseSet(Lat,Long,B22+1,1,2)+TimeZone/24+0.00103009259259259</f>
        <v>45365.93340917366</v>
      </c>
      <c r="G22" s="7">
        <f>Panchanga!$C22-TimeZone/24</f>
        <v>45365.033738643862</v>
      </c>
      <c r="H22" s="8" t="str">
        <f>INT(P[[#This Row],[Sun]]/30)&amp;"s"&amp;ROUNDUP(MOD(P[[#This Row],[Sun]],30),2)</f>
        <v>10s29.74</v>
      </c>
      <c r="I22" s="13" t="str">
        <f>INT(P[[#This Row],[Moon]]/30)&amp;"s"&amp;ROUNDUP(MOD(P[[#This Row],[Moon]],30),2)</f>
        <v>0s20.43</v>
      </c>
      <c r="J22" s="14">
        <f t="shared" si="17"/>
        <v>45365.033738643862</v>
      </c>
      <c r="K22" s="10" t="str">
        <f>naks(P[[#This Row],[Moon]])</f>
        <v>Bharani</v>
      </c>
      <c r="L22" s="6">
        <f>(C23-P[[#This Row],[SunRise]])/(MOD(360+V23-P[[#This Row],[Moon]],360))*(13.3333333333333-MOD(P[[#This Row],[Moon]],13.333333333333))+P[[#This Row],[SunRise]]</f>
        <v>45365.709320461268</v>
      </c>
      <c r="M22" s="4" t="str">
        <f>IF(Panchanga!$R22&gt;15,"K","S")&amp;ROUNDUP(MOD(Panchanga!$R22,15),0)&amp;" ("&amp;ROUND(Panchanga!$R22,2)&amp;")"</f>
        <v>S5 (4.22)</v>
      </c>
      <c r="N22" s="4">
        <f>IF(AND(Panchanga!$R22&lt;28.5,Panchanga!$R22&gt;0.49999),MOD((Panchanga!$R22-0.5)*2,7),MOD((Panchanga!$R22+30-28.5),30)*2+7)</f>
        <v>0.44819999999999993</v>
      </c>
      <c r="O22" s="4" t="str">
        <f>CHOOSE(ROUNDUP(Panchanga!$N22,0),"Bhava","Baalava","Kaulava","Taitula","Garija","Vanija","Vishti","Shakuni","Chatushapda","Naaga","Kimstugna")</f>
        <v>Bhava</v>
      </c>
      <c r="P22" s="11" t="str">
        <f>CHOOSE(ROUNDUP(Panchanga!$S22,0),"viṣkambha","prīti","āyuṣmāna","saubhāgya","śobhana","atigaṇḍa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("&amp;Panchanga!$S22&amp;")"</f>
        <v>vaidhṛti (26.27)</v>
      </c>
      <c r="Q22" s="4">
        <f>IF(AND(Panchanga!$R22&lt;28.5,Panchanga!$R22&gt;0.49999),MOD((Panchanga!$R22-0.5)*2,7),MOD((Panchanga!$R22+30-28.5),30)*2+7)</f>
        <v>0.44819999999999993</v>
      </c>
      <c r="R22" s="4">
        <f>ROUNDUP(MOD(360+P[[#This Row],[Moon]]-P[[#This Row],[Sun]],360)/12,4)</f>
        <v>4.2241</v>
      </c>
      <c r="S22" s="4">
        <f>ROUNDUP(MOD(P[[#This Row],[Sun]]+P[[#This Row],[Moon]],360)/13.333333333,2)</f>
        <v>26.270000000000003</v>
      </c>
      <c r="T22" s="4" t="str">
        <f>SIGN(W23-Panchanga!$W22)*INT(Panchanga!$W22/30+1)&amp;"Ma,"&amp;SIGN(X23-Panchanga!$X22)*INT(Panchanga!$X22/30+1)&amp;"Me,"&amp;SIGN(Y23-Panchanga!$Y22)*INT(Panchanga!$Y22/30+1)&amp;"J, "&amp;SIGN(Z23-Panchanga!$Z22)*INT(Panchanga!$Z22/30+1)&amp;"V,"&amp;SIGN(AA23-Panchanga!$AA22)*INT(Panchanga!$AA22/30+1)&amp;"S,"&amp;INT(Panchanga!$AB22/30+1)&amp;"R"</f>
        <v>10Ma,12Me,1J, 11V,11S,12R</v>
      </c>
      <c r="U22" s="4">
        <f t="shared" si="14"/>
        <v>329.73842119640307</v>
      </c>
      <c r="V22" s="4">
        <f t="shared" si="15"/>
        <v>20.427125853817913</v>
      </c>
      <c r="W22" s="4">
        <f>Planet(Panchanga!$G22,4)</f>
        <v>298.83928893101972</v>
      </c>
      <c r="X22" s="4">
        <f>Planet(Panchanga!$G22,2)</f>
        <v>343.09222578497963</v>
      </c>
      <c r="Y22" s="4">
        <f>Planet(Panchanga!$G22,5)</f>
        <v>19.492319649255673</v>
      </c>
      <c r="Z22" s="4">
        <f>Planet(Panchanga!$G22,3)</f>
        <v>308.43487407194903</v>
      </c>
      <c r="AA22" s="4">
        <f>Planet(Panchanga!$G22,6)</f>
        <v>317.30359644240997</v>
      </c>
      <c r="AB22" s="4">
        <f>Planet(Panchanga!$G22,10)</f>
        <v>352.81584616049588</v>
      </c>
      <c r="AC22" s="4" t="str">
        <f>TEXT(Panchanga!$C22+($C23-Panchanga!$C22)/ABS(IF($R23&lt;1,$R23+30,$R23)-Panchanga!$R22)*(ROUNDUP(Panchanga!$R22,0)-Panchanga!$R22),"hh:mm AM/PM")</f>
        <v>11:31 PM</v>
      </c>
      <c r="AD22" s="4"/>
    </row>
    <row r="23" spans="1:30" x14ac:dyDescent="0.2">
      <c r="A23" s="3">
        <f t="shared" si="18"/>
        <v>45366</v>
      </c>
      <c r="B23" s="3">
        <f t="shared" si="16"/>
        <v>45366.229166666664</v>
      </c>
      <c r="C23" s="6">
        <f t="shared" si="12"/>
        <v>45366.262449301932</v>
      </c>
      <c r="D23" s="6">
        <f>sunset(Lat,Long,B23)+TimeZone/24-0.000277777777777778</f>
        <v>45365.763231060046</v>
      </c>
      <c r="E23" s="6">
        <f>PlanetRiseSet(Lat,Long,B23,1,1)+TimeZone/24+0.00103009259259259</f>
        <v>45366.419813768625</v>
      </c>
      <c r="F23" s="6">
        <f>PlanetRiseSet(Lat,Long,B23+1,1,2)+TimeZone/24+0.00103009259259259</f>
        <v>45366.975354446717</v>
      </c>
      <c r="G23" s="7">
        <f>Panchanga!$C23-TimeZone/24</f>
        <v>45366.033282635268</v>
      </c>
      <c r="H23" s="8" t="str">
        <f>INT(P[[#This Row],[Sun]]/30)&amp;"s"&amp;ROUNDUP(MOD(P[[#This Row],[Sun]],30),2)</f>
        <v>11s0.74</v>
      </c>
      <c r="I23" s="13" t="str">
        <f>INT(P[[#This Row],[Moon]]/30)&amp;"s"&amp;ROUNDUP(MOD(P[[#This Row],[Moon]],30),2)</f>
        <v>1s4.4</v>
      </c>
      <c r="J23" s="14">
        <f t="shared" si="17"/>
        <v>45366.033282635268</v>
      </c>
      <c r="K23" s="10" t="str">
        <f>naks(P[[#This Row],[Moon]])</f>
        <v>Krittika</v>
      </c>
      <c r="L23" s="6">
        <f>(C24-P[[#This Row],[SunRise]])/(MOD(360+V24-P[[#This Row],[Moon]],360))*(13.3333333333333-MOD(P[[#This Row],[Moon]],13.333333333333))+P[[#This Row],[SunRise]]</f>
        <v>45366.676389847838</v>
      </c>
      <c r="M23" s="4" t="str">
        <f>IF(Panchanga!$R23&gt;15,"K","S")&amp;ROUNDUP(MOD(Panchanga!$R23,15),0)&amp;" ("&amp;ROUND(Panchanga!$R23,2)&amp;")"</f>
        <v>S6 (5.31)</v>
      </c>
      <c r="N23" s="4">
        <f>IF(AND(Panchanga!$R23&lt;28.5,Panchanga!$R23&gt;0.49999),MOD((Panchanga!$R23-0.5)*2,7),MOD((Panchanga!$R23+30-28.5),30)*2+7)</f>
        <v>2.6105999999999998</v>
      </c>
      <c r="O23" s="4" t="str">
        <f>CHOOSE(ROUNDUP(Panchanga!$N23,0),"Bhava","Baalava","Kaulava","Taitula","Garija","Vanija","Vishti","Shakuni","Chatushapda","Naaga","Kimstugna")</f>
        <v>Kaulava</v>
      </c>
      <c r="P23" s="11" t="str">
        <f>CHOOSE(ROUNDUP(Panchanga!$S23,0),"viṣkambha","prīti","āyuṣmāna","saubhāgya","śobhana","atigaṇḍa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("&amp;Panchanga!$S23&amp;")"</f>
        <v>viṣkambha (0.39)</v>
      </c>
      <c r="Q23" s="4">
        <f>IF(AND(Panchanga!$R23&lt;28.5,Panchanga!$R23&gt;0.49999),MOD((Panchanga!$R23-0.5)*2,7),MOD((Panchanga!$R23+30-28.5),30)*2+7)</f>
        <v>2.6105999999999998</v>
      </c>
      <c r="R23" s="4">
        <f>ROUNDUP(MOD(360+P[[#This Row],[Moon]]-P[[#This Row],[Sun]],360)/12,4)</f>
        <v>5.3052999999999999</v>
      </c>
      <c r="S23" s="4">
        <f>ROUNDUP(MOD(P[[#This Row],[Sun]]+P[[#This Row],[Moon]],360)/13.333333333,2)</f>
        <v>0.39</v>
      </c>
      <c r="T23" s="4" t="str">
        <f>SIGN(W24-Panchanga!$W23)*INT(Panchanga!$W23/30+1)&amp;"Ma,"&amp;SIGN(X24-Panchanga!$X23)*INT(Panchanga!$X23/30+1)&amp;"Me,"&amp;SIGN(Y24-Panchanga!$Y23)*INT(Panchanga!$Y23/30+1)&amp;"J, "&amp;SIGN(Z24-Panchanga!$Z23)*INT(Panchanga!$Z23/30+1)&amp;"V,"&amp;SIGN(AA24-Panchanga!$AA23)*INT(Panchanga!$AA23/30+1)&amp;"S,"&amp;INT(Panchanga!$AB23/30+1)&amp;"R"</f>
        <v>10Ma,12Me,1J, 11V,11S,12R</v>
      </c>
      <c r="U23" s="4">
        <f t="shared" si="14"/>
        <v>330.73492355116917</v>
      </c>
      <c r="V23" s="4">
        <f t="shared" si="15"/>
        <v>34.397743827361246</v>
      </c>
      <c r="W23" s="4">
        <f>Planet(Panchanga!$G23,4)</f>
        <v>299.61632855055325</v>
      </c>
      <c r="X23" s="4">
        <f>Planet(Panchanga!$G23,2)</f>
        <v>344.900694606809</v>
      </c>
      <c r="Y23" s="4">
        <f>Planet(Panchanga!$G23,5)</f>
        <v>19.685415138242483</v>
      </c>
      <c r="Z23" s="4">
        <f>Planet(Panchanga!$G23,3)</f>
        <v>309.67195050508832</v>
      </c>
      <c r="AA23" s="4">
        <f>Planet(Panchanga!$G23,6)</f>
        <v>317.42373144584815</v>
      </c>
      <c r="AB23" s="4">
        <f>Planet(Panchanga!$G23,10)</f>
        <v>352.76287833781782</v>
      </c>
      <c r="AC23" s="4" t="str">
        <f>TEXT(Panchanga!$C23+($C24-Panchanga!$C23)/ABS(IF($R24&lt;1,$R24+30,$R24)-Panchanga!$R23)*(ROUNDUP(Panchanga!$R23,0)-Panchanga!$R23),"hh:mm AM/PM")</f>
        <v>10:15 PM</v>
      </c>
      <c r="AD23" s="4"/>
    </row>
    <row r="24" spans="1:30" x14ac:dyDescent="0.2">
      <c r="A24" s="3">
        <f t="shared" si="18"/>
        <v>45367</v>
      </c>
      <c r="B24" s="3">
        <f t="shared" si="16"/>
        <v>45367.229166666664</v>
      </c>
      <c r="C24" s="6">
        <f t="shared" si="12"/>
        <v>45367.261990314502</v>
      </c>
      <c r="D24" s="6">
        <f>sunset(Lat,Long,B24)+TimeZone/24-0.000277777777777778</f>
        <v>45366.763299475468</v>
      </c>
      <c r="E24" s="6">
        <f>PlanetRiseSet(Lat,Long,B24,1,1)+TimeZone/24+0.00103009259259259</f>
        <v>45367.456242889319</v>
      </c>
      <c r="F24" s="6">
        <f>PlanetRiseSet(Lat,Long,B24+1,1,2)+TimeZone/24+0.00103009259259259</f>
        <v>45368.01668657238</v>
      </c>
      <c r="G24" s="7">
        <f>Panchanga!$C24-TimeZone/24</f>
        <v>45367.032823647838</v>
      </c>
      <c r="H24" s="8" t="str">
        <f>INT(P[[#This Row],[Sun]]/30)&amp;"s"&amp;ROUNDUP(MOD(P[[#This Row],[Sun]],30),2)</f>
        <v>11s1.74</v>
      </c>
      <c r="I24" s="13" t="str">
        <f>INT(P[[#This Row],[Moon]]/30)&amp;"s"&amp;ROUNDUP(MOD(P[[#This Row],[Moon]],30),2)</f>
        <v>1s17.93</v>
      </c>
      <c r="J24" s="14">
        <f t="shared" si="17"/>
        <v>45367.032823647838</v>
      </c>
      <c r="K24" s="10" t="str">
        <f>naks(P[[#This Row],[Moon]])</f>
        <v>Rohini</v>
      </c>
      <c r="L24" s="6">
        <f>(C25-P[[#This Row],[SunRise]])/(MOD(360+V25-P[[#This Row],[Moon]],360))*(13.3333333333333-MOD(P[[#This Row],[Moon]],13.333333333333))+P[[#This Row],[SunRise]]</f>
        <v>45367.674205600997</v>
      </c>
      <c r="M24" s="4" t="str">
        <f>IF(Panchanga!$R24&gt;15,"K","S")&amp;ROUNDUP(MOD(Panchanga!$R24,15),0)&amp;" ("&amp;ROUND(Panchanga!$R24,2)&amp;")"</f>
        <v>S7 (6.35)</v>
      </c>
      <c r="N24" s="4">
        <f>IF(AND(Panchanga!$R24&lt;28.5,Panchanga!$R24&gt;0.49999),MOD((Panchanga!$R24-0.5)*2,7),MOD((Panchanga!$R24+30-28.5),30)*2+7)</f>
        <v>4.6991999999999994</v>
      </c>
      <c r="O24" s="4" t="str">
        <f>CHOOSE(ROUNDUP(Panchanga!$N24,0),"Bhava","Baalava","Kaulava","Taitula","Garija","Vanija","Vishti","Shakuni","Chatushapda","Naaga","Kimstugna")</f>
        <v>Garija</v>
      </c>
      <c r="P24" s="11" t="str">
        <f>CHOOSE(ROUNDUP(Panchanga!$S24,0),"viṣkambha","prīti","āyuṣmāna","saubhāgya","śobhana","atigaṇḍa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("&amp;Panchanga!$S24&amp;")"</f>
        <v>prīti (1.48)</v>
      </c>
      <c r="Q24" s="4">
        <f>IF(AND(Panchanga!$R24&lt;28.5,Panchanga!$R24&gt;0.49999),MOD((Panchanga!$R24-0.5)*2,7),MOD((Panchanga!$R24+30-28.5),30)*2+7)</f>
        <v>4.6991999999999994</v>
      </c>
      <c r="R24" s="4">
        <f>ROUNDUP(MOD(360+P[[#This Row],[Moon]]-P[[#This Row],[Sun]],360)/12,4)</f>
        <v>6.3495999999999997</v>
      </c>
      <c r="S24" s="4">
        <f>ROUNDUP(MOD(P[[#This Row],[Sun]]+P[[#This Row],[Moon]],360)/13.333333333,2)</f>
        <v>1.48</v>
      </c>
      <c r="T24" s="4" t="str">
        <f>SIGN(W25-Panchanga!$W24)*INT(Panchanga!$W24/30+1)&amp;"Ma,"&amp;SIGN(X25-Panchanga!$X24)*INT(Panchanga!$X24/30+1)&amp;"Me,"&amp;SIGN(Y25-Panchanga!$Y24)*INT(Panchanga!$Y24/30+1)&amp;"J, "&amp;SIGN(Z25-Panchanga!$Z24)*INT(Panchanga!$Z24/30+1)&amp;"V,"&amp;SIGN(AA25-Panchanga!$AA24)*INT(Panchanga!$AA24/30+1)&amp;"S,"&amp;INT(Panchanga!$AB24/30+1)&amp;"R"</f>
        <v>11Ma,12Me,1J, 11V,11S,12R</v>
      </c>
      <c r="U24" s="4">
        <f t="shared" si="14"/>
        <v>331.73080104043794</v>
      </c>
      <c r="V24" s="4">
        <f t="shared" si="15"/>
        <v>47.925495246820667</v>
      </c>
      <c r="W24" s="4">
        <f>Planet(Panchanga!$G24,4)</f>
        <v>300.39346788743956</v>
      </c>
      <c r="X24" s="4">
        <f>Planet(Panchanga!$G24,2)</f>
        <v>346.66375814590901</v>
      </c>
      <c r="Y24" s="4">
        <f>Planet(Panchanga!$G24,5)</f>
        <v>19.879946793498782</v>
      </c>
      <c r="Z24" s="4">
        <f>Planet(Panchanga!$G24,3)</f>
        <v>310.9089160930842</v>
      </c>
      <c r="AA24" s="4">
        <f>Planet(Panchanga!$G24,6)</f>
        <v>317.54357674567893</v>
      </c>
      <c r="AB24" s="4">
        <f>Planet(Panchanga!$G24,10)</f>
        <v>352.70991067297678</v>
      </c>
      <c r="AC24" s="4" t="str">
        <f>TEXT(Panchanga!$C24+($C25-Panchanga!$C24)/ABS(IF($R25&lt;1,$R25+30,$R25)-Panchanga!$R24)*(ROUNDUP(Panchanga!$R24,0)-Panchanga!$R24),"hh:mm AM/PM")</f>
        <v>09:44 PM</v>
      </c>
      <c r="AD24" s="4"/>
    </row>
    <row r="25" spans="1:30" x14ac:dyDescent="0.2">
      <c r="A25" s="3">
        <f t="shared" si="18"/>
        <v>45368</v>
      </c>
      <c r="B25" s="3">
        <f t="shared" si="16"/>
        <v>45368.229166666664</v>
      </c>
      <c r="C25" s="6">
        <f t="shared" si="12"/>
        <v>45368.26152862484</v>
      </c>
      <c r="D25" s="6">
        <f>sunset(Lat,Long,B25)+TimeZone/24-0.000277777777777778</f>
        <v>45367.763365332547</v>
      </c>
      <c r="E25" s="6">
        <f>PlanetRiseSet(Lat,Long,B25,1,1)+TimeZone/24+0.00103009259259259</f>
        <v>45368.494319692873</v>
      </c>
      <c r="F25" s="6">
        <f>PlanetRiseSet(Lat,Long,B25+1,1,2)+TimeZone/24+0.00103009259259259</f>
        <v>45369.056215479657</v>
      </c>
      <c r="G25" s="7">
        <f>Panchanga!$C25-TimeZone/24</f>
        <v>45368.032361958176</v>
      </c>
      <c r="H25" s="8" t="str">
        <f>INT(P[[#This Row],[Sun]]/30)&amp;"s"&amp;ROUNDUP(MOD(P[[#This Row],[Sun]],30),2)</f>
        <v>11s2.73</v>
      </c>
      <c r="I25" s="13" t="str">
        <f>INT(P[[#This Row],[Moon]]/30)&amp;"s"&amp;ROUNDUP(MOD(P[[#This Row],[Moon]],30),2)</f>
        <v>2s1.04</v>
      </c>
      <c r="J25" s="14">
        <f t="shared" si="17"/>
        <v>45368.032361958176</v>
      </c>
      <c r="K25" s="10" t="str">
        <f>naks(P[[#This Row],[Moon]])</f>
        <v>Mrigashira</v>
      </c>
      <c r="L25" s="6">
        <f>(C26-P[[#This Row],[SunRise]])/(MOD(360+V26-P[[#This Row],[Moon]],360))*(13.3333333333333-MOD(P[[#This Row],[Moon]],13.333333333333))+P[[#This Row],[SunRise]]</f>
        <v>45368.702833965493</v>
      </c>
      <c r="M25" s="4" t="str">
        <f>IF(Panchanga!$R25&gt;15,"K","S")&amp;ROUNDUP(MOD(Panchanga!$R25,15),0)&amp;" ("&amp;ROUND(Panchanga!$R25,2)&amp;")"</f>
        <v>S8 (7.36)</v>
      </c>
      <c r="N25" s="4">
        <f>IF(AND(Panchanga!$R25&lt;28.5,Panchanga!$R25&gt;0.49999),MOD((Panchanga!$R25-0.5)*2,7),MOD((Panchanga!$R25+30-28.5),30)*2+7)</f>
        <v>6.7187999999999999</v>
      </c>
      <c r="O25" s="4" t="str">
        <f>CHOOSE(ROUNDUP(Panchanga!$N25,0),"Bhava","Baalava","Kaulava","Taitula","Garija","Vanija","Vishti","Shakuni","Chatushapda","Naaga","Kimstugna")</f>
        <v>Vishti</v>
      </c>
      <c r="P25" s="11" t="str">
        <f>CHOOSE(ROUNDUP(Panchanga!$S25,0),"viṣkambha","prīti","āyuṣmāna","saubhāgya","śobhana","atigaṇḍa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("&amp;Panchanga!$S25&amp;")"</f>
        <v>āyuṣmāna (2.54)</v>
      </c>
      <c r="Q25" s="4">
        <f>IF(AND(Panchanga!$R25&lt;28.5,Panchanga!$R25&gt;0.49999),MOD((Panchanga!$R25-0.5)*2,7),MOD((Panchanga!$R25+30-28.5),30)*2+7)</f>
        <v>6.7187999999999999</v>
      </c>
      <c r="R25" s="4">
        <f>ROUNDUP(MOD(360+P[[#This Row],[Moon]]-P[[#This Row],[Sun]],360)/12,4)</f>
        <v>7.3593999999999999</v>
      </c>
      <c r="S25" s="4">
        <f>ROUNDUP(MOD(P[[#This Row],[Sun]]+P[[#This Row],[Moon]],360)/13.333333333,2)</f>
        <v>2.5399999999999996</v>
      </c>
      <c r="T25" s="4" t="str">
        <f>SIGN(W26-Panchanga!$W25)*INT(Panchanga!$W25/30+1)&amp;"Ma,"&amp;SIGN(X26-Panchanga!$X25)*INT(Panchanga!$X25/30+1)&amp;"Me,"&amp;SIGN(Y26-Panchanga!$Y25)*INT(Panchanga!$Y25/30+1)&amp;"J, "&amp;SIGN(Z26-Panchanga!$Z25)*INT(Panchanga!$Z25/30+1)&amp;"V,"&amp;SIGN(AA26-Panchanga!$AA25)*INT(Panchanga!$AA25/30+1)&amp;"S,"&amp;INT(Panchanga!$AB25/30+1)&amp;"R"</f>
        <v>11Ma,12Me,1J, 11V,11S,12R</v>
      </c>
      <c r="U25" s="4">
        <f t="shared" si="14"/>
        <v>332.72604798629527</v>
      </c>
      <c r="V25" s="4">
        <f t="shared" si="15"/>
        <v>61.038403769843889</v>
      </c>
      <c r="W25" s="4">
        <f>Planet(Panchanga!$G25,4)</f>
        <v>301.17069846807345</v>
      </c>
      <c r="X25" s="4">
        <f>Planet(Panchanga!$G25,2)</f>
        <v>348.37355252737706</v>
      </c>
      <c r="Y25" s="4">
        <f>Planet(Panchanga!$G25,5)</f>
        <v>20.075882707900448</v>
      </c>
      <c r="Z25" s="4">
        <f>Planet(Panchanga!$G25,3)</f>
        <v>312.14576901269743</v>
      </c>
      <c r="AA25" s="4">
        <f>Planet(Panchanga!$G25,6)</f>
        <v>317.6631140296534</v>
      </c>
      <c r="AB25" s="4">
        <f>Planet(Panchanga!$G25,10)</f>
        <v>352.65694315134249</v>
      </c>
      <c r="AC25" s="4" t="str">
        <f>TEXT(Panchanga!$C25+($C26-Panchanga!$C25)/ABS(IF($R26&lt;1,$R26+30,$R26)-Panchanga!$R25)*(ROUNDUP(Panchanga!$R25,0)-Panchanga!$R25),"hh:mm AM/PM")</f>
        <v>09:58 PM</v>
      </c>
      <c r="AD25" s="4"/>
    </row>
    <row r="26" spans="1:30" x14ac:dyDescent="0.2">
      <c r="A26" s="3">
        <f t="shared" si="18"/>
        <v>45369</v>
      </c>
      <c r="B26" s="3">
        <f t="shared" si="16"/>
        <v>45369.229166666664</v>
      </c>
      <c r="C26" s="6">
        <f t="shared" si="12"/>
        <v>45369.261064516068</v>
      </c>
      <c r="D26" s="6">
        <f>sunset(Lat,Long,B26)+TimeZone/24-0.000277777777777778</f>
        <v>45368.763428819409</v>
      </c>
      <c r="E26" s="6">
        <f>PlanetRiseSet(Lat,Long,B26,1,1)+TimeZone/24+0.00103009259259259</f>
        <v>45368.494319742698</v>
      </c>
      <c r="F26" s="6">
        <f>PlanetRiseSet(Lat,Long,B26+1,1,2)+TimeZone/24+0.00103009259259259</f>
        <v>45370.092909346487</v>
      </c>
      <c r="G26" s="7">
        <f>Panchanga!$C26-TimeZone/24</f>
        <v>45369.031897849403</v>
      </c>
      <c r="H26" s="8" t="str">
        <f>INT(P[[#This Row],[Sun]]/30)&amp;"s"&amp;ROUNDUP(MOD(P[[#This Row],[Sun]],30),2)</f>
        <v>11s3.73</v>
      </c>
      <c r="I26" s="13" t="str">
        <f>INT(P[[#This Row],[Moon]]/30)&amp;"s"&amp;ROUNDUP(MOD(P[[#This Row],[Moon]],30),2)</f>
        <v>2s13.79</v>
      </c>
      <c r="J26" s="14">
        <f t="shared" si="17"/>
        <v>45369.031897849403</v>
      </c>
      <c r="K26" s="10" t="str">
        <f>naks(P[[#This Row],[Moon]])</f>
        <v>Ardra</v>
      </c>
      <c r="L26" s="6">
        <f>(C27-P[[#This Row],[SunRise]])/(MOD(360+V27-P[[#This Row],[Moon]],360))*(13.3333333333333-MOD(P[[#This Row],[Moon]],13.333333333333))+P[[#This Row],[SunRise]]</f>
        <v>45369.760197030002</v>
      </c>
      <c r="M26" s="4" t="str">
        <f>IF(Panchanga!$R26&gt;15,"K","S")&amp;ROUNDUP(MOD(Panchanga!$R26,15),0)&amp;" ("&amp;ROUND(Panchanga!$R26,2)&amp;")"</f>
        <v>S9 (8.34)</v>
      </c>
      <c r="N26" s="4">
        <f>IF(AND(Panchanga!$R26&lt;28.5,Panchanga!$R26&gt;0.49999),MOD((Panchanga!$R26-0.5)*2,7),MOD((Panchanga!$R26+30-28.5),30)*2+7)</f>
        <v>1.6775999999999982</v>
      </c>
      <c r="O26" s="4" t="str">
        <f>CHOOSE(ROUNDUP(Panchanga!$N26,0),"Bhava","Baalava","Kaulava","Taitula","Garija","Vanija","Vishti","Shakuni","Chatushapda","Naaga","Kimstugna")</f>
        <v>Baalava</v>
      </c>
      <c r="P26" s="11" t="str">
        <f>CHOOSE(ROUNDUP(Panchanga!$S26,0),"viṣkambha","prīti","āyuṣmāna","saubhāgya","śobhana","atigaṇḍa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("&amp;Panchanga!$S26&amp;")"</f>
        <v>saubhāgya (3.57)</v>
      </c>
      <c r="Q26" s="4">
        <f>IF(AND(Panchanga!$R26&lt;28.5,Panchanga!$R26&gt;0.49999),MOD((Panchanga!$R26-0.5)*2,7),MOD((Panchanga!$R26+30-28.5),30)*2+7)</f>
        <v>1.6775999999999982</v>
      </c>
      <c r="R26" s="4">
        <f>ROUNDUP(MOD(360+P[[#This Row],[Moon]]-P[[#This Row],[Sun]],360)/12,4)</f>
        <v>8.3387999999999991</v>
      </c>
      <c r="S26" s="4">
        <f>ROUNDUP(MOD(P[[#This Row],[Sun]]+P[[#This Row],[Moon]],360)/13.333333333,2)</f>
        <v>3.57</v>
      </c>
      <c r="T26" s="4" t="str">
        <f>SIGN(W27-Panchanga!$W26)*INT(Panchanga!$W26/30+1)&amp;"Ma,"&amp;SIGN(X27-Panchanga!$X26)*INT(Panchanga!$X26/30+1)&amp;"Me,"&amp;SIGN(Y27-Panchanga!$Y26)*INT(Panchanga!$Y26/30+1)&amp;"J, "&amp;SIGN(Z27-Panchanga!$Z26)*INT(Panchanga!$Z26/30+1)&amp;"V,"&amp;SIGN(AA27-Panchanga!$AA26)*INT(Panchanga!$AA26/30+1)&amp;"S,"&amp;INT(Panchanga!$AB26/30+1)&amp;"R"</f>
        <v>11Ma,12Me,1J, 11V,11S,12R</v>
      </c>
      <c r="U26" s="4">
        <f t="shared" si="14"/>
        <v>333.72066263061498</v>
      </c>
      <c r="V26" s="4">
        <f t="shared" si="15"/>
        <v>73.786155161902073</v>
      </c>
      <c r="W26" s="4">
        <f>Planet(Panchanga!$G26,4)</f>
        <v>301.94801310872583</v>
      </c>
      <c r="X26" s="4">
        <f>Planet(Panchanga!$G26,2)</f>
        <v>350.02208350292346</v>
      </c>
      <c r="Y26" s="4">
        <f>Planet(Panchanga!$G26,5)</f>
        <v>20.273191922601541</v>
      </c>
      <c r="Z26" s="4">
        <f>Planet(Panchanga!$G26,3)</f>
        <v>313.38250932588613</v>
      </c>
      <c r="AA26" s="4">
        <f>Planet(Panchanga!$G26,6)</f>
        <v>317.78232544937777</v>
      </c>
      <c r="AB26" s="4">
        <f>Planet(Panchanga!$G26,10)</f>
        <v>352.60397575788704</v>
      </c>
      <c r="AC26" s="4" t="str">
        <f>TEXT(Panchanga!$C26+($C27-Panchanga!$C26)/ABS(IF($R27&lt;1,$R27+30,$R27)-Panchanga!$R26)*(ROUNDUP(Panchanga!$R26,0)-Panchanga!$R26),"hh:mm AM/PM")</f>
        <v>10:53 PM</v>
      </c>
      <c r="AD26" s="4"/>
    </row>
    <row r="27" spans="1:30" x14ac:dyDescent="0.2">
      <c r="A27" s="3">
        <f t="shared" si="18"/>
        <v>45370</v>
      </c>
      <c r="B27" s="3">
        <f t="shared" si="16"/>
        <v>45370.229166666664</v>
      </c>
      <c r="C27" s="6">
        <f t="shared" si="12"/>
        <v>45370.260598275963</v>
      </c>
      <c r="D27" s="6">
        <f>sunset(Lat,Long,B27)+TimeZone/24-0.000277777777777778</f>
        <v>45369.763490135359</v>
      </c>
      <c r="E27" s="6">
        <f>PlanetRiseSet(Lat,Long,B27,1,1)+TimeZone/24+0.00103009259259259</f>
        <v>45369.533062717099</v>
      </c>
      <c r="F27" s="6">
        <f>PlanetRiseSet(Lat,Long,B27+1,1,2)+TimeZone/24+0.00103009259259259</f>
        <v>45371.126256864671</v>
      </c>
      <c r="G27" s="7">
        <f>Panchanga!$C27-TimeZone/24</f>
        <v>45370.031431609299</v>
      </c>
      <c r="H27" s="8" t="str">
        <f>INT(P[[#This Row],[Sun]]/30)&amp;"s"&amp;ROUNDUP(MOD(P[[#This Row],[Sun]],30),2)</f>
        <v>11s4.72</v>
      </c>
      <c r="I27" s="13" t="str">
        <f>INT(P[[#This Row],[Moon]]/30)&amp;"s"&amp;ROUNDUP(MOD(P[[#This Row],[Moon]],30),2)</f>
        <v>2s26.23</v>
      </c>
      <c r="J27" s="14">
        <f t="shared" si="17"/>
        <v>45370.031431609299</v>
      </c>
      <c r="K27" s="10" t="str">
        <f>naks(P[[#This Row],[Moon]])</f>
        <v>Punarvasu</v>
      </c>
      <c r="L27" s="6">
        <f>(C28-P[[#This Row],[SunRise]])/(MOD(360+V28-P[[#This Row],[Moon]],360))*(13.3333333333333-MOD(P[[#This Row],[Moon]],13.333333333333))+P[[#This Row],[SunRise]]</f>
        <v>45370.84243989781</v>
      </c>
      <c r="M27" s="4" t="str">
        <f>IF(Panchanga!$R27&gt;15,"K","S")&amp;ROUNDUP(MOD(Panchanga!$R27,15),0)&amp;" ("&amp;ROUND(Panchanga!$R27,2)&amp;")"</f>
        <v>S10 (9.29)</v>
      </c>
      <c r="N27" s="4">
        <f>IF(AND(Panchanga!$R27&lt;28.5,Panchanga!$R27&gt;0.49999),MOD((Panchanga!$R27-0.5)*2,7),MOD((Panchanga!$R27+30-28.5),30)*2+7)</f>
        <v>3.5859999999999985</v>
      </c>
      <c r="O27" s="4" t="str">
        <f>CHOOSE(ROUNDUP(Panchanga!$N27,0),"Bhava","Baalava","Kaulava","Taitula","Garija","Vanija","Vishti","Shakuni","Chatushapda","Naaga","Kimstugna")</f>
        <v>Taitula</v>
      </c>
      <c r="P27" s="11" t="str">
        <f>CHOOSE(ROUNDUP(Panchanga!$S27,0),"viṣkambha","prīti","āyuṣmāna","saubhāgya","śobhana","atigaṇḍa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("&amp;Panchanga!$S27&amp;")"</f>
        <v>śobhana (4.58)</v>
      </c>
      <c r="Q27" s="4">
        <f>IF(AND(Panchanga!$R27&lt;28.5,Panchanga!$R27&gt;0.49999),MOD((Panchanga!$R27-0.5)*2,7),MOD((Panchanga!$R27+30-28.5),30)*2+7)</f>
        <v>3.5859999999999985</v>
      </c>
      <c r="R27" s="4">
        <f>ROUNDUP(MOD(360+P[[#This Row],[Moon]]-P[[#This Row],[Sun]],360)/12,4)</f>
        <v>9.2929999999999993</v>
      </c>
      <c r="S27" s="4">
        <f>ROUNDUP(MOD(P[[#This Row],[Sun]]+P[[#This Row],[Moon]],360)/13.333333333,2)</f>
        <v>4.58</v>
      </c>
      <c r="T27" s="4" t="str">
        <f>SIGN(W28-Panchanga!$W27)*INT(Panchanga!$W27/30+1)&amp;"Ma,"&amp;SIGN(X28-Panchanga!$X27)*INT(Panchanga!$X27/30+1)&amp;"Me,"&amp;SIGN(Y28-Panchanga!$Y27)*INT(Panchanga!$Y27/30+1)&amp;"J, "&amp;SIGN(Z28-Panchanga!$Z27)*INT(Panchanga!$Z27/30+1)&amp;"V,"&amp;SIGN(AA28-Panchanga!$AA27)*INT(Panchanga!$AA27/30+1)&amp;"S,"&amp;INT(Panchanga!$AB27/30+1)&amp;"R"</f>
        <v>11Ma,12Me,1J, 11V,11S,12R</v>
      </c>
      <c r="U27" s="4">
        <f t="shared" si="14"/>
        <v>334.71464637040737</v>
      </c>
      <c r="V27" s="4">
        <f t="shared" si="15"/>
        <v>86.22963964957107</v>
      </c>
      <c r="W27" s="4">
        <f>Planet(Panchanga!$G27,4)</f>
        <v>302.72540549508017</v>
      </c>
      <c r="X27" s="4">
        <f>Planet(Panchanga!$G27,2)</f>
        <v>351.60137513520039</v>
      </c>
      <c r="Y27" s="4">
        <f>Planet(Panchanga!$G27,5)</f>
        <v>20.47184440873659</v>
      </c>
      <c r="Z27" s="4">
        <f>Planet(Panchanga!$G27,3)</f>
        <v>314.61913844306099</v>
      </c>
      <c r="AA27" s="4">
        <f>Planet(Panchanga!$G27,6)</f>
        <v>317.90119352800946</v>
      </c>
      <c r="AB27" s="4">
        <f>Planet(Panchanga!$G27,10)</f>
        <v>352.55100847740033</v>
      </c>
      <c r="AC27" s="4" t="str">
        <f>TEXT(Panchanga!$C27+($C28-Panchanga!$C27)/ABS(IF($R28&lt;1,$R28+30,$R28)-Panchanga!$R27)*(ROUNDUP(Panchanga!$R27,0)-Panchanga!$R27),"hh:mm AM/PM")</f>
        <v>12:24 AM</v>
      </c>
      <c r="AD27" s="4"/>
    </row>
    <row r="28" spans="1:30" x14ac:dyDescent="0.2">
      <c r="A28" s="3">
        <f t="shared" si="18"/>
        <v>45371</v>
      </c>
      <c r="B28" s="3">
        <f t="shared" si="16"/>
        <v>45371.229166666664</v>
      </c>
      <c r="C28" s="6">
        <f t="shared" si="12"/>
        <v>45371.260130196497</v>
      </c>
      <c r="D28" s="6">
        <f>sunset(Lat,Long,B28)+TimeZone/24-0.000277777777777778</f>
        <v>45370.76354948715</v>
      </c>
      <c r="E28" s="6">
        <f>PlanetRiseSet(Lat,Long,B28,1,1)+TimeZone/24+0.00103009259259259</f>
        <v>45370.571329652019</v>
      </c>
      <c r="F28" s="6">
        <f>PlanetRiseSet(Lat,Long,B28+1,1,2)+TimeZone/24+0.00103009259259259</f>
        <v>45372.156323314797</v>
      </c>
      <c r="G28" s="7">
        <f>Panchanga!$C28-TimeZone/24</f>
        <v>45371.030963529833</v>
      </c>
      <c r="H28" s="8" t="str">
        <f>INT(P[[#This Row],[Sun]]/30)&amp;"s"&amp;ROUNDUP(MOD(P[[#This Row],[Sun]],30),2)</f>
        <v>11s5.71</v>
      </c>
      <c r="I28" s="13" t="str">
        <f>INT(P[[#This Row],[Moon]]/30)&amp;"s"&amp;ROUNDUP(MOD(P[[#This Row],[Moon]],30),2)</f>
        <v>3s8.44</v>
      </c>
      <c r="J28" s="14">
        <f t="shared" si="17"/>
        <v>45371.030963529833</v>
      </c>
      <c r="K28" s="10" t="str">
        <f>naks(P[[#This Row],[Moon]])</f>
        <v>Pushya</v>
      </c>
      <c r="L28" s="6">
        <f>(C29-P[[#This Row],[SunRise]])/(MOD(360+V29-P[[#This Row],[Moon]],360))*(13.3333333333333-MOD(P[[#This Row],[Moon]],13.333333333333))+P[[#This Row],[SunRise]]</f>
        <v>45371.94453761504</v>
      </c>
      <c r="M28" s="4" t="str">
        <f>IF(Panchanga!$R28&gt;15,"K","S")&amp;ROUNDUP(MOD(Panchanga!$R28,15),0)&amp;" ("&amp;ROUND(Panchanga!$R28,2)&amp;")"</f>
        <v>S11 (10.23)</v>
      </c>
      <c r="N28" s="4">
        <f>IF(AND(Panchanga!$R28&lt;28.5,Panchanga!$R28&gt;0.49999),MOD((Panchanga!$R28-0.5)*2,7),MOD((Panchanga!$R28+30-28.5),30)*2+7)</f>
        <v>5.4542000000000002</v>
      </c>
      <c r="O28" s="4" t="str">
        <f>CHOOSE(ROUNDUP(Panchanga!$N28,0),"Bhava","Baalava","Kaulava","Taitula","Garija","Vanija","Vishti","Shakuni","Chatushapda","Naaga","Kimstugna")</f>
        <v>Vanija</v>
      </c>
      <c r="P28" s="11" t="str">
        <f>CHOOSE(ROUNDUP(Panchanga!$S28,0),"viṣkambha","prīti","āyuṣmāna","saubhāgya","śobhana","atigaṇḍa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("&amp;Panchanga!$S28&amp;")"</f>
        <v>atigaṇḍa  (5.57)</v>
      </c>
      <c r="Q28" s="4">
        <f>IF(AND(Panchanga!$R28&lt;28.5,Panchanga!$R28&gt;0.49999),MOD((Panchanga!$R28-0.5)*2,7),MOD((Panchanga!$R28+30-28.5),30)*2+7)</f>
        <v>5.4542000000000002</v>
      </c>
      <c r="R28" s="4">
        <f>ROUNDUP(MOD(360+P[[#This Row],[Moon]]-P[[#This Row],[Sun]],360)/12,4)</f>
        <v>10.2271</v>
      </c>
      <c r="S28" s="4">
        <f>ROUNDUP(MOD(P[[#This Row],[Sun]]+P[[#This Row],[Moon]],360)/13.333333333,2)</f>
        <v>5.5699999999999994</v>
      </c>
      <c r="T28" s="4" t="str">
        <f>SIGN(W29-Panchanga!$W28)*INT(Panchanga!$W28/30+1)&amp;"Ma,"&amp;SIGN(X29-Panchanga!$X28)*INT(Panchanga!$X28/30+1)&amp;"Me,"&amp;SIGN(Y29-Panchanga!$Y28)*INT(Panchanga!$Y28/30+1)&amp;"J, "&amp;SIGN(Z29-Panchanga!$Z28)*INT(Panchanga!$Z28/30+1)&amp;"V,"&amp;SIGN(AA29-Panchanga!$AA28)*INT(Panchanga!$AA28/30+1)&amp;"S,"&amp;INT(Panchanga!$AB28/30+1)&amp;"R"</f>
        <v>11Ma,12Me,1J, 11V,11S,12R</v>
      </c>
      <c r="U28" s="4">
        <f t="shared" si="14"/>
        <v>335.70800321864448</v>
      </c>
      <c r="V28" s="4">
        <f t="shared" si="15"/>
        <v>98.432906525025487</v>
      </c>
      <c r="W28" s="4">
        <f>Planet(Panchanga!$G28,4)</f>
        <v>303.5028699167741</v>
      </c>
      <c r="X28" s="4">
        <f>Planet(Panchanga!$G28,2)</f>
        <v>353.10361843352706</v>
      </c>
      <c r="Y28" s="4">
        <f>Planet(Panchanga!$G28,5)</f>
        <v>20.671811028606275</v>
      </c>
      <c r="Z28" s="4">
        <f>Planet(Panchanga!$G28,3)</f>
        <v>315.85565879345813</v>
      </c>
      <c r="AA28" s="4">
        <f>Planet(Panchanga!$G28,6)</f>
        <v>318.0197010899555</v>
      </c>
      <c r="AB28" s="4">
        <f>Planet(Panchanga!$G28,10)</f>
        <v>352.49804129439042</v>
      </c>
      <c r="AC28" s="4" t="str">
        <f>TEXT(Panchanga!$C28+($C29-Panchanga!$C28)/ABS(IF($R29&lt;1,$R29+30,$R29)-Panchanga!$R28)*(ROUNDUP(Panchanga!$R28,0)-Panchanga!$R28),"hh:mm AM/PM")</f>
        <v>02:24 AM</v>
      </c>
      <c r="AD28" s="4"/>
    </row>
    <row r="29" spans="1:30" x14ac:dyDescent="0.2">
      <c r="A29" s="3">
        <f t="shared" si="18"/>
        <v>45372</v>
      </c>
      <c r="B29" s="3">
        <f t="shared" si="16"/>
        <v>45372.229166666664</v>
      </c>
      <c r="C29" s="6">
        <f t="shared" si="12"/>
        <v>45372.259660573363</v>
      </c>
      <c r="D29" s="6">
        <f>sunset(Lat,Long,B29)+TimeZone/24-0.000277777777777778</f>
        <v>45371.763607087589</v>
      </c>
      <c r="E29" s="6">
        <f>PlanetRiseSet(Lat,Long,B29,1,1)+TimeZone/24+0.00103009259259259</f>
        <v>45371.608231860831</v>
      </c>
      <c r="F29" s="6">
        <f>PlanetRiseSet(Lat,Long,B29+1,1,2)+TimeZone/24+0.00103009259259259</f>
        <v>45373.183580651566</v>
      </c>
      <c r="G29" s="7">
        <f>Panchanga!$C29-TimeZone/24</f>
        <v>45372.030493906699</v>
      </c>
      <c r="H29" s="8" t="str">
        <f>INT(P[[#This Row],[Sun]]/30)&amp;"s"&amp;ROUNDUP(MOD(P[[#This Row],[Sun]],30),2)</f>
        <v>11s6.71</v>
      </c>
      <c r="I29" s="13" t="str">
        <f>INT(P[[#This Row],[Moon]]/30)&amp;"s"&amp;ROUNDUP(MOD(P[[#This Row],[Moon]],30),2)</f>
        <v>3s20.46</v>
      </c>
      <c r="J29" s="14">
        <f t="shared" si="17"/>
        <v>45372.030493906699</v>
      </c>
      <c r="K29" s="10" t="str">
        <f>naks(P[[#This Row],[Moon]])</f>
        <v>Aslesha</v>
      </c>
      <c r="L29" s="6">
        <f>(C30-P[[#This Row],[SunRise]])/(MOD(360+V30-P[[#This Row],[Moon]],360))*(13.3333333333333-MOD(P[[#This Row],[Moon]],13.333333333333))+P[[#This Row],[SunRise]]</f>
        <v>45373.060955322042</v>
      </c>
      <c r="M29" s="4" t="str">
        <f>IF(Panchanga!$R29&gt;15,"K","S")&amp;ROUNDUP(MOD(Panchanga!$R29,15),0)&amp;" ("&amp;ROUND(Panchanga!$R29,2)&amp;")"</f>
        <v>S12 (11.15)</v>
      </c>
      <c r="N29" s="4">
        <f>IF(AND(Panchanga!$R29&lt;28.5,Panchanga!$R29&gt;0.49999),MOD((Panchanga!$R29-0.5)*2,7),MOD((Panchanga!$R29+30-28.5),30)*2+7)</f>
        <v>0.29299999999999926</v>
      </c>
      <c r="O29" s="4" t="str">
        <f>CHOOSE(ROUNDUP(Panchanga!$N29,0),"Bhava","Baalava","Kaulava","Taitula","Garija","Vanija","Vishti","Shakuni","Chatushapda","Naaga","Kimstugna")</f>
        <v>Bhava</v>
      </c>
      <c r="P29" s="11" t="str">
        <f>CHOOSE(ROUNDUP(Panchanga!$S29,0),"viṣkambha","prīti","āyuṣmāna","saubhāgya","śobhana","atigaṇḍa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("&amp;Panchanga!$S29&amp;")"</f>
        <v>sukarmā  (6.54)</v>
      </c>
      <c r="Q29" s="4">
        <f>IF(AND(Panchanga!$R29&lt;28.5,Panchanga!$R29&gt;0.49999),MOD((Panchanga!$R29-0.5)*2,7),MOD((Panchanga!$R29+30-28.5),30)*2+7)</f>
        <v>0.29299999999999926</v>
      </c>
      <c r="R29" s="4">
        <f>ROUNDUP(MOD(360+P[[#This Row],[Moon]]-P[[#This Row],[Sun]],360)/12,4)</f>
        <v>11.1465</v>
      </c>
      <c r="S29" s="4">
        <f>ROUNDUP(MOD(P[[#This Row],[Sun]]+P[[#This Row],[Moon]],360)/13.333333333,2)</f>
        <v>6.54</v>
      </c>
      <c r="T29" s="4" t="str">
        <f>SIGN(W30-Panchanga!$W29)*INT(Panchanga!$W29/30+1)&amp;"Ma,"&amp;SIGN(X30-Panchanga!$X29)*INT(Panchanga!$X29/30+1)&amp;"Me,"&amp;SIGN(Y30-Panchanga!$Y29)*INT(Panchanga!$Y29/30+1)&amp;"J, "&amp;SIGN(Z30-Panchanga!$Z29)*INT(Panchanga!$Z29/30+1)&amp;"V,"&amp;SIGN(AA30-Panchanga!$AA29)*INT(Panchanga!$AA29/30+1)&amp;"S,"&amp;INT(Panchanga!$AB29/30+1)&amp;"R"</f>
        <v>11Ma,12Me,1J, 11V,11S,12R</v>
      </c>
      <c r="U29" s="4">
        <f t="shared" si="14"/>
        <v>336.70073942869487</v>
      </c>
      <c r="V29" s="4">
        <f t="shared" si="15"/>
        <v>110.45775189406535</v>
      </c>
      <c r="W29" s="4">
        <f>Planet(Panchanga!$G29,4)</f>
        <v>304.28040108123224</v>
      </c>
      <c r="X29" s="4">
        <f>Planet(Panchanga!$G29,2)</f>
        <v>354.52131082954014</v>
      </c>
      <c r="Y29" s="4">
        <f>Planet(Panchanga!$G29,5)</f>
        <v>20.873063498789847</v>
      </c>
      <c r="Z29" s="4">
        <f>Planet(Panchanga!$G29,3)</f>
        <v>317.09207360653465</v>
      </c>
      <c r="AA29" s="4">
        <f>Planet(Panchanga!$G29,6)</f>
        <v>318.13783120645559</v>
      </c>
      <c r="AB29" s="4">
        <f>Planet(Panchanga!$G29,10)</f>
        <v>352.44507419313373</v>
      </c>
      <c r="AC29" s="4" t="str">
        <f>TEXT(Panchanga!$C29+($C30-Panchanga!$C29)/ABS(IF($R30&lt;1,$R30+30,$R30)-Panchanga!$R29)*(ROUNDUP(Panchanga!$R29,0)-Panchanga!$R29),"hh:mm AM/PM")</f>
        <v>04:45 AM</v>
      </c>
      <c r="AD29" s="4"/>
    </row>
    <row r="30" spans="1:30" x14ac:dyDescent="0.2">
      <c r="A30" s="3">
        <f t="shared" si="18"/>
        <v>45373</v>
      </c>
      <c r="B30" s="3">
        <f t="shared" si="16"/>
        <v>45373.229166666664</v>
      </c>
      <c r="C30" s="6">
        <f t="shared" si="12"/>
        <v>45373.259189702723</v>
      </c>
      <c r="D30" s="6">
        <f>sunset(Lat,Long,B30)+TimeZone/24-0.000277777777777778</f>
        <v>45372.76366315507</v>
      </c>
      <c r="E30" s="6">
        <f>PlanetRiseSet(Lat,Long,B30,1,1)+TimeZone/24+0.00103009259259259</f>
        <v>45372.643356558554</v>
      </c>
      <c r="F30" s="6">
        <f>PlanetRiseSet(Lat,Long,B30+1,1,2)+TimeZone/24+0.00103009259259259</f>
        <v>45374.208701212578</v>
      </c>
      <c r="G30" s="7">
        <f>Panchanga!$C30-TimeZone/24</f>
        <v>45373.030023036059</v>
      </c>
      <c r="H30" s="8" t="str">
        <f>INT(P[[#This Row],[Sun]]/30)&amp;"s"&amp;ROUNDUP(MOD(P[[#This Row],[Sun]],30),2)</f>
        <v>11s7.7</v>
      </c>
      <c r="I30" s="13" t="str">
        <f>INT(P[[#This Row],[Moon]]/30)&amp;"s"&amp;ROUNDUP(MOD(P[[#This Row],[Moon]],30),2)</f>
        <v>4s2.37</v>
      </c>
      <c r="J30" s="14">
        <f t="shared" si="17"/>
        <v>45373.030023036059</v>
      </c>
      <c r="K30" s="10" t="str">
        <f>naks(P[[#This Row],[Moon]])</f>
        <v>Makha</v>
      </c>
      <c r="L30" s="6">
        <f>(C31-P[[#This Row],[SunRise]])/(MOD(360+V31-P[[#This Row],[Moon]],360))*(13.3333333333333-MOD(P[[#This Row],[Moon]],13.333333333333))+P[[#This Row],[SunRise]]</f>
        <v>45374.186196568211</v>
      </c>
      <c r="M30" s="4" t="str">
        <f>IF(Panchanga!$R30&gt;15,"K","S")&amp;ROUNDUP(MOD(Panchanga!$R30,15),0)&amp;" ("&amp;ROUND(Panchanga!$R30,2)&amp;")"</f>
        <v>S13 (12.06)</v>
      </c>
      <c r="N30" s="4">
        <f>IF(AND(Panchanga!$R30&lt;28.5,Panchanga!$R30&gt;0.49999),MOD((Panchanga!$R30-0.5)*2,7),MOD((Panchanga!$R30+30-28.5),30)*2+7)</f>
        <v>2.1113999999999997</v>
      </c>
      <c r="O30" s="4" t="str">
        <f>CHOOSE(ROUNDUP(Panchanga!$N30,0),"Bhava","Baalava","Kaulava","Taitula","Garija","Vanija","Vishti","Shakuni","Chatushapda","Naaga","Kimstugna")</f>
        <v>Kaulava</v>
      </c>
      <c r="P30" s="11" t="str">
        <f>CHOOSE(ROUNDUP(Panchanga!$S30,0),"viṣkambha","prīti","āyuṣmāna","saubhāgya","śobhana","atigaṇḍa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("&amp;Panchanga!$S30&amp;")"</f>
        <v>dhṛti  (7.51)</v>
      </c>
      <c r="Q30" s="4">
        <f>IF(AND(Panchanga!$R30&lt;28.5,Panchanga!$R30&gt;0.49999),MOD((Panchanga!$R30-0.5)*2,7),MOD((Panchanga!$R30+30-28.5),30)*2+7)</f>
        <v>2.1113999999999997</v>
      </c>
      <c r="R30" s="4">
        <f>ROUNDUP(MOD(360+P[[#This Row],[Moon]]-P[[#This Row],[Sun]],360)/12,4)</f>
        <v>12.0557</v>
      </c>
      <c r="S30" s="4">
        <f>ROUNDUP(MOD(P[[#This Row],[Sun]]+P[[#This Row],[Moon]],360)/13.333333333,2)</f>
        <v>7.51</v>
      </c>
      <c r="T30" s="4" t="str">
        <f>SIGN(W31-Panchanga!$W30)*INT(Panchanga!$W30/30+1)&amp;"Ma,"&amp;SIGN(X31-Panchanga!$X30)*INT(Panchanga!$X30/30+1)&amp;"Me,"&amp;SIGN(Y31-Panchanga!$Y30)*INT(Panchanga!$Y30/30+1)&amp;"J, "&amp;SIGN(Z31-Panchanga!$Z30)*INT(Panchanga!$Z30/30+1)&amp;"V,"&amp;SIGN(AA31-Panchanga!$AA30)*INT(Panchanga!$AA30/30+1)&amp;"S,"&amp;INT(Panchanga!$AB30/30+1)&amp;"R"</f>
        <v>11Ma,12Me,1J, 11V,11S,12R</v>
      </c>
      <c r="U30" s="4">
        <f t="shared" si="14"/>
        <v>337.69286317833354</v>
      </c>
      <c r="V30" s="4">
        <f t="shared" si="15"/>
        <v>122.36068144305455</v>
      </c>
      <c r="W30" s="4">
        <f>Planet(Panchanga!$G30,4)</f>
        <v>305.0579939510074</v>
      </c>
      <c r="X30" s="4">
        <f>Planet(Panchanga!$G30,2)</f>
        <v>355.84737928157631</v>
      </c>
      <c r="Y30" s="4">
        <f>Planet(Panchanga!$G30,5)</f>
        <v>21.075574357101562</v>
      </c>
      <c r="Z30" s="4">
        <f>Planet(Panchanga!$G30,3)</f>
        <v>318.32838673237052</v>
      </c>
      <c r="AA30" s="4">
        <f>Planet(Panchanga!$G30,6)</f>
        <v>318.25556715162151</v>
      </c>
      <c r="AB30" s="4">
        <f>Planet(Panchanga!$G30,10)</f>
        <v>352.3921071580553</v>
      </c>
      <c r="AC30" s="4" t="str">
        <f>TEXT(Panchanga!$C30+($C31-Panchanga!$C30)/ABS(IF($R31&lt;1,$R31+30,$R31)-Panchanga!$R30)*(ROUNDUP(Panchanga!$R30,0)-Panchanga!$R30),"hh:mm AM/PM")</f>
        <v>07:17 AM</v>
      </c>
      <c r="AD30" s="4"/>
    </row>
    <row r="31" spans="1:30" x14ac:dyDescent="0.2">
      <c r="A31" s="3">
        <f t="shared" si="18"/>
        <v>45374</v>
      </c>
      <c r="B31" s="3">
        <f t="shared" si="16"/>
        <v>45374.229166666664</v>
      </c>
      <c r="C31" s="6">
        <f t="shared" si="12"/>
        <v>45374.258717884928</v>
      </c>
      <c r="D31" s="6">
        <f>sunset(Lat,Long,B31)+TimeZone/24-0.000277777777777778</f>
        <v>45373.763717913112</v>
      </c>
      <c r="E31" s="6">
        <f>PlanetRiseSet(Lat,Long,B31,1,1)+TimeZone/24+0.00103009259259259</f>
        <v>45373.676747773927</v>
      </c>
      <c r="F31" s="6">
        <f>PlanetRiseSet(Lat,Long,B31+1,1,2)+TimeZone/24+0.00103009259259259</f>
        <v>45375.232420788765</v>
      </c>
      <c r="G31" s="7">
        <f>Panchanga!$C31-TimeZone/24</f>
        <v>45374.029551218264</v>
      </c>
      <c r="H31" s="8" t="str">
        <f>INT(P[[#This Row],[Sun]]/30)&amp;"s"&amp;ROUNDUP(MOD(P[[#This Row],[Sun]],30),2)</f>
        <v>11s8.69</v>
      </c>
      <c r="I31" s="13" t="str">
        <f>INT(P[[#This Row],[Moon]]/30)&amp;"s"&amp;ROUNDUP(MOD(P[[#This Row],[Moon]],30),2)</f>
        <v>4s14.2</v>
      </c>
      <c r="J31" s="14">
        <f t="shared" si="17"/>
        <v>45374.029551218264</v>
      </c>
      <c r="K31" s="10" t="str">
        <f>naks(P[[#This Row],[Moon]])</f>
        <v>Purva Phalguni</v>
      </c>
      <c r="L31" s="6">
        <f>(C32-P[[#This Row],[SunRise]])/(MOD(360+V32-P[[#This Row],[Moon]],360))*(13.3333333333333-MOD(P[[#This Row],[Moon]],13.333333333333))+P[[#This Row],[SunRise]]</f>
        <v>45375.315149823466</v>
      </c>
      <c r="M31" s="4" t="str">
        <f>IF(Panchanga!$R31&gt;15,"K","S")&amp;ROUNDUP(MOD(Panchanga!$R31,15),0)&amp;" ("&amp;ROUND(Panchanga!$R31,2)&amp;")"</f>
        <v>S13 (12.96)</v>
      </c>
      <c r="N31" s="4">
        <f>IF(AND(Panchanga!$R31&lt;28.5,Panchanga!$R31&gt;0.49999),MOD((Panchanga!$R31-0.5)*2,7),MOD((Panchanga!$R31+30-28.5),30)*2+7)</f>
        <v>3.9179999999999993</v>
      </c>
      <c r="O31" s="4" t="str">
        <f>CHOOSE(ROUNDUP(Panchanga!$N31,0),"Bhava","Baalava","Kaulava","Taitula","Garija","Vanija","Vishti","Shakuni","Chatushapda","Naaga","Kimstugna")</f>
        <v>Taitula</v>
      </c>
      <c r="P31" s="11" t="str">
        <f>CHOOSE(ROUNDUP(Panchanga!$S31,0),"viṣkambha","prīti","āyuṣmāna","saubhāgya","śobhana","atigaṇḍa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("&amp;Panchanga!$S31&amp;")"</f>
        <v>śūla  (8.47)</v>
      </c>
      <c r="Q31" s="4">
        <f>IF(AND(Panchanga!$R31&lt;28.5,Panchanga!$R31&gt;0.49999),MOD((Panchanga!$R31-0.5)*2,7),MOD((Panchanga!$R31+30-28.5),30)*2+7)</f>
        <v>3.9179999999999993</v>
      </c>
      <c r="R31" s="4">
        <f>ROUNDUP(MOD(360+P[[#This Row],[Moon]]-P[[#This Row],[Sun]],360)/12,4)</f>
        <v>12.959</v>
      </c>
      <c r="S31" s="4">
        <f>ROUNDUP(MOD(P[[#This Row],[Sun]]+P[[#This Row],[Moon]],360)/13.333333333,2)</f>
        <v>8.4700000000000006</v>
      </c>
      <c r="T31" s="4" t="str">
        <f>SIGN(W32-Panchanga!$W31)*INT(Panchanga!$W31/30+1)&amp;"Ma,"&amp;SIGN(X32-Panchanga!$X31)*INT(Panchanga!$X31/30+1)&amp;"Me,"&amp;SIGN(Y32-Panchanga!$Y31)*INT(Panchanga!$Y31/30+1)&amp;"J, "&amp;SIGN(Z32-Panchanga!$Z31)*INT(Panchanga!$Z31/30+1)&amp;"V,"&amp;SIGN(AA32-Panchanga!$AA31)*INT(Panchanga!$AA31/30+1)&amp;"S,"&amp;INT(Panchanga!$AB31/30+1)&amp;"R"</f>
        <v>11Ma,12Me,1J, 11V,11S,12R</v>
      </c>
      <c r="U31" s="4">
        <f t="shared" si="14"/>
        <v>338.68438425582673</v>
      </c>
      <c r="V31" s="4">
        <f t="shared" si="15"/>
        <v>134.19174246989735</v>
      </c>
      <c r="W31" s="4">
        <f>Planet(Panchanga!$G31,4)</f>
        <v>305.83564358337674</v>
      </c>
      <c r="X31" s="4">
        <f>Planet(Panchanga!$G31,2)</f>
        <v>357.07528279734788</v>
      </c>
      <c r="Y31" s="4">
        <f>Planet(Panchanga!$G31,5)</f>
        <v>21.279316922981174</v>
      </c>
      <c r="Z31" s="4">
        <f>Planet(Panchanga!$G31,3)</f>
        <v>319.56460246913184</v>
      </c>
      <c r="AA31" s="4">
        <f>Planet(Panchanga!$G31,6)</f>
        <v>318.3728923478601</v>
      </c>
      <c r="AB31" s="4">
        <f>Planet(Panchanga!$G31,10)</f>
        <v>352.33914017311679</v>
      </c>
      <c r="AC31" s="4" t="str">
        <f>TEXT(Panchanga!$C31+($C32-Panchanga!$C31)/ABS(IF($R32&lt;1,$R32+30,$R32)-Panchanga!$R31)*(ROUNDUP(Panchanga!$R31,0)-Panchanga!$R31),"hh:mm AM/PM")</f>
        <v>07:18 AM</v>
      </c>
      <c r="AD31" s="4"/>
    </row>
    <row r="32" spans="1:30" x14ac:dyDescent="0.2">
      <c r="A32" s="3">
        <f t="shared" si="18"/>
        <v>45375</v>
      </c>
      <c r="B32" s="3">
        <f t="shared" si="16"/>
        <v>45375.229166666664</v>
      </c>
      <c r="C32" s="6">
        <f t="shared" si="12"/>
        <v>45375.258245420795</v>
      </c>
      <c r="D32" s="6">
        <f>sunset(Lat,Long,B32)+TimeZone/24-0.000277777777777778</f>
        <v>45374.763771587561</v>
      </c>
      <c r="E32" s="6">
        <f>PlanetRiseSet(Lat,Long,B32,1,1)+TimeZone/24+0.00103009259259259</f>
        <v>45374.708768409364</v>
      </c>
      <c r="F32" s="6">
        <f>PlanetRiseSet(Lat,Long,B32+1,1,2)+TimeZone/24+0.00103009259259259</f>
        <v>45376.255480221625</v>
      </c>
      <c r="G32" s="7">
        <f>Panchanga!$C32-TimeZone/24</f>
        <v>45375.029078754131</v>
      </c>
      <c r="H32" s="8" t="str">
        <f>INT(P[[#This Row],[Sun]]/30)&amp;"s"&amp;ROUNDUP(MOD(P[[#This Row],[Sun]],30),2)</f>
        <v>11s9.68</v>
      </c>
      <c r="I32" s="13" t="str">
        <f>INT(P[[#This Row],[Moon]]/30)&amp;"s"&amp;ROUNDUP(MOD(P[[#This Row],[Moon]],30),2)</f>
        <v>4s26</v>
      </c>
      <c r="J32" s="14">
        <f t="shared" si="17"/>
        <v>45375.029078754131</v>
      </c>
      <c r="K32" s="10" t="str">
        <f>naks(P[[#This Row],[Moon]])</f>
        <v>Purva Phalguni</v>
      </c>
      <c r="L32" s="6">
        <f>(C33-P[[#This Row],[SunRise]])/(MOD(360+V33-P[[#This Row],[Moon]],360))*(13.3333333333333-MOD(P[[#This Row],[Moon]],13.333333333333))+P[[#This Row],[SunRise]]</f>
        <v>45375.315098834399</v>
      </c>
      <c r="M32" s="4" t="str">
        <f>IF(Panchanga!$R32&gt;15,"K","S")&amp;ROUNDUP(MOD(Panchanga!$R32,15),0)&amp;" ("&amp;ROUND(Panchanga!$R32,2)&amp;")"</f>
        <v>S14 (13.86)</v>
      </c>
      <c r="N32" s="4">
        <f>IF(AND(Panchanga!$R32&lt;28.5,Panchanga!$R32&gt;0.49999),MOD((Panchanga!$R32-0.5)*2,7),MOD((Panchanga!$R32+30-28.5),30)*2+7)</f>
        <v>5.7199999999999989</v>
      </c>
      <c r="O32" s="4" t="str">
        <f>CHOOSE(ROUNDUP(Panchanga!$N32,0),"Bhava","Baalava","Kaulava","Taitula","Garija","Vanija","Vishti","Shakuni","Chatushapda","Naaga","Kimstugna")</f>
        <v>Vanija</v>
      </c>
      <c r="P32" s="11" t="str">
        <f>CHOOSE(ROUNDUP(Panchanga!$S32,0),"viṣkambha","prīti","āyuṣmāna","saubhāgya","śobhana","atigaṇḍa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("&amp;Panchanga!$S32&amp;")"</f>
        <v>gaṇḍa  (9.43)</v>
      </c>
      <c r="Q32" s="4">
        <f>IF(AND(Panchanga!$R32&lt;28.5,Panchanga!$R32&gt;0.49999),MOD((Panchanga!$R32-0.5)*2,7),MOD((Panchanga!$R32+30-28.5),30)*2+7)</f>
        <v>5.7199999999999989</v>
      </c>
      <c r="R32" s="4">
        <f>ROUNDUP(MOD(360+P[[#This Row],[Moon]]-P[[#This Row],[Sun]],360)/12,4)</f>
        <v>13.86</v>
      </c>
      <c r="S32" s="4">
        <f>ROUNDUP(MOD(P[[#This Row],[Sun]]+P[[#This Row],[Moon]],360)/13.333333333,2)</f>
        <v>9.43</v>
      </c>
      <c r="T32" s="4" t="str">
        <f>SIGN(W33-Panchanga!$W32)*INT(Panchanga!$W32/30+1)&amp;"Ma,"&amp;SIGN(X33-Panchanga!$X32)*INT(Panchanga!$X32/30+1)&amp;"Me,"&amp;SIGN(Y33-Panchanga!$Y32)*INT(Panchanga!$Y32/30+1)&amp;"J, "&amp;SIGN(Z33-Panchanga!$Z32)*INT(Panchanga!$Z32/30+1)&amp;"V,"&amp;SIGN(AA33-Panchanga!$AA32)*INT(Panchanga!$AA32/30+1)&amp;"S,"&amp;INT(Panchanga!$AB32/30+1)&amp;"R"</f>
        <v>11Ma,12Me,1J, 11V,11S,12R</v>
      </c>
      <c r="U32" s="4">
        <f t="shared" si="14"/>
        <v>339.67531372325516</v>
      </c>
      <c r="V32" s="4">
        <f t="shared" si="15"/>
        <v>145.99470846106445</v>
      </c>
      <c r="W32" s="4">
        <f>Planet(Panchanga!$G32,4)</f>
        <v>306.61334496317596</v>
      </c>
      <c r="X32" s="4">
        <f>Planet(Panchanga!$G32,2)</f>
        <v>358.19909362245073</v>
      </c>
      <c r="Y32" s="4">
        <f>Planet(Panchanga!$G32,5)</f>
        <v>21.484265249367848</v>
      </c>
      <c r="Z32" s="4">
        <f>Planet(Panchanga!$G32,3)</f>
        <v>320.80072537899412</v>
      </c>
      <c r="AA32" s="4">
        <f>Planet(Panchanga!$G32,6)</f>
        <v>318.48979032346892</v>
      </c>
      <c r="AB32" s="4">
        <f>Planet(Panchanga!$G32,10)</f>
        <v>352.28617322247823</v>
      </c>
      <c r="AC32" s="4" t="str">
        <f>TEXT(Panchanga!$C32+($C33-Panchanga!$C32)/ABS(IF($R33&lt;1,$R33+30,$R33)-Panchanga!$R32)*(ROUNDUP(Panchanga!$R32,0)-Panchanga!$R32),"hh:mm AM/PM")</f>
        <v>09:55 AM</v>
      </c>
      <c r="AD32" s="4"/>
    </row>
    <row r="33" spans="1:30" x14ac:dyDescent="0.2">
      <c r="A33" s="3">
        <f t="shared" si="18"/>
        <v>45376</v>
      </c>
      <c r="B33" s="3">
        <f t="shared" si="16"/>
        <v>45376.229166666664</v>
      </c>
      <c r="C33" s="6">
        <f t="shared" si="12"/>
        <v>45376.257772612073</v>
      </c>
      <c r="D33" s="6">
        <f>sunset(Lat,Long,B33)+TimeZone/24-0.000277777777777778</f>
        <v>45375.763824407521</v>
      </c>
      <c r="E33" s="6">
        <f>PlanetRiseSet(Lat,Long,B33,1,1)+TimeZone/24+0.00103009259259259</f>
        <v>45375.739962728847</v>
      </c>
      <c r="F33" s="6">
        <f>PlanetRiseSet(Lat,Long,B33+1,1,2)+TimeZone/24+0.00103009259259259</f>
        <v>45377.278618191522</v>
      </c>
      <c r="G33" s="7">
        <f>Panchanga!$C33-TimeZone/24</f>
        <v>45376.028605945408</v>
      </c>
      <c r="H33" s="8" t="str">
        <f>INT(P[[#This Row],[Sun]]/30)&amp;"s"&amp;ROUNDUP(MOD(P[[#This Row],[Sun]],30),2)</f>
        <v>11s10.67</v>
      </c>
      <c r="I33" s="13" t="str">
        <f>INT(P[[#This Row],[Moon]]/30)&amp;"s"&amp;ROUNDUP(MOD(P[[#This Row],[Moon]],30),2)</f>
        <v>5s7.81</v>
      </c>
      <c r="J33" s="14">
        <f t="shared" si="17"/>
        <v>45376.028605945408</v>
      </c>
      <c r="K33" s="10" t="str">
        <f>naks(P[[#This Row],[Moon]])</f>
        <v>Uttara Phalguni</v>
      </c>
      <c r="L33" s="6">
        <f>(C34-P[[#This Row],[SunRise]])/(MOD(360+V34-P[[#This Row],[Moon]],360))*(13.3333333333333-MOD(P[[#This Row],[Moon]],13.333333333333))+P[[#This Row],[SunRise]]</f>
        <v>45376.442492471979</v>
      </c>
      <c r="M33" s="4" t="str">
        <f>IF(Panchanga!$R33&gt;15,"K","S")&amp;ROUNDUP(MOD(Panchanga!$R33,15),0)&amp;" ("&amp;ROUND(Panchanga!$R33,2)&amp;")"</f>
        <v>S15 (14.76)</v>
      </c>
      <c r="N33" s="4">
        <f>IF(AND(Panchanga!$R33&lt;28.5,Panchanga!$R33&gt;0.49999),MOD((Panchanga!$R33-0.5)*2,7),MOD((Panchanga!$R33+30-28.5),30)*2+7)</f>
        <v>0.52379999999999782</v>
      </c>
      <c r="O33" s="4" t="str">
        <f>CHOOSE(ROUNDUP(Panchanga!$N33,0),"Bhava","Baalava","Kaulava","Taitula","Garija","Vanija","Vishti","Shakuni","Chatushapda","Naaga","Kimstugna")</f>
        <v>Bhava</v>
      </c>
      <c r="P33" s="11" t="str">
        <f>CHOOSE(ROUNDUP(Panchanga!$S33,0),"viṣkambha","prīti","āyuṣmāna","saubhāgya","śobhana","atigaṇḍa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("&amp;Panchanga!$S33&amp;")"</f>
        <v>vṛddhi  (10.39)</v>
      </c>
      <c r="Q33" s="4">
        <f>IF(AND(Panchanga!$R33&lt;28.5,Panchanga!$R33&gt;0.49999),MOD((Panchanga!$R33-0.5)*2,7),MOD((Panchanga!$R33+30-28.5),30)*2+7)</f>
        <v>0.52379999999999782</v>
      </c>
      <c r="R33" s="4">
        <f>ROUNDUP(MOD(360+P[[#This Row],[Moon]]-P[[#This Row],[Sun]],360)/12,4)</f>
        <v>14.761899999999999</v>
      </c>
      <c r="S33" s="4">
        <f>ROUNDUP(MOD(P[[#This Row],[Sun]]+P[[#This Row],[Moon]],360)/13.333333333,2)</f>
        <v>10.39</v>
      </c>
      <c r="T33" s="4" t="str">
        <f>SIGN(W34-Panchanga!$W33)*INT(Panchanga!$W33/30+1)&amp;"Ma,"&amp;SIGN(X34-Panchanga!$X33)*INT(Panchanga!$X33/30+1)&amp;"Me,"&amp;SIGN(Y34-Panchanga!$Y33)*INT(Panchanga!$Y33/30+1)&amp;"J, "&amp;SIGN(Z34-Panchanga!$Z33)*INT(Panchanga!$Z33/30+1)&amp;"V,"&amp;SIGN(AA34-Panchanga!$AA33)*INT(Panchanga!$AA33/30+1)&amp;"S,"&amp;INT(Panchanga!$AB33/30+1)&amp;"R"</f>
        <v>11Ma,-12Me,1J, 11V,11S,12R</v>
      </c>
      <c r="U33" s="4">
        <f t="shared" si="14"/>
        <v>340.66566360402265</v>
      </c>
      <c r="V33" s="4">
        <f t="shared" si="15"/>
        <v>157.80825588593058</v>
      </c>
      <c r="W33" s="4">
        <f>Planet(Panchanga!$G33,4)</f>
        <v>307.39109285454271</v>
      </c>
      <c r="X33" s="4">
        <f>Planet(Panchanga!$G33,2)</f>
        <v>359.21355974363576</v>
      </c>
      <c r="Y33" s="4">
        <f>Planet(Panchanga!$G33,5)</f>
        <v>21.690394068053912</v>
      </c>
      <c r="Z33" s="4">
        <f>Planet(Panchanga!$G33,3)</f>
        <v>322.0367601284517</v>
      </c>
      <c r="AA33" s="4">
        <f>Planet(Panchanga!$G33,6)</f>
        <v>318.60624466109743</v>
      </c>
      <c r="AB33" s="4">
        <f>Planet(Panchanga!$G33,10)</f>
        <v>352.23320629005161</v>
      </c>
      <c r="AC33" s="4" t="str">
        <f>TEXT(Panchanga!$C33+($C34-Panchanga!$C33)/ABS(IF($R34&lt;1,$R34+30,$R34)-Panchanga!$R33)*(ROUNDUP(Panchanga!$R33,0)-Panchanga!$R33),"hh:mm AM/PM")</f>
        <v>12:29 PM</v>
      </c>
      <c r="AD33" s="4"/>
    </row>
    <row r="34" spans="1:30" x14ac:dyDescent="0.2">
      <c r="A34" s="3">
        <f t="shared" si="18"/>
        <v>45377</v>
      </c>
      <c r="B34" s="3">
        <f t="shared" si="16"/>
        <v>45377.229166666664</v>
      </c>
      <c r="C34" s="6">
        <f t="shared" si="12"/>
        <v>45377.257299760975</v>
      </c>
      <c r="D34" s="6">
        <f>sunset(Lat,Long,B34)+TimeZone/24-0.000277777777777778</f>
        <v>45376.763876602563</v>
      </c>
      <c r="E34" s="6">
        <f>PlanetRiseSet(Lat,Long,B34,1,1)+TimeZone/24+0.00103009259259259</f>
        <v>45376.770963817522</v>
      </c>
      <c r="F34" s="6">
        <f>PlanetRiseSet(Lat,Long,B34+1,1,2)+TimeZone/24+0.00103009259259259</f>
        <v>45378.302587181017</v>
      </c>
      <c r="G34" s="7">
        <f>Panchanga!$C34-TimeZone/24</f>
        <v>45377.028133094311</v>
      </c>
      <c r="H34" s="8" t="str">
        <f>INT(P[[#This Row],[Sun]]/30)&amp;"s"&amp;ROUNDUP(MOD(P[[#This Row],[Sun]],30),2)</f>
        <v>11s11.66</v>
      </c>
      <c r="I34" s="13" t="str">
        <f>INT(P[[#This Row],[Moon]]/30)&amp;"s"&amp;ROUNDUP(MOD(P[[#This Row],[Moon]],30),2)</f>
        <v>5s19.67</v>
      </c>
      <c r="J34" s="14">
        <f t="shared" si="17"/>
        <v>45377.028133094311</v>
      </c>
      <c r="K34" s="10" t="str">
        <f>naks(P[[#This Row],[Moon]])</f>
        <v>Hasta</v>
      </c>
      <c r="L34" s="6">
        <f>(C35-P[[#This Row],[SunRise]])/(MOD(360+V35-P[[#This Row],[Moon]],360))*(13.3333333333333-MOD(P[[#This Row],[Moon]],13.333333333333))+P[[#This Row],[SunRise]]</f>
        <v>45377.564135618784</v>
      </c>
      <c r="M34" s="4" t="str">
        <f>IF(Panchanga!$R34&gt;15,"K","S")&amp;ROUNDUP(MOD(Panchanga!$R34,15),0)&amp;" ("&amp;ROUND(Panchanga!$R34,2)&amp;")"</f>
        <v>K1 (15.67)</v>
      </c>
      <c r="N34" s="4">
        <f>IF(AND(Panchanga!$R34&lt;28.5,Panchanga!$R34&gt;0.49999),MOD((Panchanga!$R34-0.5)*2,7),MOD((Panchanga!$R34+30-28.5),30)*2+7)</f>
        <v>2.3355999999999995</v>
      </c>
      <c r="O34" s="4" t="str">
        <f>CHOOSE(ROUNDUP(Panchanga!$N34,0),"Bhava","Baalava","Kaulava","Taitula","Garija","Vanija","Vishti","Shakuni","Chatushapda","Naaga","Kimstugna")</f>
        <v>Kaulava</v>
      </c>
      <c r="P34" s="11" t="str">
        <f>CHOOSE(ROUNDUP(Panchanga!$S34,0),"viṣkambha","prīti","āyuṣmāna","saubhāgya","śobhana","atigaṇḍa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("&amp;Panchanga!$S34&amp;")"</f>
        <v>dhruva  (11.35)</v>
      </c>
      <c r="Q34" s="4">
        <f>IF(AND(Panchanga!$R34&lt;28.5,Panchanga!$R34&gt;0.49999),MOD((Panchanga!$R34-0.5)*2,7),MOD((Panchanga!$R34+30-28.5),30)*2+7)</f>
        <v>2.3355999999999995</v>
      </c>
      <c r="R34" s="4">
        <f>ROUNDUP(MOD(360+P[[#This Row],[Moon]]-P[[#This Row],[Sun]],360)/12,4)</f>
        <v>15.6678</v>
      </c>
      <c r="S34" s="4">
        <f>ROUNDUP(MOD(P[[#This Row],[Sun]]+P[[#This Row],[Moon]],360)/13.333333333,2)</f>
        <v>11.35</v>
      </c>
      <c r="T34" s="4" t="str">
        <f>SIGN(W35-Panchanga!$W34)*INT(Panchanga!$W34/30+1)&amp;"Ma,"&amp;SIGN(X35-Panchanga!$X34)*INT(Panchanga!$X34/30+1)&amp;"Me,"&amp;SIGN(Y35-Panchanga!$Y34)*INT(Panchanga!$Y34/30+1)&amp;"J, "&amp;SIGN(Z35-Panchanga!$Z34)*INT(Panchanga!$Z34/30+1)&amp;"V,"&amp;SIGN(AA35-Panchanga!$AA34)*INT(Panchanga!$AA34/30+1)&amp;"S,"&amp;INT(Panchanga!$AB34/30+1)&amp;"R"</f>
        <v>11Ma,1Me,1J, 11V,11S,12R</v>
      </c>
      <c r="U34" s="4">
        <f t="shared" si="14"/>
        <v>341.65544659990582</v>
      </c>
      <c r="V34" s="4">
        <f t="shared" si="15"/>
        <v>169.66787805430303</v>
      </c>
      <c r="W34" s="4">
        <f>Planet(Panchanga!$G34,4)</f>
        <v>308.16888166051524</v>
      </c>
      <c r="X34" s="4">
        <f>Planet(Panchanga!$G34,2)</f>
        <v>0.1141539588339377</v>
      </c>
      <c r="Y34" s="4">
        <f>Planet(Panchanga!$G34,5)</f>
        <v>21.897678736966096</v>
      </c>
      <c r="Z34" s="4">
        <f>Planet(Panchanga!$G34,3)</f>
        <v>323.27271134402281</v>
      </c>
      <c r="AA34" s="4">
        <f>Planet(Panchanga!$G34,6)</f>
        <v>318.72223895654071</v>
      </c>
      <c r="AB34" s="4">
        <f>Planet(Panchanga!$G34,10)</f>
        <v>352.18023935994711</v>
      </c>
      <c r="AC34" s="4" t="str">
        <f>TEXT(Panchanga!$C34+($C35-Panchanga!$C34)/ABS(IF($R35&lt;1,$R35+30,$R35)-Panchanga!$R34)*(ROUNDUP(Panchanga!$R34,0)-Panchanga!$R34),"hh:mm AM/PM")</f>
        <v>02:54 PM</v>
      </c>
      <c r="AD34" s="4"/>
    </row>
    <row r="35" spans="1:30" x14ac:dyDescent="0.2">
      <c r="A35" s="3">
        <f t="shared" si="18"/>
        <v>45378</v>
      </c>
      <c r="B35" s="3">
        <f t="shared" si="16"/>
        <v>45378.229166666664</v>
      </c>
      <c r="C35" s="6">
        <f t="shared" si="12"/>
        <v>45378.256827168785</v>
      </c>
      <c r="D35" s="6">
        <f>sunset(Lat,Long,B35)+TimeZone/24-0.000277777777777778</f>
        <v>45377.763928402725</v>
      </c>
      <c r="E35" s="6">
        <f>PlanetRiseSet(Lat,Long,B35,1,1)+TimeZone/24+0.00103009259259259</f>
        <v>45377.80243901458</v>
      </c>
      <c r="F35" s="6">
        <f>PlanetRiseSet(Lat,Long,B35+1,1,2)+TimeZone/24+0.00103009259259259</f>
        <v>45379.328169253808</v>
      </c>
      <c r="G35" s="7">
        <f>Panchanga!$C35-TimeZone/24</f>
        <v>45378.027660502121</v>
      </c>
      <c r="H35" s="8" t="str">
        <f>INT(P[[#This Row],[Sun]]/30)&amp;"s"&amp;ROUNDUP(MOD(P[[#This Row],[Sun]],30),2)</f>
        <v>11s12.65</v>
      </c>
      <c r="I35" s="13" t="str">
        <f>INT(P[[#This Row],[Moon]]/30)&amp;"s"&amp;ROUNDUP(MOD(P[[#This Row],[Moon]],30),2)</f>
        <v>6s1.61</v>
      </c>
      <c r="J35" s="14">
        <f t="shared" si="17"/>
        <v>45378.027660502121</v>
      </c>
      <c r="K35" s="10" t="str">
        <f>naks(P[[#This Row],[Moon]])</f>
        <v>Chitra</v>
      </c>
      <c r="L35" s="6">
        <f>(C36-P[[#This Row],[SunRise]])/(MOD(360+V36-P[[#This Row],[Moon]],360))*(13.3333333333333-MOD(P[[#This Row],[Moon]],13.333333333333))+P[[#This Row],[SunRise]]</f>
        <v>45378.676170038008</v>
      </c>
      <c r="M35" s="4" t="str">
        <f>IF(Panchanga!$R35&gt;15,"K","S")&amp;ROUNDUP(MOD(Panchanga!$R35,15),0)&amp;" ("&amp;ROUND(Panchanga!$R35,2)&amp;")"</f>
        <v>K2 (16.58)</v>
      </c>
      <c r="N35" s="4">
        <f>IF(AND(Panchanga!$R35&lt;28.5,Panchanga!$R35&gt;0.49999),MOD((Panchanga!$R35-0.5)*2,7),MOD((Panchanga!$R35+30-28.5),30)*2+7)</f>
        <v>4.1606000000000023</v>
      </c>
      <c r="O35" s="4" t="str">
        <f>CHOOSE(ROUNDUP(Panchanga!$N35,0),"Bhava","Baalava","Kaulava","Taitula","Garija","Vanija","Vishti","Shakuni","Chatushapda","Naaga","Kimstugna")</f>
        <v>Garija</v>
      </c>
      <c r="P35" s="11" t="str">
        <f>CHOOSE(ROUNDUP(Panchanga!$S35,0),"viṣkambha","prīti","āyuṣmāna","saubhāgya","śobhana","atigaṇḍa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("&amp;Panchanga!$S35&amp;")"</f>
        <v>vyāghāta (12.32)</v>
      </c>
      <c r="Q35" s="4">
        <f>IF(AND(Panchanga!$R35&lt;28.5,Panchanga!$R35&gt;0.49999),MOD((Panchanga!$R35-0.5)*2,7),MOD((Panchanga!$R35+30-28.5),30)*2+7)</f>
        <v>4.1606000000000023</v>
      </c>
      <c r="R35" s="4">
        <f>ROUNDUP(MOD(360+P[[#This Row],[Moon]]-P[[#This Row],[Sun]],360)/12,4)</f>
        <v>16.580300000000001</v>
      </c>
      <c r="S35" s="4">
        <f>ROUNDUP(MOD(P[[#This Row],[Sun]]+P[[#This Row],[Moon]],360)/13.333333333,2)</f>
        <v>12.32</v>
      </c>
      <c r="T35" s="4" t="str">
        <f>SIGN(W36-Panchanga!$W35)*INT(Panchanga!$W35/30+1)&amp;"Ma,"&amp;SIGN(X36-Panchanga!$X35)*INT(Panchanga!$X35/30+1)&amp;"Me,"&amp;SIGN(Y36-Panchanga!$Y35)*INT(Panchanga!$Y35/30+1)&amp;"J, "&amp;SIGN(Z36-Panchanga!$Z35)*INT(Panchanga!$Z35/30+1)&amp;"V,"&amp;SIGN(AA36-Panchanga!$AA35)*INT(Panchanga!$AA35/30+1)&amp;"S,"&amp;INT(Panchanga!$AB35/30+1)&amp;"R"</f>
        <v>11Ma,1Me,1J, 11V,11S,12R</v>
      </c>
      <c r="U35" s="4">
        <f t="shared" si="14"/>
        <v>342.64467584012465</v>
      </c>
      <c r="V35" s="4">
        <f t="shared" si="15"/>
        <v>181.6082133190485</v>
      </c>
      <c r="W35" s="4">
        <f>Planet(Panchanga!$G35,4)</f>
        <v>308.94670528860706</v>
      </c>
      <c r="X35" s="4">
        <f>Planet(Panchanga!$G35,2)</f>
        <v>0.89711638919522119</v>
      </c>
      <c r="Y35" s="4">
        <f>Planet(Panchanga!$G35,5)</f>
        <v>22.106095191936461</v>
      </c>
      <c r="Z35" s="4">
        <f>Planet(Panchanga!$G35,3)</f>
        <v>324.50858348317098</v>
      </c>
      <c r="AA35" s="4">
        <f>Planet(Panchanga!$G35,6)</f>
        <v>318.83775677628478</v>
      </c>
      <c r="AB35" s="4">
        <f>Planet(Panchanga!$G35,10)</f>
        <v>352.12727241606007</v>
      </c>
      <c r="AC35" s="4" t="str">
        <f>TEXT(Panchanga!$C35+($C36-Panchanga!$C35)/ABS(IF($R36&lt;1,$R36+30,$R36)-Panchanga!$R35)*(ROUNDUP(Panchanga!$R35,0)-Panchanga!$R35),"hh:mm AM/PM")</f>
        <v>05:04 PM</v>
      </c>
      <c r="AD35" s="4"/>
    </row>
    <row r="36" spans="1:30" x14ac:dyDescent="0.2">
      <c r="A36" s="3">
        <f t="shared" si="18"/>
        <v>45379</v>
      </c>
      <c r="B36" s="3">
        <f t="shared" si="16"/>
        <v>45379.229166666664</v>
      </c>
      <c r="C36" s="6">
        <f t="shared" si="12"/>
        <v>45379.256355135389</v>
      </c>
      <c r="D36" s="6">
        <f>sunset(Lat,Long,B36)+TimeZone/24-0.000277777777777778</f>
        <v>45378.763980036179</v>
      </c>
      <c r="E36" s="6">
        <f>PlanetRiseSet(Lat,Long,B36,1,1)+TimeZone/24+0.00103009259259259</f>
        <v>45378.835046754371</v>
      </c>
      <c r="F36" s="6">
        <f>PlanetRiseSet(Lat,Long,B36+1,1,2)+TimeZone/24+0.00103009259259259</f>
        <v>45380.356165141486</v>
      </c>
      <c r="G36" s="7">
        <f>Panchanga!$C36-TimeZone/24</f>
        <v>45379.027188468724</v>
      </c>
      <c r="H36" s="8" t="str">
        <f>INT(P[[#This Row],[Sun]]/30)&amp;"s"&amp;ROUNDUP(MOD(P[[#This Row],[Sun]],30),2)</f>
        <v>11s13.64</v>
      </c>
      <c r="I36" s="13" t="str">
        <f>INT(P[[#This Row],[Moon]]/30)&amp;"s"&amp;ROUNDUP(MOD(P[[#This Row],[Moon]],30),2)</f>
        <v>6s13.67</v>
      </c>
      <c r="J36" s="14">
        <f t="shared" si="17"/>
        <v>45379.027188468724</v>
      </c>
      <c r="K36" s="10" t="str">
        <f>naks(P[[#This Row],[Moon]])</f>
        <v>Swati</v>
      </c>
      <c r="L36" s="6">
        <f>(C37-P[[#This Row],[SunRise]])/(MOD(360+V37-P[[#This Row],[Moon]],360))*(13.3333333333333-MOD(P[[#This Row],[Moon]],13.333333333333))+P[[#This Row],[SunRise]]</f>
        <v>45379.774787557057</v>
      </c>
      <c r="M36" s="4" t="str">
        <f>IF(Panchanga!$R36&gt;15,"K","S")&amp;ROUNDUP(MOD(Panchanga!$R36,15),0)&amp;" ("&amp;ROUND(Panchanga!$R36,2)&amp;")"</f>
        <v>K3 (17.5)</v>
      </c>
      <c r="N36" s="4">
        <f>IF(AND(Panchanga!$R36&lt;28.5,Panchanga!$R36&gt;0.49999),MOD((Panchanga!$R36-0.5)*2,7),MOD((Panchanga!$R36+30-28.5),30)*2+7)</f>
        <v>6.0054000000000016</v>
      </c>
      <c r="O36" s="4" t="str">
        <f>CHOOSE(ROUNDUP(Panchanga!$N36,0),"Bhava","Baalava","Kaulava","Taitula","Garija","Vanija","Vishti","Shakuni","Chatushapda","Naaga","Kimstugna")</f>
        <v>Vishti</v>
      </c>
      <c r="P36" s="11" t="str">
        <f>CHOOSE(ROUNDUP(Panchanga!$S36,0),"viṣkambha","prīti","āyuṣmāna","saubhāgya","śobhana","atigaṇḍa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("&amp;Panchanga!$S36&amp;")"</f>
        <v>harṣaṇa (13.3)</v>
      </c>
      <c r="Q36" s="4">
        <f>IF(AND(Panchanga!$R36&lt;28.5,Panchanga!$R36&gt;0.49999),MOD((Panchanga!$R36-0.5)*2,7),MOD((Panchanga!$R36+30-28.5),30)*2+7)</f>
        <v>6.0054000000000016</v>
      </c>
      <c r="R36" s="4">
        <f>ROUNDUP(MOD(360+P[[#This Row],[Moon]]-P[[#This Row],[Sun]],360)/12,4)</f>
        <v>17.502700000000001</v>
      </c>
      <c r="S36" s="4">
        <f>ROUNDUP(MOD(P[[#This Row],[Sun]]+P[[#This Row],[Moon]],360)/13.333333333,2)</f>
        <v>13.299999999999999</v>
      </c>
      <c r="T36" s="4" t="str">
        <f>SIGN(W37-Panchanga!$W36)*INT(Panchanga!$W36/30+1)&amp;"Ma,"&amp;SIGN(X37-Panchanga!$X36)*INT(Panchanga!$X36/30+1)&amp;"Me,"&amp;SIGN(Y37-Panchanga!$Y36)*INT(Panchanga!$Y36/30+1)&amp;"J, "&amp;SIGN(Z37-Panchanga!$Z36)*INT(Panchanga!$Z36/30+1)&amp;"V,"&amp;SIGN(AA37-Panchanga!$AA36)*INT(Panchanga!$AA36/30+1)&amp;"S,"&amp;INT(Panchanga!$AB36/30+1)&amp;"R"</f>
        <v>11Ma,1Me,1J, 11V,11S,12R</v>
      </c>
      <c r="U36" s="4">
        <f t="shared" si="14"/>
        <v>343.63336461534806</v>
      </c>
      <c r="V36" s="4">
        <f t="shared" si="15"/>
        <v>193.66532924909652</v>
      </c>
      <c r="W36" s="4">
        <f>Planet(Panchanga!$G36,4)</f>
        <v>309.72455699395817</v>
      </c>
      <c r="X36" s="4">
        <f>Planet(Panchanga!$G36,2)</f>
        <v>1.5594976658131223</v>
      </c>
      <c r="Y36" s="4">
        <f>Planet(Panchanga!$G36,5)</f>
        <v>22.31561989868219</v>
      </c>
      <c r="Z36" s="4">
        <f>Planet(Panchanga!$G36,3)</f>
        <v>325.74438068594736</v>
      </c>
      <c r="AA36" s="4">
        <f>Planet(Panchanga!$G36,6)</f>
        <v>318.9527816133716</v>
      </c>
      <c r="AB36" s="4">
        <f>Planet(Panchanga!$G36,10)</f>
        <v>352.07430544260035</v>
      </c>
      <c r="AC36" s="4" t="str">
        <f>TEXT(Panchanga!$C36+($C37-Panchanga!$C36)/ABS(IF($R37&lt;1,$R37+30,$R37)-Panchanga!$R36)*(ROUNDUP(Panchanga!$R36,0)-Panchanga!$R36),"hh:mm AM/PM")</f>
        <v>06:54 PM</v>
      </c>
      <c r="AD36" s="4"/>
    </row>
    <row r="37" spans="1:30" x14ac:dyDescent="0.2">
      <c r="A37" s="3">
        <f t="shared" si="18"/>
        <v>45380</v>
      </c>
      <c r="B37" s="3">
        <f t="shared" si="16"/>
        <v>45380.229166666664</v>
      </c>
      <c r="C37" s="6">
        <f t="shared" si="12"/>
        <v>45380.255883959275</v>
      </c>
      <c r="D37" s="6">
        <f>sunset(Lat,Long,B37)+TimeZone/24-0.000277777777777778</f>
        <v>45379.764031729705</v>
      </c>
      <c r="E37" s="6">
        <f>PlanetRiseSet(Lat,Long,B37,1,1)+TimeZone/24+0.00103009259259259</f>
        <v>45379.869372055087</v>
      </c>
      <c r="F37" s="6">
        <f>PlanetRiseSet(Lat,Long,B37+1,1,2)+TimeZone/24+0.00103009259259259</f>
        <v>45381.387318965666</v>
      </c>
      <c r="G37" s="7">
        <f>Panchanga!$C37-TimeZone/24</f>
        <v>45380.026717292611</v>
      </c>
      <c r="H37" s="8" t="str">
        <f>INT(P[[#This Row],[Sun]]/30)&amp;"s"&amp;ROUNDUP(MOD(P[[#This Row],[Sun]],30),2)</f>
        <v>11s14.63</v>
      </c>
      <c r="I37" s="13" t="str">
        <f>INT(P[[#This Row],[Moon]]/30)&amp;"s"&amp;ROUNDUP(MOD(P[[#This Row],[Moon]],30),2)</f>
        <v>6s25.88</v>
      </c>
      <c r="J37" s="14">
        <f t="shared" si="17"/>
        <v>45380.026717292611</v>
      </c>
      <c r="K37" s="10" t="str">
        <f>naks(P[[#This Row],[Moon]])</f>
        <v>Visakha</v>
      </c>
      <c r="L37" s="6">
        <f>(C38-P[[#This Row],[SunRise]])/(MOD(360+V38-P[[#This Row],[Moon]],360))*(13.3333333333333-MOD(P[[#This Row],[Moon]],13.333333333333))+P[[#This Row],[SunRise]]</f>
        <v>45380.856203007177</v>
      </c>
      <c r="M37" s="4" t="str">
        <f>IF(Panchanga!$R37&gt;15,"K","S")&amp;ROUNDUP(MOD(Panchanga!$R37,15),0)&amp;" ("&amp;ROUND(Panchanga!$R37,2)&amp;")"</f>
        <v>K4 (18.44)</v>
      </c>
      <c r="N37" s="4">
        <f>IF(AND(Panchanga!$R37&lt;28.5,Panchanga!$R37&gt;0.49999),MOD((Panchanga!$R37-0.5)*2,7),MOD((Panchanga!$R37+30-28.5),30)*2+7)</f>
        <v>0.8761999999999972</v>
      </c>
      <c r="O37" s="4" t="str">
        <f>CHOOSE(ROUNDUP(Panchanga!$N37,0),"Bhava","Baalava","Kaulava","Taitula","Garija","Vanija","Vishti","Shakuni","Chatushapda","Naaga","Kimstugna")</f>
        <v>Bhava</v>
      </c>
      <c r="P37" s="11" t="str">
        <f>CHOOSE(ROUNDUP(Panchanga!$S37,0),"viṣkambha","prīti","āyuṣmāna","saubhāgya","śobhana","atigaṇḍa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("&amp;Panchanga!$S37&amp;")"</f>
        <v>vajra (14.29)</v>
      </c>
      <c r="Q37" s="4">
        <f>IF(AND(Panchanga!$R37&lt;28.5,Panchanga!$R37&gt;0.49999),MOD((Panchanga!$R37-0.5)*2,7),MOD((Panchanga!$R37+30-28.5),30)*2+7)</f>
        <v>0.8761999999999972</v>
      </c>
      <c r="R37" s="4">
        <f>ROUNDUP(MOD(360+P[[#This Row],[Moon]]-P[[#This Row],[Sun]],360)/12,4)</f>
        <v>18.438099999999999</v>
      </c>
      <c r="S37" s="4">
        <f>ROUNDUP(MOD(P[[#This Row],[Sun]]+P[[#This Row],[Moon]],360)/13.333333333,2)</f>
        <v>14.29</v>
      </c>
      <c r="T37" s="4" t="str">
        <f>SIGN(W38-Panchanga!$W37)*INT(Panchanga!$W37/30+1)&amp;"Ma,"&amp;SIGN(X38-Panchanga!$X37)*INT(Panchanga!$X37/30+1)&amp;"Me,"&amp;SIGN(Y38-Panchanga!$Y37)*INT(Panchanga!$Y37/30+1)&amp;"J, "&amp;SIGN(Z38-Panchanga!$Z37)*INT(Panchanga!$Z37/30+1)&amp;"V,"&amp;SIGN(AA38-Panchanga!$AA37)*INT(Panchanga!$AA37/30+1)&amp;"S,"&amp;INT(Panchanga!$AB37/30+1)&amp;"R"</f>
        <v>11Ma,1Me,1J, 11V,11S,12R</v>
      </c>
      <c r="U37" s="4">
        <f t="shared" si="14"/>
        <v>344.6215260551117</v>
      </c>
      <c r="V37" s="4">
        <f t="shared" si="15"/>
        <v>205.87846589084222</v>
      </c>
      <c r="W37" s="4">
        <f>Planet(Panchanga!$G37,4)</f>
        <v>310.5024291890856</v>
      </c>
      <c r="X37" s="4">
        <f>Planet(Panchanga!$G37,2)</f>
        <v>2.0992092503718633</v>
      </c>
      <c r="Y37" s="4">
        <f>Planet(Panchanga!$G37,5)</f>
        <v>22.526229798604962</v>
      </c>
      <c r="Z37" s="4">
        <f>Planet(Panchanga!$G37,3)</f>
        <v>326.98010658859869</v>
      </c>
      <c r="AA37" s="4">
        <f>Planet(Panchanga!$G37,6)</f>
        <v>319.06729683675803</v>
      </c>
      <c r="AB37" s="4">
        <f>Planet(Panchanga!$G37,10)</f>
        <v>352.02133842367846</v>
      </c>
      <c r="AC37" s="4" t="str">
        <f>TEXT(Panchanga!$C37+($C38-Panchanga!$C37)/ABS(IF($R38&lt;1,$R38+30,$R38)-Panchanga!$R37)*(ROUNDUP(Panchanga!$R37,0)-Panchanga!$R37),"hh:mm AM/PM")</f>
        <v>08:17 PM</v>
      </c>
      <c r="AD37" s="4"/>
    </row>
    <row r="38" spans="1:30" x14ac:dyDescent="0.2">
      <c r="A38" s="3">
        <f t="shared" si="18"/>
        <v>45381</v>
      </c>
      <c r="B38" s="3">
        <f t="shared" si="16"/>
        <v>45381.229166666664</v>
      </c>
      <c r="C38" s="6">
        <f t="shared" si="12"/>
        <v>45381.255413935673</v>
      </c>
      <c r="D38" s="6">
        <f>sunset(Lat,Long,B38)+TimeZone/24-0.000277777777777778</f>
        <v>45380.764083705886</v>
      </c>
      <c r="E38" s="6">
        <f>PlanetRiseSet(Lat,Long,B38,1,1)+TimeZone/24+0.00103009259259259</f>
        <v>45380.905807692245</v>
      </c>
      <c r="F38" s="6">
        <f>PlanetRiseSet(Lat,Long,B38+1,1,2)+TimeZone/24+0.00103009259259259</f>
        <v>45382.422138097849</v>
      </c>
      <c r="G38" s="7">
        <f>Panchanga!$C38-TimeZone/24</f>
        <v>45381.026247269008</v>
      </c>
      <c r="H38" s="8" t="str">
        <f>INT(P[[#This Row],[Sun]]/30)&amp;"s"&amp;ROUNDUP(MOD(P[[#This Row],[Sun]],30),2)</f>
        <v>11s15.61</v>
      </c>
      <c r="I38" s="13" t="str">
        <f>INT(P[[#This Row],[Moon]]/30)&amp;"s"&amp;ROUNDUP(MOD(P[[#This Row],[Moon]],30),2)</f>
        <v>7s8.3</v>
      </c>
      <c r="J38" s="14">
        <f t="shared" si="17"/>
        <v>45381.026247269008</v>
      </c>
      <c r="K38" s="10" t="str">
        <f>naks(P[[#This Row],[Moon]])</f>
        <v>Anuradha</v>
      </c>
      <c r="L38" s="6">
        <f>(C39-P[[#This Row],[SunRise]])/(MOD(360+V39-P[[#This Row],[Moon]],360))*(13.3333333333333-MOD(P[[#This Row],[Moon]],13.333333333333))+P[[#This Row],[SunRise]]</f>
        <v>45381.916805245455</v>
      </c>
      <c r="M38" s="4" t="str">
        <f>IF(Panchanga!$R38&gt;15,"K","S")&amp;ROUNDUP(MOD(Panchanga!$R38,15),0)&amp;" ("&amp;ROUND(Panchanga!$R38,2)&amp;")"</f>
        <v>K5 (19.39)</v>
      </c>
      <c r="N38" s="4">
        <f>IF(AND(Panchanga!$R38&lt;28.5,Panchanga!$R38&gt;0.49999),MOD((Panchanga!$R38-0.5)*2,7),MOD((Panchanga!$R38+30-28.5),30)*2+7)</f>
        <v>2.7804000000000002</v>
      </c>
      <c r="O38" s="4" t="str">
        <f>CHOOSE(ROUNDUP(Panchanga!$N38,0),"Bhava","Baalava","Kaulava","Taitula","Garija","Vanija","Vishti","Shakuni","Chatushapda","Naaga","Kimstugna")</f>
        <v>Kaulava</v>
      </c>
      <c r="P38" s="11" t="str">
        <f>CHOOSE(ROUNDUP(Panchanga!$S38,0),"viṣkambha","prīti","āyuṣmāna","saubhāgya","śobhana","atigaṇḍa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("&amp;Panchanga!$S38&amp;")"</f>
        <v>siddhi (15.3)</v>
      </c>
      <c r="Q38" s="4">
        <f>IF(AND(Panchanga!$R38&lt;28.5,Panchanga!$R38&gt;0.49999),MOD((Panchanga!$R38-0.5)*2,7),MOD((Panchanga!$R38+30-28.5),30)*2+7)</f>
        <v>2.7804000000000002</v>
      </c>
      <c r="R38" s="4">
        <f>ROUNDUP(MOD(360+P[[#This Row],[Moon]]-P[[#This Row],[Sun]],360)/12,4)</f>
        <v>19.3902</v>
      </c>
      <c r="S38" s="4">
        <f>ROUNDUP(MOD(P[[#This Row],[Sun]]+P[[#This Row],[Moon]],360)/13.333333333,2)</f>
        <v>15.299999999999999</v>
      </c>
      <c r="T38" s="4" t="str">
        <f>SIGN(W39-Panchanga!$W38)*INT(Panchanga!$W38/30+1)&amp;"Ma,"&amp;SIGN(X39-Panchanga!$X38)*INT(Panchanga!$X38/30+1)&amp;"Me,"&amp;SIGN(Y39-Panchanga!$Y38)*INT(Panchanga!$Y38/30+1)&amp;"J, "&amp;SIGN(Z39-Panchanga!$Z38)*INT(Panchanga!$Z38/30+1)&amp;"V,"&amp;SIGN(AA39-Panchanga!$AA38)*INT(Panchanga!$AA38/30+1)&amp;"S,"&amp;INT(Panchanga!$AB38/30+1)&amp;"R"</f>
        <v>11Ma,1Me,1J, 11V,11S,12R</v>
      </c>
      <c r="U38" s="4">
        <f t="shared" si="14"/>
        <v>345.6091727221949</v>
      </c>
      <c r="V38" s="4">
        <f t="shared" si="15"/>
        <v>218.29080480448951</v>
      </c>
      <c r="W38" s="4">
        <f>Planet(Panchanga!$G38,4)</f>
        <v>311.28031322145796</v>
      </c>
      <c r="X38" s="4">
        <f>Planet(Panchanga!$G38,2)</f>
        <v>2.5150855839754573</v>
      </c>
      <c r="Y38" s="4">
        <f>Planet(Panchanga!$G38,5)</f>
        <v>22.73790223684027</v>
      </c>
      <c r="Z38" s="4">
        <f>Planet(Panchanga!$G38,3)</f>
        <v>328.21576409397852</v>
      </c>
      <c r="AA38" s="4">
        <f>Planet(Panchanga!$G38,6)</f>
        <v>319.18128563549766</v>
      </c>
      <c r="AB38" s="4">
        <f>Planet(Panchanga!$G38,10)</f>
        <v>351.96837134373641</v>
      </c>
      <c r="AC38" s="4" t="str">
        <f>TEXT(Panchanga!$C38+($C39-Panchanga!$C38)/ABS(IF($R39&lt;1,$R39+30,$R39)-Panchanga!$R38)*(ROUNDUP(Panchanga!$R38,0)-Panchanga!$R38),"hh:mm AM/PM")</f>
        <v>09:10 PM</v>
      </c>
      <c r="AD38" s="4"/>
    </row>
    <row r="39" spans="1:30" x14ac:dyDescent="0.2">
      <c r="A39" s="3">
        <f t="shared" si="18"/>
        <v>45382</v>
      </c>
      <c r="B39" s="3">
        <f t="shared" si="16"/>
        <v>45382.229166666664</v>
      </c>
      <c r="C39" s="6">
        <f t="shared" si="12"/>
        <v>45382.25494535562</v>
      </c>
      <c r="D39" s="6">
        <f>sunset(Lat,Long,B39)+TimeZone/24-0.000277777777777778</f>
        <v>45381.764136181722</v>
      </c>
      <c r="E39" s="6">
        <f>PlanetRiseSet(Lat,Long,B39,1,1)+TimeZone/24+0.00103009259259259</f>
        <v>45381.944368638717</v>
      </c>
      <c r="F39" s="6">
        <f>PlanetRiseSet(Lat,Long,B39+1,1,2)+TimeZone/24+0.00103009259259259</f>
        <v>45383.460619075842</v>
      </c>
      <c r="G39" s="7">
        <f>Panchanga!$C39-TimeZone/24</f>
        <v>45382.025778688956</v>
      </c>
      <c r="H39" s="8" t="str">
        <f>INT(P[[#This Row],[Sun]]/30)&amp;"s"&amp;ROUNDUP(MOD(P[[#This Row],[Sun]],30),2)</f>
        <v>11s16.6</v>
      </c>
      <c r="I39" s="13" t="str">
        <f>INT(P[[#This Row],[Moon]]/30)&amp;"s"&amp;ROUNDUP(MOD(P[[#This Row],[Moon]],30),2)</f>
        <v>7s20.95</v>
      </c>
      <c r="J39" s="14">
        <f t="shared" si="17"/>
        <v>45382.025778688956</v>
      </c>
      <c r="K39" s="10" t="str">
        <f>naks(P[[#This Row],[Moon]])</f>
        <v>Jyestha</v>
      </c>
      <c r="L39" s="6">
        <f>(C40-P[[#This Row],[SunRise]])/(MOD(360+V40-P[[#This Row],[Moon]],360))*(13.3333333333333-MOD(P[[#This Row],[Moon]],13.333333333333))+P[[#This Row],[SunRise]]</f>
        <v>45382.953477735304</v>
      </c>
      <c r="M39" s="4" t="str">
        <f>IF(Panchanga!$R39&gt;15,"K","S")&amp;ROUNDUP(MOD(Panchanga!$R39,15),0)&amp;" ("&amp;ROUND(Panchanga!$R39,2)&amp;")"</f>
        <v>K6 (20.36)</v>
      </c>
      <c r="N39" s="4">
        <f>IF(AND(Panchanga!$R39&lt;28.5,Panchanga!$R39&gt;0.49999),MOD((Panchanga!$R39-0.5)*2,7),MOD((Panchanga!$R39+30-28.5),30)*2+7)</f>
        <v>4.7256</v>
      </c>
      <c r="O39" s="4" t="str">
        <f>CHOOSE(ROUNDUP(Panchanga!$N39,0),"Bhava","Baalava","Kaulava","Taitula","Garija","Vanija","Vishti","Shakuni","Chatushapda","Naaga","Kimstugna")</f>
        <v>Garija</v>
      </c>
      <c r="P39" s="11" t="str">
        <f>CHOOSE(ROUNDUP(Panchanga!$S39,0),"viṣkambha","prīti","āyuṣmāna","saubhāgya","śobhana","atigaṇḍa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("&amp;Panchanga!$S39&amp;")"</f>
        <v>vyatipāta (16.32)</v>
      </c>
      <c r="Q39" s="4">
        <f>IF(AND(Panchanga!$R39&lt;28.5,Panchanga!$R39&gt;0.49999),MOD((Panchanga!$R39-0.5)*2,7),MOD((Panchanga!$R39+30-28.5),30)*2+7)</f>
        <v>4.7256</v>
      </c>
      <c r="R39" s="4">
        <f>ROUNDUP(MOD(360+P[[#This Row],[Moon]]-P[[#This Row],[Sun]],360)/12,4)</f>
        <v>20.3628</v>
      </c>
      <c r="S39" s="4">
        <f>ROUNDUP(MOD(P[[#This Row],[Sun]]+P[[#This Row],[Moon]],360)/13.333333333,2)</f>
        <v>16.32</v>
      </c>
      <c r="T39" s="4" t="str">
        <f>SIGN(W40-Panchanga!$W39)*INT(Panchanga!$W39/30+1)&amp;"Ma,"&amp;SIGN(X40-Panchanga!$X39)*INT(Panchanga!$X39/30+1)&amp;"Me,"&amp;SIGN(Y40-Panchanga!$Y39)*INT(Panchanga!$Y39/30+1)&amp;"J, "&amp;SIGN(Z40-Panchanga!$Z39)*INT(Panchanga!$Z39/30+1)&amp;"V,"&amp;SIGN(AA40-Panchanga!$AA39)*INT(Panchanga!$AA39/30+1)&amp;"S,"&amp;INT(Panchanga!$AB39/30+1)&amp;"R"</f>
        <v>11Ma,1Me,1J, 11V,11S,12R</v>
      </c>
      <c r="U39" s="4">
        <f t="shared" si="14"/>
        <v>346.59631612644529</v>
      </c>
      <c r="V39" s="4">
        <f t="shared" si="15"/>
        <v>230.94887420542963</v>
      </c>
      <c r="W39" s="4">
        <f>Planet(Panchanga!$G39,4)</f>
        <v>312.05819913785058</v>
      </c>
      <c r="X39" s="4">
        <f>Planet(Panchanga!$G39,2)</f>
        <v>2.806960294357673</v>
      </c>
      <c r="Y39" s="4">
        <f>Planet(Panchanga!$G39,5)</f>
        <v>22.950614867582253</v>
      </c>
      <c r="Z39" s="4">
        <f>Planet(Panchanga!$G39,3)</f>
        <v>329.45135510793267</v>
      </c>
      <c r="AA39" s="4">
        <f>Planet(Panchanga!$G39,6)</f>
        <v>319.29473095426852</v>
      </c>
      <c r="AB39" s="4">
        <f>Planet(Panchanga!$G39,10)</f>
        <v>351.91540418724918</v>
      </c>
      <c r="AC39" s="4" t="str">
        <f>TEXT(Panchanga!$C39+($C40-Panchanga!$C39)/ABS(IF($R40&lt;1,$R40+30,$R40)-Panchanga!$R39)*(ROUNDUP(Panchanga!$R39,0)-Panchanga!$R39),"hh:mm AM/PM")</f>
        <v>09:27 PM</v>
      </c>
      <c r="AD39" s="4"/>
    </row>
    <row r="40" spans="1:30" x14ac:dyDescent="0.2">
      <c r="A40" s="3">
        <f t="shared" si="18"/>
        <v>45383</v>
      </c>
      <c r="B40" s="3">
        <f t="shared" si="16"/>
        <v>45383.229166666664</v>
      </c>
      <c r="C40" s="6">
        <f t="shared" si="12"/>
        <v>45383.254478507828</v>
      </c>
      <c r="D40" s="6">
        <f>sunset(Lat,Long,B40)+TimeZone/24-0.000277777777777778</f>
        <v>45382.764189368623</v>
      </c>
      <c r="E40" s="6">
        <f>PlanetRiseSet(Lat,Long,B40,1,1)+TimeZone/24+0.00103009259259259</f>
        <v>45382.984500250932</v>
      </c>
      <c r="F40" s="6">
        <f>PlanetRiseSet(Lat,Long,B40+1,1,2)+TimeZone/24+0.00103009259259259</f>
        <v>45383.460619119149</v>
      </c>
      <c r="G40" s="7">
        <f>Panchanga!$C40-TimeZone/24</f>
        <v>45383.025311841164</v>
      </c>
      <c r="H40" s="8" t="str">
        <f>INT(P[[#This Row],[Sun]]/30)&amp;"s"&amp;ROUNDUP(MOD(P[[#This Row],[Sun]],30),2)</f>
        <v>11s17.59</v>
      </c>
      <c r="I40" s="13" t="str">
        <f>INT(P[[#This Row],[Moon]]/30)&amp;"s"&amp;ROUNDUP(MOD(P[[#This Row],[Moon]],30),2)</f>
        <v>8s3.91</v>
      </c>
      <c r="J40" s="14">
        <f t="shared" si="17"/>
        <v>45383.025311841164</v>
      </c>
      <c r="K40" s="10" t="str">
        <f>naks(P[[#This Row],[Moon]])</f>
        <v>Moola</v>
      </c>
      <c r="L40" s="6">
        <f>(C41-P[[#This Row],[SunRise]])/(MOD(360+V41-P[[#This Row],[Moon]],360))*(13.3333333333333-MOD(P[[#This Row],[Moon]],13.333333333333))+P[[#This Row],[SunRise]]</f>
        <v>45383.964027252521</v>
      </c>
      <c r="M40" s="4" t="str">
        <f>IF(Panchanga!$R40&gt;15,"K","S")&amp;ROUNDUP(MOD(Panchanga!$R40,15),0)&amp;" ("&amp;ROUND(Panchanga!$R40,2)&amp;")"</f>
        <v>K7 (21.36)</v>
      </c>
      <c r="N40" s="4">
        <f>IF(AND(Panchanga!$R40&lt;28.5,Panchanga!$R40&gt;0.49999),MOD((Panchanga!$R40-0.5)*2,7),MOD((Panchanga!$R40+30-28.5),30)*2+7)</f>
        <v>6.7195999999999998</v>
      </c>
      <c r="O40" s="4" t="str">
        <f>CHOOSE(ROUNDUP(Panchanga!$N40,0),"Bhava","Baalava","Kaulava","Taitula","Garija","Vanija","Vishti","Shakuni","Chatushapda","Naaga","Kimstugna")</f>
        <v>Vishti</v>
      </c>
      <c r="P40" s="11" t="str">
        <f>CHOOSE(ROUNDUP(Panchanga!$S40,0),"viṣkambha","prīti","āyuṣmāna","saubhāgya","śobhana","atigaṇḍa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("&amp;Panchanga!$S40&amp;")"</f>
        <v>varīyas (17.37)</v>
      </c>
      <c r="Q40" s="4">
        <f>IF(AND(Panchanga!$R40&lt;28.5,Panchanga!$R40&gt;0.49999),MOD((Panchanga!$R40-0.5)*2,7),MOD((Panchanga!$R40+30-28.5),30)*2+7)</f>
        <v>6.7195999999999998</v>
      </c>
      <c r="R40" s="4">
        <f>ROUNDUP(MOD(360+P[[#This Row],[Moon]]-P[[#This Row],[Sun]],360)/12,4)</f>
        <v>21.3598</v>
      </c>
      <c r="S40" s="4">
        <f>ROUNDUP(MOD(P[[#This Row],[Sun]]+P[[#This Row],[Moon]],360)/13.333333333,2)</f>
        <v>17.37</v>
      </c>
      <c r="T40" s="4" t="str">
        <f>SIGN(W41-Panchanga!$W40)*INT(Panchanga!$W40/30+1)&amp;"Ma,"&amp;SIGN(X41-Panchanga!$X40)*INT(Panchanga!$X40/30+1)&amp;"Me,"&amp;SIGN(Y41-Panchanga!$Y40)*INT(Panchanga!$Y40/30+1)&amp;"J, "&amp;SIGN(Z41-Panchanga!$Z40)*INT(Panchanga!$Z40/30+1)&amp;"V,"&amp;SIGN(AA41-Panchanga!$AA40)*INT(Panchanga!$AA40/30+1)&amp;"S,"&amp;INT(Panchanga!$AB40/30+1)&amp;"R"</f>
        <v>11Ma,1Me,1J, 12V,11S,12R</v>
      </c>
      <c r="U40" s="4">
        <f t="shared" si="14"/>
        <v>347.58296620380128</v>
      </c>
      <c r="V40" s="4">
        <f t="shared" si="15"/>
        <v>243.90017118119033</v>
      </c>
      <c r="W40" s="4">
        <f>Planet(Panchanga!$G40,4)</f>
        <v>312.83607546505743</v>
      </c>
      <c r="X40" s="4">
        <f>Planet(Panchanga!$G40,2)</f>
        <v>2.9757557969735271</v>
      </c>
      <c r="Y40" s="4">
        <f>Planet(Panchanga!$G40,5)</f>
        <v>23.164345538746776</v>
      </c>
      <c r="Z40" s="4">
        <f>Planet(Panchanga!$G40,3)</f>
        <v>330.68688028131646</v>
      </c>
      <c r="AA40" s="4">
        <f>Planet(Panchanga!$G40,6)</f>
        <v>319.40761544033415</v>
      </c>
      <c r="AB40" s="4">
        <f>Planet(Panchanga!$G40,10)</f>
        <v>351.86243693897342</v>
      </c>
      <c r="AC40" s="4" t="str">
        <f>TEXT(Panchanga!$C40+($C41-Panchanga!$C40)/ABS(IF($R41&lt;1,$R41+30,$R41)-Panchanga!$R40)*(ROUNDUP(Panchanga!$R40,0)-Panchanga!$R40),"hh:mm AM/PM")</f>
        <v>09:05 PM</v>
      </c>
      <c r="AD40" s="4"/>
    </row>
    <row r="41" spans="1:30" x14ac:dyDescent="0.2">
      <c r="A41" s="3">
        <f t="shared" si="18"/>
        <v>45384</v>
      </c>
      <c r="B41" s="3">
        <f t="shared" ref="B41:B66" si="19">A41+TimeZone/24</f>
        <v>45384.229166666664</v>
      </c>
      <c r="C41" s="6">
        <f t="shared" si="12"/>
        <v>45384.254013673555</v>
      </c>
      <c r="D41" s="6">
        <f>sunset(Lat,Long,B41)+TimeZone/24-0.000277777777777778</f>
        <v>45383.764243467755</v>
      </c>
      <c r="E41" s="6">
        <f>PlanetRiseSet(Lat,Long,B41,1,1)+TimeZone/24+0.00103009259259259</f>
        <v>45384.02505535508</v>
      </c>
      <c r="F41" s="6">
        <f>PlanetRiseSet(Lat,Long,B41+1,1,2)+TimeZone/24+0.00103009259259259</f>
        <v>45384.502034772806</v>
      </c>
      <c r="G41" s="7">
        <f>Panchanga!$C41-TimeZone/24</f>
        <v>45384.024847006891</v>
      </c>
      <c r="H41" s="8" t="str">
        <f>INT(P[[#This Row],[Sun]]/30)&amp;"s"&amp;ROUNDUP(MOD(P[[#This Row],[Sun]],30),2)</f>
        <v>11s18.57</v>
      </c>
      <c r="I41" s="13" t="str">
        <f>INT(P[[#This Row],[Moon]]/30)&amp;"s"&amp;ROUNDUP(MOD(P[[#This Row],[Moon]],30),2)</f>
        <v>8s17.19</v>
      </c>
      <c r="J41" s="14">
        <f t="shared" si="17"/>
        <v>45384.024847006891</v>
      </c>
      <c r="K41" s="10" t="str">
        <f>naks(P[[#This Row],[Moon]])</f>
        <v>Purva Asadha</v>
      </c>
      <c r="L41" s="6">
        <f>(C42-P[[#This Row],[SunRise]])/(MOD(360+V42-P[[#This Row],[Moon]],360))*(13.3333333333333-MOD(P[[#This Row],[Moon]],13.333333333333))+P[[#This Row],[SunRise]]</f>
        <v>45384.947608092851</v>
      </c>
      <c r="M41" s="4" t="str">
        <f>IF(Panchanga!$R41&gt;15,"K","S")&amp;ROUNDUP(MOD(Panchanga!$R41,15),0)&amp;" ("&amp;ROUND(Panchanga!$R41,2)&amp;")"</f>
        <v>K8 (22.39)</v>
      </c>
      <c r="N41" s="4">
        <f>IF(AND(Panchanga!$R41&lt;28.5,Panchanga!$R41&gt;0.49999),MOD((Panchanga!$R41-0.5)*2,7),MOD((Panchanga!$R41+30-28.5),30)*2+7)</f>
        <v>1.769999999999996</v>
      </c>
      <c r="O41" s="4" t="str">
        <f>CHOOSE(ROUNDUP(Panchanga!$N41,0),"Bhava","Baalava","Kaulava","Taitula","Garija","Vanija","Vishti","Shakuni","Chatushapda","Naaga","Kimstugna")</f>
        <v>Baalava</v>
      </c>
      <c r="P41" s="11" t="str">
        <f>CHOOSE(ROUNDUP(Panchanga!$S41,0),"viṣkambha","prīti","āyuṣmāna","saubhāgya","śobhana","atigaṇḍa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("&amp;Panchanga!$S41&amp;")"</f>
        <v>parigha (18.44)</v>
      </c>
      <c r="Q41" s="4">
        <f>IF(AND(Panchanga!$R41&lt;28.5,Panchanga!$R41&gt;0.49999),MOD((Panchanga!$R41-0.5)*2,7),MOD((Panchanga!$R41+30-28.5),30)*2+7)</f>
        <v>1.769999999999996</v>
      </c>
      <c r="R41" s="4">
        <f>ROUNDUP(MOD(360+P[[#This Row],[Moon]]-P[[#This Row],[Sun]],360)/12,4)</f>
        <v>22.384999999999998</v>
      </c>
      <c r="S41" s="4">
        <f>ROUNDUP(MOD(P[[#This Row],[Sun]]+P[[#This Row],[Moon]],360)/13.333333333,2)</f>
        <v>18.440000000000001</v>
      </c>
      <c r="T41" s="4" t="str">
        <f>SIGN(W42-Panchanga!$W41)*INT(Panchanga!$W41/30+1)&amp;"Ma,"&amp;SIGN(X42-Panchanga!$X41)*INT(Panchanga!$X41/30+1)&amp;"Me,"&amp;SIGN(Y42-Panchanga!$Y41)*INT(Panchanga!$Y41/30+1)&amp;"J, "&amp;SIGN(Z42-Panchanga!$Z41)*INT(Panchanga!$Z41/30+1)&amp;"V,"&amp;SIGN(AA42-Panchanga!$AA41)*INT(Panchanga!$AA41/30+1)&amp;"S,"&amp;INT(Panchanga!$AB41/30+1)&amp;"R"</f>
        <v>11Ma,-1Me,1J, 12V,11S,12R</v>
      </c>
      <c r="U41" s="4">
        <f t="shared" si="14"/>
        <v>348.56913075739863</v>
      </c>
      <c r="V41" s="4">
        <f t="shared" si="15"/>
        <v>257.18858493084656</v>
      </c>
      <c r="W41" s="4">
        <f>Planet(Panchanga!$G41,4)</f>
        <v>313.61392900411187</v>
      </c>
      <c r="X41" s="4">
        <f>Planet(Panchanga!$G41,2)</f>
        <v>3.0235824422871453</v>
      </c>
      <c r="Y41" s="4">
        <f>Planet(Panchanga!$G41,5)</f>
        <v>23.379072156765261</v>
      </c>
      <c r="Z41" s="4">
        <f>Planet(Panchanga!$G41,3)</f>
        <v>331.92233874124423</v>
      </c>
      <c r="AA41" s="4">
        <f>Planet(Panchanga!$G41,6)</f>
        <v>319.51992138848448</v>
      </c>
      <c r="AB41" s="4">
        <f>Planet(Panchanga!$G41,10)</f>
        <v>351.8094695840303</v>
      </c>
      <c r="AC41" s="4" t="str">
        <f>TEXT(Panchanga!$C41+($C42-Panchanga!$C41)/ABS(IF($R42&lt;1,$R42+30,$R42)-Panchanga!$R41)*(ROUNDUP(Panchanga!$R41,0)-Panchanga!$R41),"hh:mm AM/PM")</f>
        <v>08:03 PM</v>
      </c>
      <c r="AD41" s="4"/>
    </row>
    <row r="42" spans="1:30" x14ac:dyDescent="0.2">
      <c r="A42" s="3">
        <f t="shared" si="18"/>
        <v>45385</v>
      </c>
      <c r="B42" s="3">
        <f t="shared" si="19"/>
        <v>45385.229166666664</v>
      </c>
      <c r="C42" s="6">
        <f t="shared" si="12"/>
        <v>45385.25355112987</v>
      </c>
      <c r="D42" s="6">
        <f>sunset(Lat,Long,B42)+TimeZone/24-0.000277777777777778</f>
        <v>45384.764298671435</v>
      </c>
      <c r="E42" s="6">
        <f>PlanetRiseSet(Lat,Long,B42,1,1)+TimeZone/24+0.00103009259259259</f>
        <v>45385.064614209499</v>
      </c>
      <c r="F42" s="6">
        <f>PlanetRiseSet(Lat,Long,B42+1,1,2)+TimeZone/24+0.00103009259259259</f>
        <v>45385.545051445872</v>
      </c>
      <c r="G42" s="7">
        <f>Panchanga!$C42-TimeZone/24</f>
        <v>45385.024384463206</v>
      </c>
      <c r="H42" s="8" t="str">
        <f>INT(P[[#This Row],[Sun]]/30)&amp;"s"&amp;ROUNDUP(MOD(P[[#This Row],[Sun]],30),2)</f>
        <v>11s19.56</v>
      </c>
      <c r="I42" s="13" t="str">
        <f>INT(P[[#This Row],[Moon]]/30)&amp;"s"&amp;ROUNDUP(MOD(P[[#This Row],[Moon]],30),2)</f>
        <v>9s0.85</v>
      </c>
      <c r="J42" s="14">
        <f t="shared" si="17"/>
        <v>45385.024384463206</v>
      </c>
      <c r="K42" s="10" t="str">
        <f>naks(P[[#This Row],[Moon]])</f>
        <v>Uttara Asadha</v>
      </c>
      <c r="L42" s="6">
        <f>(C43-P[[#This Row],[SunRise]])/(MOD(360+V43-P[[#This Row],[Moon]],360))*(13.3333333333333-MOD(P[[#This Row],[Moon]],13.333333333333))+P[[#This Row],[SunRise]]</f>
        <v>45385.905002240579</v>
      </c>
      <c r="M42" s="4" t="str">
        <f>IF(Panchanga!$R42&gt;15,"K","S")&amp;ROUNDUP(MOD(Panchanga!$R42,15),0)&amp;" ("&amp;ROUND(Panchanga!$R42,2)&amp;")"</f>
        <v>K9 (23.44)</v>
      </c>
      <c r="N42" s="4">
        <f>IF(AND(Panchanga!$R42&lt;28.5,Panchanga!$R42&gt;0.49999),MOD((Panchanga!$R42-0.5)*2,7),MOD((Panchanga!$R42+30-28.5),30)*2+7)</f>
        <v>3.8821999999999974</v>
      </c>
      <c r="O42" s="4" t="str">
        <f>CHOOSE(ROUNDUP(Panchanga!$N42,0),"Bhava","Baalava","Kaulava","Taitula","Garija","Vanija","Vishti","Shakuni","Chatushapda","Naaga","Kimstugna")</f>
        <v>Taitula</v>
      </c>
      <c r="P42" s="11" t="str">
        <f>CHOOSE(ROUNDUP(Panchanga!$S42,0),"viṣkambha","prīti","āyuṣmāna","saubhāgya","śobhana","atigaṇḍa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("&amp;Panchanga!$S42&amp;")"</f>
        <v>śiva (19.54)</v>
      </c>
      <c r="Q42" s="4">
        <f>IF(AND(Panchanga!$R42&lt;28.5,Panchanga!$R42&gt;0.49999),MOD((Panchanga!$R42-0.5)*2,7),MOD((Panchanga!$R42+30-28.5),30)*2+7)</f>
        <v>3.8821999999999974</v>
      </c>
      <c r="R42" s="4">
        <f>ROUNDUP(MOD(360+P[[#This Row],[Moon]]-P[[#This Row],[Sun]],360)/12,4)</f>
        <v>23.441099999999999</v>
      </c>
      <c r="S42" s="4">
        <f>ROUNDUP(MOD(P[[#This Row],[Sun]]+P[[#This Row],[Moon]],360)/13.333333333,2)</f>
        <v>19.540000000000003</v>
      </c>
      <c r="T42" s="4" t="str">
        <f>SIGN(W43-Panchanga!$W42)*INT(Panchanga!$W42/30+1)&amp;"Ma,"&amp;SIGN(X43-Panchanga!$X42)*INT(Panchanga!$X42/30+1)&amp;"Me,"&amp;SIGN(Y43-Panchanga!$Y42)*INT(Panchanga!$Y42/30+1)&amp;"J, "&amp;SIGN(Z43-Panchanga!$Z42)*INT(Panchanga!$Z42/30+1)&amp;"V,"&amp;SIGN(AA43-Panchanga!$AA42)*INT(Panchanga!$AA42/30+1)&amp;"S,"&amp;INT(Panchanga!$AB42/30+1)&amp;"R"</f>
        <v>11Ma,-1Me,1J, 12V,11S,12R</v>
      </c>
      <c r="U42" s="4">
        <f t="shared" si="14"/>
        <v>349.55481485620203</v>
      </c>
      <c r="V42" s="4">
        <f t="shared" si="15"/>
        <v>270.84742855098131</v>
      </c>
      <c r="W42" s="4">
        <f>Planet(Panchanga!$G42,4)</f>
        <v>314.39174464768848</v>
      </c>
      <c r="X42" s="4">
        <f>Planet(Panchanga!$G42,2)</f>
        <v>2.9538401208241267</v>
      </c>
      <c r="Y42" s="4">
        <f>Planet(Panchanga!$G42,5)</f>
        <v>23.594772533315833</v>
      </c>
      <c r="Z42" s="4">
        <f>Planet(Panchanga!$G42,3)</f>
        <v>333.15772782550226</v>
      </c>
      <c r="AA42" s="4">
        <f>Planet(Panchanga!$G42,6)</f>
        <v>319.63163069384598</v>
      </c>
      <c r="AB42" s="4">
        <f>Planet(Panchanga!$G42,10)</f>
        <v>351.75650210770704</v>
      </c>
      <c r="AC42" s="4" t="str">
        <f>TEXT(Panchanga!$C42+($C43-Panchanga!$C42)/ABS(IF($R43&lt;1,$R43+30,$R43)-Panchanga!$R42)*(ROUNDUP(Panchanga!$R42,0)-Panchanga!$R42),"hh:mm AM/PM")</f>
        <v>06:24 PM</v>
      </c>
      <c r="AD42" s="4"/>
    </row>
    <row r="43" spans="1:30" x14ac:dyDescent="0.2">
      <c r="A43" s="3">
        <f t="shared" si="18"/>
        <v>45386</v>
      </c>
      <c r="B43" s="3">
        <f t="shared" si="19"/>
        <v>45386.229166666664</v>
      </c>
      <c r="C43" s="6">
        <f t="shared" si="12"/>
        <v>45386.253091143597</v>
      </c>
      <c r="D43" s="6">
        <f>sunset(Lat,Long,B43)+TimeZone/24-0.000277777777777778</f>
        <v>45385.76435516034</v>
      </c>
      <c r="E43" s="6">
        <f>PlanetRiseSet(Lat,Long,B43,1,1)+TimeZone/24+0.00103009259259259</f>
        <v>45386.102040480975</v>
      </c>
      <c r="F43" s="6">
        <f>PlanetRiseSet(Lat,Long,B43+1,1,2)+TimeZone/24+0.00103009259259259</f>
        <v>45386.588243748214</v>
      </c>
      <c r="G43" s="7">
        <f>Panchanga!$C43-TimeZone/24</f>
        <v>45386.023924476933</v>
      </c>
      <c r="H43" s="8" t="str">
        <f>INT(P[[#This Row],[Sun]]/30)&amp;"s"&amp;ROUNDUP(MOD(P[[#This Row],[Sun]],30),2)</f>
        <v>11s20.55</v>
      </c>
      <c r="I43" s="13" t="str">
        <f>INT(P[[#This Row],[Moon]]/30)&amp;"s"&amp;ROUNDUP(MOD(P[[#This Row],[Moon]],30),2)</f>
        <v>9s14.9</v>
      </c>
      <c r="J43" s="14">
        <f t="shared" si="17"/>
        <v>45386.023924476933</v>
      </c>
      <c r="K43" s="10" t="str">
        <f>naks(P[[#This Row],[Moon]])</f>
        <v>Sravana</v>
      </c>
      <c r="L43" s="6">
        <f>(C44-P[[#This Row],[SunRise]])/(MOD(360+V44-P[[#This Row],[Moon]],360))*(13.3333333333333-MOD(P[[#This Row],[Moon]],13.333333333333))+P[[#This Row],[SunRise]]</f>
        <v>45386.838646577948</v>
      </c>
      <c r="M43" s="4" t="str">
        <f>IF(Panchanga!$R43&gt;15,"K","S")&amp;ROUNDUP(MOD(Panchanga!$R43,15),0)&amp;" ("&amp;ROUND(Panchanga!$R43,2)&amp;")"</f>
        <v>K10 (24.53)</v>
      </c>
      <c r="N43" s="4">
        <f>IF(AND(Panchanga!$R43&lt;28.5,Panchanga!$R43&gt;0.49999),MOD((Panchanga!$R43-0.5)*2,7),MOD((Panchanga!$R43+30-28.5),30)*2+7)</f>
        <v>6.0585999999999984</v>
      </c>
      <c r="O43" s="4" t="str">
        <f>CHOOSE(ROUNDUP(Panchanga!$N43,0),"Bhava","Baalava","Kaulava","Taitula","Garija","Vanija","Vishti","Shakuni","Chatushapda","Naaga","Kimstugna")</f>
        <v>Vishti</v>
      </c>
      <c r="P43" s="11" t="str">
        <f>CHOOSE(ROUNDUP(Panchanga!$S43,0),"viṣkambha","prīti","āyuṣmāna","saubhāgya","śobhana","atigaṇḍa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("&amp;Panchanga!$S43&amp;")"</f>
        <v>siddha (20.66)</v>
      </c>
      <c r="Q43" s="4">
        <f>IF(AND(Panchanga!$R43&lt;28.5,Panchanga!$R43&gt;0.49999),MOD((Panchanga!$R43-0.5)*2,7),MOD((Panchanga!$R43+30-28.5),30)*2+7)</f>
        <v>6.0585999999999984</v>
      </c>
      <c r="R43" s="4">
        <f>ROUNDUP(MOD(360+P[[#This Row],[Moon]]-P[[#This Row],[Sun]],360)/12,4)</f>
        <v>24.529299999999999</v>
      </c>
      <c r="S43" s="4">
        <f>ROUNDUP(MOD(P[[#This Row],[Sun]]+P[[#This Row],[Moon]],360)/13.333333333,2)</f>
        <v>20.66</v>
      </c>
      <c r="T43" s="4" t="str">
        <f>SIGN(W44-Panchanga!$W43)*INT(Panchanga!$W43/30+1)&amp;"Ma,"&amp;SIGN(X44-Panchanga!$X43)*INT(Panchanga!$X43/30+1)&amp;"Me,"&amp;SIGN(Y44-Panchanga!$Y43)*INT(Panchanga!$Y43/30+1)&amp;"J, "&amp;SIGN(Z44-Panchanga!$Z43)*INT(Panchanga!$Z43/30+1)&amp;"V,"&amp;SIGN(AA44-Panchanga!$AA43)*INT(Panchanga!$AA43/30+1)&amp;"S,"&amp;INT(Panchanga!$AB43/30+1)&amp;"R"</f>
        <v>11Ma,-1Me,1J, 12V,11S,12R</v>
      </c>
      <c r="U43" s="4">
        <f t="shared" si="14"/>
        <v>350.54002010676953</v>
      </c>
      <c r="V43" s="4">
        <f t="shared" si="15"/>
        <v>284.89047988875598</v>
      </c>
      <c r="W43" s="4">
        <f>Planet(Panchanga!$G43,4)</f>
        <v>315.16950519793829</v>
      </c>
      <c r="X43" s="4">
        <f>Planet(Panchanga!$G43,2)</f>
        <v>2.7713121660847446</v>
      </c>
      <c r="Y43" s="4">
        <f>Planet(Panchanga!$G43,5)</f>
        <v>23.811424195722026</v>
      </c>
      <c r="Z43" s="4">
        <f>Planet(Panchanga!$G43,3)</f>
        <v>334.39304275962189</v>
      </c>
      <c r="AA43" s="4">
        <f>Planet(Panchanga!$G43,6)</f>
        <v>319.7427248102781</v>
      </c>
      <c r="AB43" s="4">
        <f>Planet(Panchanga!$G43,10)</f>
        <v>351.70353449580381</v>
      </c>
      <c r="AC43" s="4" t="str">
        <f>TEXT(Panchanga!$C43+($C44-Panchanga!$C43)/ABS(IF($R44&lt;1,$R44+30,$R44)-Panchanga!$R43)*(ROUNDUP(Panchanga!$R43,0)-Panchanga!$R43),"hh:mm AM/PM")</f>
        <v>04:09 PM</v>
      </c>
      <c r="AD43" s="4"/>
    </row>
    <row r="44" spans="1:30" x14ac:dyDescent="0.2">
      <c r="A44" s="3">
        <f t="shared" si="18"/>
        <v>45387</v>
      </c>
      <c r="B44" s="3">
        <f t="shared" si="19"/>
        <v>45387.229166666664</v>
      </c>
      <c r="C44" s="6">
        <f t="shared" si="12"/>
        <v>45387.252633974109</v>
      </c>
      <c r="D44" s="6">
        <f>sunset(Lat,Long,B44)+TimeZone/24-0.000277777777777778</f>
        <v>45386.764413100245</v>
      </c>
      <c r="E44" s="6">
        <f>PlanetRiseSet(Lat,Long,B44,1,1)+TimeZone/24+0.00103009259259259</f>
        <v>45387.136883382373</v>
      </c>
      <c r="F44" s="6">
        <f>PlanetRiseSet(Lat,Long,B44+1,1,2)+TimeZone/24+0.00103009259259259</f>
        <v>45387.630660374802</v>
      </c>
      <c r="G44" s="7">
        <f>Panchanga!$C44-TimeZone/24</f>
        <v>45387.023467307445</v>
      </c>
      <c r="H44" s="8" t="str">
        <f>INT(P[[#This Row],[Sun]]/30)&amp;"s"&amp;ROUNDUP(MOD(P[[#This Row],[Sun]],30),2)</f>
        <v>11s21.53</v>
      </c>
      <c r="I44" s="13" t="str">
        <f>INT(P[[#This Row],[Moon]]/30)&amp;"s"&amp;ROUNDUP(MOD(P[[#This Row],[Moon]],30),2)</f>
        <v>9s29.31</v>
      </c>
      <c r="J44" s="14">
        <f t="shared" si="17"/>
        <v>45387.023467307445</v>
      </c>
      <c r="K44" s="10" t="str">
        <f>naks(P[[#This Row],[Moon]])</f>
        <v>Dhanistha</v>
      </c>
      <c r="L44" s="6">
        <f>(C45-P[[#This Row],[SunRise]])/(MOD(360+V45-P[[#This Row],[Moon]],360))*(13.3333333333333-MOD(P[[#This Row],[Moon]],13.333333333333))+P[[#This Row],[SunRise]]</f>
        <v>45387.752394468189</v>
      </c>
      <c r="M44" s="4" t="str">
        <f>IF(Panchanga!$R44&gt;15,"K","S")&amp;ROUNDUP(MOD(Panchanga!$R44,15),0)&amp;" ("&amp;ROUND(Panchanga!$R44,2)&amp;")"</f>
        <v>K11 (25.65)</v>
      </c>
      <c r="N44" s="4">
        <f>IF(AND(Panchanga!$R44&lt;28.5,Panchanga!$R44&gt;0.49999),MOD((Panchanga!$R44-0.5)*2,7),MOD((Panchanga!$R44+30-28.5),30)*2+7)</f>
        <v>1.2963999999999984</v>
      </c>
      <c r="O44" s="4" t="str">
        <f>CHOOSE(ROUNDUP(Panchanga!$N44,0),"Bhava","Baalava","Kaulava","Taitula","Garija","Vanija","Vishti","Shakuni","Chatushapda","Naaga","Kimstugna")</f>
        <v>Baalava</v>
      </c>
      <c r="P44" s="11" t="str">
        <f>CHOOSE(ROUNDUP(Panchanga!$S44,0),"viṣkambha","prīti","āyuṣmāna","saubhāgya","śobhana","atigaṇḍa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("&amp;Panchanga!$S44&amp;")"</f>
        <v>sādhya (21.82)</v>
      </c>
      <c r="Q44" s="4">
        <f>IF(AND(Panchanga!$R44&lt;28.5,Panchanga!$R44&gt;0.49999),MOD((Panchanga!$R44-0.5)*2,7),MOD((Panchanga!$R44+30-28.5),30)*2+7)</f>
        <v>1.2963999999999984</v>
      </c>
      <c r="R44" s="4">
        <f>ROUNDUP(MOD(360+P[[#This Row],[Moon]]-P[[#This Row],[Sun]],360)/12,4)</f>
        <v>25.648199999999999</v>
      </c>
      <c r="S44" s="4">
        <f>ROUNDUP(MOD(P[[#This Row],[Sun]]+P[[#This Row],[Moon]],360)/13.333333333,2)</f>
        <v>21.82</v>
      </c>
      <c r="T44" s="4" t="str">
        <f>SIGN(W45-Panchanga!$W44)*INT(Panchanga!$W44/30+1)&amp;"Ma,"&amp;SIGN(X45-Panchanga!$X44)*INT(Panchanga!$X44/30+1)&amp;"Me,"&amp;SIGN(Y45-Panchanga!$Y44)*INT(Panchanga!$Y44/30+1)&amp;"J, "&amp;SIGN(Z45-Panchanga!$Z44)*INT(Panchanga!$Z44/30+1)&amp;"V,"&amp;SIGN(AA45-Panchanga!$AA44)*INT(Panchanga!$AA44/30+1)&amp;"S,"&amp;INT(Panchanga!$AB44/30+1)&amp;"R"</f>
        <v>11Ma,-1Me,1J, 12V,11S,12R</v>
      </c>
      <c r="U44" s="4">
        <f t="shared" si="14"/>
        <v>351.52474383983292</v>
      </c>
      <c r="V44" s="4">
        <f t="shared" si="15"/>
        <v>299.30242645183222</v>
      </c>
      <c r="W44" s="4">
        <f>Planet(Panchanga!$G44,4)</f>
        <v>315.94719125471221</v>
      </c>
      <c r="X44" s="4">
        <f>Planet(Panchanga!$G44,2)</f>
        <v>2.4822390173368181</v>
      </c>
      <c r="Y44" s="4">
        <f>Planet(Panchanga!$G44,5)</f>
        <v>24.029004157609194</v>
      </c>
      <c r="Z44" s="4">
        <f>Planet(Panchanga!$G44,3)</f>
        <v>335.62827634000342</v>
      </c>
      <c r="AA44" s="4">
        <f>Planet(Panchanga!$G44,6)</f>
        <v>319.85318472545765</v>
      </c>
      <c r="AB44" s="4">
        <f>Planet(Panchanga!$G44,10)</f>
        <v>351.65056673475095</v>
      </c>
      <c r="AC44" s="4" t="str">
        <f>TEXT(Panchanga!$C44+($C45-Panchanga!$C44)/ABS(IF($R45&lt;1,$R45+30,$R45)-Panchanga!$R44)*(ROUNDUP(Panchanga!$R44,0)-Panchanga!$R44),"hh:mm AM/PM")</f>
        <v>01:25 PM</v>
      </c>
      <c r="AD44" s="4"/>
    </row>
    <row r="45" spans="1:30" x14ac:dyDescent="0.2">
      <c r="A45" s="3">
        <f t="shared" si="18"/>
        <v>45388</v>
      </c>
      <c r="B45" s="3">
        <f t="shared" si="19"/>
        <v>45388.229166666664</v>
      </c>
      <c r="C45" s="6">
        <f t="shared" si="12"/>
        <v>45388.252179864947</v>
      </c>
      <c r="D45" s="6">
        <f>sunset(Lat,Long,B45)+TimeZone/24-0.000277777777777778</f>
        <v>45387.76447264156</v>
      </c>
      <c r="E45" s="6">
        <f>PlanetRiseSet(Lat,Long,B45,1,1)+TimeZone/24+0.00103009259259259</f>
        <v>45388.169396497928</v>
      </c>
      <c r="F45" s="6">
        <f>PlanetRiseSet(Lat,Long,B45+1,1,2)+TimeZone/24+0.00103009259259259</f>
        <v>45388.672055502109</v>
      </c>
      <c r="G45" s="7">
        <f>Panchanga!$C45-TimeZone/24</f>
        <v>45388.023013198283</v>
      </c>
      <c r="H45" s="8" t="str">
        <f>INT(P[[#This Row],[Sun]]/30)&amp;"s"&amp;ROUNDUP(MOD(P[[#This Row],[Sun]],30),2)</f>
        <v>11s22.51</v>
      </c>
      <c r="I45" s="13" t="str">
        <f>INT(P[[#This Row],[Moon]]/30)&amp;"s"&amp;ROUNDUP(MOD(P[[#This Row],[Moon]],30),2)</f>
        <v>10s14.04</v>
      </c>
      <c r="J45" s="14">
        <f t="shared" si="17"/>
        <v>45388.023013198283</v>
      </c>
      <c r="K45" s="10" t="str">
        <f>naks(P[[#This Row],[Moon]])</f>
        <v>Satabhisaj</v>
      </c>
      <c r="L45" s="6">
        <f>(C46-P[[#This Row],[SunRise]])/(MOD(360+V46-P[[#This Row],[Moon]],360))*(13.3333333333333-MOD(P[[#This Row],[Moon]],13.333333333333))+P[[#This Row],[SunRise]]</f>
        <v>45388.651119669084</v>
      </c>
      <c r="M45" s="4" t="str">
        <f>IF(Panchanga!$R45&gt;15,"K","S")&amp;ROUNDUP(MOD(Panchanga!$R45,15),0)&amp;" ("&amp;ROUND(Panchanga!$R45,2)&amp;")"</f>
        <v>K12 (26.79)</v>
      </c>
      <c r="N45" s="4">
        <f>IF(AND(Panchanga!$R45&lt;28.5,Panchanga!$R45&gt;0.49999),MOD((Panchanga!$R45-0.5)*2,7),MOD((Panchanga!$R45+30-28.5),30)*2+7)</f>
        <v>3.5872000000000028</v>
      </c>
      <c r="O45" s="4" t="str">
        <f>CHOOSE(ROUNDUP(Panchanga!$N45,0),"Bhava","Baalava","Kaulava","Taitula","Garija","Vanija","Vishti","Shakuni","Chatushapda","Naaga","Kimstugna")</f>
        <v>Taitula</v>
      </c>
      <c r="P45" s="11" t="str">
        <f>CHOOSE(ROUNDUP(Panchanga!$S45,0),"viṣkambha","prīti","āyuṣmāna","saubhāgya","śobhana","atigaṇḍa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("&amp;Panchanga!$S45&amp;")"</f>
        <v>śubha (23)</v>
      </c>
      <c r="Q45" s="4">
        <f>IF(AND(Panchanga!$R45&lt;28.5,Panchanga!$R45&gt;0.49999),MOD((Panchanga!$R45-0.5)*2,7),MOD((Panchanga!$R45+30-28.5),30)*2+7)</f>
        <v>3.5872000000000028</v>
      </c>
      <c r="R45" s="4">
        <f>ROUNDUP(MOD(360+P[[#This Row],[Moon]]-P[[#This Row],[Sun]],360)/12,4)</f>
        <v>26.793600000000001</v>
      </c>
      <c r="S45" s="4">
        <f>ROUNDUP(MOD(P[[#This Row],[Sun]]+P[[#This Row],[Moon]],360)/13.333333333,2)</f>
        <v>23</v>
      </c>
      <c r="T45" s="4" t="str">
        <f>SIGN(W46-Panchanga!$W45)*INT(Panchanga!$W45/30+1)&amp;"Ma,"&amp;SIGN(X46-Panchanga!$X45)*INT(Panchanga!$X45/30+1)&amp;"Me,"&amp;SIGN(Y46-Panchanga!$Y45)*INT(Panchanga!$Y45/30+1)&amp;"J, "&amp;SIGN(Z46-Panchanga!$Z45)*INT(Panchanga!$Z45/30+1)&amp;"V,"&amp;SIGN(AA46-Panchanga!$AA45)*INT(Panchanga!$AA45/30+1)&amp;"S,"&amp;INT(Panchanga!$AB45/30+1)&amp;"R"</f>
        <v>11Ma,-1Me,1J, 12V,11S,12R</v>
      </c>
      <c r="U45" s="4">
        <f t="shared" si="14"/>
        <v>352.50897838687149</v>
      </c>
      <c r="V45" s="4">
        <f t="shared" si="15"/>
        <v>314.0312738359172</v>
      </c>
      <c r="W45" s="4">
        <f>Planet(Panchanga!$G45,4)</f>
        <v>316.72478128790021</v>
      </c>
      <c r="X45" s="4">
        <f>Planet(Panchanga!$G45,2)</f>
        <v>2.0943579477131666</v>
      </c>
      <c r="Y45" s="4">
        <f>Planet(Panchanga!$G45,5)</f>
        <v>24.247488658948846</v>
      </c>
      <c r="Z45" s="4">
        <f>Planet(Panchanga!$G45,3)</f>
        <v>336.86341873369184</v>
      </c>
      <c r="AA45" s="4">
        <f>Planet(Panchanga!$G45,6)</f>
        <v>319.96299097440465</v>
      </c>
      <c r="AB45" s="4">
        <f>Planet(Panchanga!$G45,10)</f>
        <v>351.59759881144248</v>
      </c>
      <c r="AC45" s="4" t="str">
        <f>TEXT(Panchanga!$C45+($C46-Panchanga!$C45)/ABS(IF($R46&lt;1,$R46+30,$R46)-Panchanga!$R45)*(ROUNDUP(Panchanga!$R45,0)-Panchanga!$R45),"hh:mm AM/PM")</f>
        <v>10:18 AM</v>
      </c>
      <c r="AD45" s="4"/>
    </row>
    <row r="46" spans="1:30" x14ac:dyDescent="0.2">
      <c r="A46" s="3">
        <f t="shared" si="18"/>
        <v>45389</v>
      </c>
      <c r="B46" s="3">
        <f t="shared" si="19"/>
        <v>45389.229166666664</v>
      </c>
      <c r="C46" s="6">
        <f t="shared" si="12"/>
        <v>45389.251729047079</v>
      </c>
      <c r="D46" s="6">
        <f>sunset(Lat,Long,B46)+TimeZone/24-0.000277777777777778</f>
        <v>45388.76453391886</v>
      </c>
      <c r="E46" s="6">
        <f>PlanetRiseSet(Lat,Long,B46,1,1)+TimeZone/24+0.00103009259259259</f>
        <v>45389.200311293978</v>
      </c>
      <c r="F46" s="6">
        <f>PlanetRiseSet(Lat,Long,B46+1,1,2)+TimeZone/24+0.00103009259259259</f>
        <v>45389.712767154131</v>
      </c>
      <c r="G46" s="7">
        <f>Panchanga!$C46-TimeZone/24</f>
        <v>45389.022562380414</v>
      </c>
      <c r="H46" s="8" t="str">
        <f>INT(P[[#This Row],[Sun]]/30)&amp;"s"&amp;ROUNDUP(MOD(P[[#This Row],[Sun]],30),2)</f>
        <v>11s23.5</v>
      </c>
      <c r="I46" s="13" t="str">
        <f>INT(P[[#This Row],[Moon]]/30)&amp;"s"&amp;ROUNDUP(MOD(P[[#This Row],[Moon]],30),2)</f>
        <v>10s28.99</v>
      </c>
      <c r="J46" s="14">
        <f t="shared" si="17"/>
        <v>45389.022562380414</v>
      </c>
      <c r="K46" s="10" t="str">
        <f>naks(P[[#This Row],[Moon]])</f>
        <v>Purva Bhadrapada</v>
      </c>
      <c r="L46" s="6">
        <f>(C47-P[[#This Row],[SunRise]])/(MOD(360+V47-P[[#This Row],[Moon]],360))*(13.3333333333333-MOD(P[[#This Row],[Moon]],13.333333333333))+P[[#This Row],[SunRise]]</f>
        <v>45389.540340572799</v>
      </c>
      <c r="M46" s="4" t="str">
        <f>IF(Panchanga!$R46&gt;15,"K","S")&amp;ROUNDUP(MOD(Panchanga!$R46,15),0)&amp;" ("&amp;ROUND(Panchanga!$R46,2)&amp;")"</f>
        <v>K13 (27.96)</v>
      </c>
      <c r="N46" s="4">
        <f>IF(AND(Panchanga!$R46&lt;28.5,Panchanga!$R46&gt;0.49999),MOD((Panchanga!$R46-0.5)*2,7),MOD((Panchanga!$R46+30-28.5),30)*2+7)</f>
        <v>5.9155999999999977</v>
      </c>
      <c r="O46" s="4" t="str">
        <f>CHOOSE(ROUNDUP(Panchanga!$N46,0),"Bhava","Baalava","Kaulava","Taitula","Garija","Vanija","Vishti","Shakuni","Chatushapda","Naaga","Kimstugna")</f>
        <v>Vanija</v>
      </c>
      <c r="P46" s="11" t="str">
        <f>CHOOSE(ROUNDUP(Panchanga!$S46,0),"viṣkambha","prīti","āyuṣmāna","saubhāgya","śobhana","atigaṇḍa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("&amp;Panchanga!$S46&amp;")"</f>
        <v>brahma (24.19)</v>
      </c>
      <c r="Q46" s="4">
        <f>IF(AND(Panchanga!$R46&lt;28.5,Panchanga!$R46&gt;0.49999),MOD((Panchanga!$R46-0.5)*2,7),MOD((Panchanga!$R46+30-28.5),30)*2+7)</f>
        <v>5.9155999999999977</v>
      </c>
      <c r="R46" s="4">
        <f>ROUNDUP(MOD(360+P[[#This Row],[Moon]]-P[[#This Row],[Sun]],360)/12,4)</f>
        <v>27.957799999999999</v>
      </c>
      <c r="S46" s="4">
        <f>ROUNDUP(MOD(P[[#This Row],[Sun]]+P[[#This Row],[Moon]],360)/13.333333333,2)</f>
        <v>24.19</v>
      </c>
      <c r="T46" s="4" t="str">
        <f>SIGN(W47-Panchanga!$W46)*INT(Panchanga!$W46/30+1)&amp;"Ma,"&amp;SIGN(X47-Panchanga!$X46)*INT(Panchanga!$X46/30+1)&amp;"Me,"&amp;SIGN(Y47-Panchanga!$Y46)*INT(Panchanga!$Y46/30+1)&amp;"J, "&amp;SIGN(Z47-Panchanga!$Z46)*INT(Panchanga!$Z46/30+1)&amp;"V,"&amp;SIGN(AA47-Panchanga!$AA46)*INT(Panchanga!$AA46/30+1)&amp;"S,"&amp;INT(Panchanga!$AB46/30+1)&amp;"R"</f>
        <v>11Ma,-1Me,1J, 12V,11S,12R</v>
      </c>
      <c r="U46" s="4">
        <f t="shared" si="14"/>
        <v>353.49271083028214</v>
      </c>
      <c r="V46" s="4">
        <f t="shared" si="15"/>
        <v>328.98599957084451</v>
      </c>
      <c r="W46" s="4">
        <f>Planet(Panchanga!$G46,4)</f>
        <v>317.50225206052255</v>
      </c>
      <c r="X46" s="4">
        <f>Planet(Panchanga!$G46,2)</f>
        <v>1.6168956145070226</v>
      </c>
      <c r="Y46" s="4">
        <f>Planet(Panchanga!$G46,5)</f>
        <v>24.466852944145096</v>
      </c>
      <c r="Z46" s="4">
        <f>Planet(Panchanga!$G46,3)</f>
        <v>338.09845762364239</v>
      </c>
      <c r="AA46" s="4">
        <f>Planet(Panchanga!$G46,6)</f>
        <v>320.07212373224326</v>
      </c>
      <c r="AB46" s="4">
        <f>Planet(Panchanga!$G46,10)</f>
        <v>351.54463071370049</v>
      </c>
      <c r="AC46" s="4" t="str">
        <f>TEXT(Panchanga!$C46+($C47-Panchanga!$C46)/ABS(IF($R47&lt;1,$R47+30,$R47)-Panchanga!$R46)*(ROUNDUP(Panchanga!$R46,0)-Panchanga!$R46),"hh:mm AM/PM")</f>
        <v>06:54 AM</v>
      </c>
      <c r="AD46" s="4"/>
    </row>
    <row r="47" spans="1:30" x14ac:dyDescent="0.2">
      <c r="A47" s="3">
        <f t="shared" si="18"/>
        <v>45390</v>
      </c>
      <c r="B47" s="3">
        <f t="shared" si="19"/>
        <v>45390.229166666664</v>
      </c>
      <c r="C47" s="6">
        <f t="shared" si="12"/>
        <v>45390.25128173564</v>
      </c>
      <c r="D47" s="6">
        <f>sunset(Lat,Long,B47)+TimeZone/24-0.000277777777777778</f>
        <v>45389.76459704763</v>
      </c>
      <c r="E47" s="6">
        <f>PlanetRiseSet(Lat,Long,B47,1,1)+TimeZone/24+0.00103009259259259</f>
        <v>45390.23059459791</v>
      </c>
      <c r="F47" s="6">
        <f>PlanetRiseSet(Lat,Long,B47+1,1,2)+TimeZone/24+0.00103009259259259</f>
        <v>45390.753444589827</v>
      </c>
      <c r="G47" s="7">
        <f>Panchanga!$C47-TimeZone/24</f>
        <v>45390.022115068976</v>
      </c>
      <c r="H47" s="8" t="str">
        <f>INT(P[[#This Row],[Sun]]/30)&amp;"s"&amp;ROUNDUP(MOD(P[[#This Row],[Sun]],30),2)</f>
        <v>11s24.48</v>
      </c>
      <c r="I47" s="13" t="str">
        <f>INT(P[[#This Row],[Moon]]/30)&amp;"s"&amp;ROUNDUP(MOD(P[[#This Row],[Moon]],30),2)</f>
        <v>11s14.05</v>
      </c>
      <c r="J47" s="14">
        <f t="shared" si="17"/>
        <v>45390.022115068976</v>
      </c>
      <c r="K47" s="10" t="str">
        <f>naks(P[[#This Row],[Moon]])</f>
        <v>Uttara Bhadrapada</v>
      </c>
      <c r="L47" s="6">
        <f>(C48-P[[#This Row],[SunRise]])/(MOD(360+V48-P[[#This Row],[Moon]],360))*(13.3333333333333-MOD(P[[#This Row],[Moon]],13.333333333333))+P[[#This Row],[SunRise]]</f>
        <v>45390.426006871712</v>
      </c>
      <c r="M47" s="4" t="str">
        <f>IF(Panchanga!$R47&gt;15,"K","S")&amp;ROUNDUP(MOD(Panchanga!$R47,15),0)&amp;" ("&amp;ROUND(Panchanga!$R47,2)&amp;")"</f>
        <v>K15 (29.13)</v>
      </c>
      <c r="N47" s="4">
        <f>IF(AND(Panchanga!$R47&lt;28.5,Panchanga!$R47&gt;0.49999),MOD((Panchanga!$R47-0.5)*2,7),MOD((Panchanga!$R47+30-28.5),30)*2+7)</f>
        <v>8.2612000000000023</v>
      </c>
      <c r="O47" s="4" t="str">
        <f>CHOOSE(ROUNDUP(Panchanga!$N47,0),"Bhava","Baalava","Kaulava","Taitula","Garija","Vanija","Vishti","Shakuni","Chatushapda","Naaga","Kimstugna")</f>
        <v>Chatushapda</v>
      </c>
      <c r="P47" s="11" t="str">
        <f>CHOOSE(ROUNDUP(Panchanga!$S47,0),"viṣkambha","prīti","āyuṣmāna","saubhāgya","śobhana","atigaṇḍa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("&amp;Panchanga!$S47&amp;")"</f>
        <v>mahendra (25.39)</v>
      </c>
      <c r="Q47" s="4">
        <f>IF(AND(Panchanga!$R47&lt;28.5,Panchanga!$R47&gt;0.49999),MOD((Panchanga!$R47-0.5)*2,7),MOD((Panchanga!$R47+30-28.5),30)*2+7)</f>
        <v>8.2612000000000023</v>
      </c>
      <c r="R47" s="4">
        <f>ROUNDUP(MOD(360+P[[#This Row],[Moon]]-P[[#This Row],[Sun]],360)/12,4)</f>
        <v>29.130600000000001</v>
      </c>
      <c r="S47" s="4">
        <f>ROUNDUP(MOD(P[[#This Row],[Sun]]+P[[#This Row],[Moon]],360)/13.333333333,2)</f>
        <v>25.39</v>
      </c>
      <c r="T47" s="4" t="str">
        <f>SIGN(W48-Panchanga!$W47)*INT(Panchanga!$W47/30+1)&amp;"Ma,"&amp;SIGN(X48-Panchanga!$X47)*INT(Panchanga!$X47/30+1)&amp;"Me,"&amp;SIGN(Y48-Panchanga!$Y47)*INT(Panchanga!$Y47/30+1)&amp;"J, "&amp;SIGN(Z48-Panchanga!$Z47)*INT(Panchanga!$Z47/30+1)&amp;"V,"&amp;SIGN(AA48-Panchanga!$AA47)*INT(Panchanga!$AA47/30+1)&amp;"S,"&amp;INT(Panchanga!$AB47/30+1)&amp;"R"</f>
        <v>11Ma,-1Me,1J, 12V,11S,12R</v>
      </c>
      <c r="U47" s="4">
        <f t="shared" si="14"/>
        <v>354.47592359158324</v>
      </c>
      <c r="V47" s="4">
        <f t="shared" si="15"/>
        <v>344.04218673986929</v>
      </c>
      <c r="W47" s="4">
        <f>Planet(Panchanga!$G47,4)</f>
        <v>318.27957946812717</v>
      </c>
      <c r="X47" s="4">
        <f>Planet(Panchanga!$G47,2)</f>
        <v>1.0605023473865636</v>
      </c>
      <c r="Y47" s="4">
        <f>Planet(Panchanga!$G47,5)</f>
        <v>24.687071162084631</v>
      </c>
      <c r="Z47" s="4">
        <f>Planet(Panchanga!$G47,3)</f>
        <v>339.33337884713984</v>
      </c>
      <c r="AA47" s="4">
        <f>Planet(Panchanga!$G47,6)</f>
        <v>320.18056300190688</v>
      </c>
      <c r="AB47" s="4">
        <f>Planet(Panchanga!$G47,10)</f>
        <v>351.49166243022478</v>
      </c>
      <c r="AC47" s="4" t="str">
        <f>TEXT(Panchanga!$C47+($C48-Panchanga!$C47)/ABS(IF($R48&lt;1,$R48+30,$R48)-Panchanga!$R47)*(ROUNDUP(Panchanga!$R47,0)-Panchanga!$R47),"hh:mm AM/PM")</f>
        <v>11:52 PM</v>
      </c>
      <c r="AD47" s="4"/>
    </row>
    <row r="48" spans="1:30" x14ac:dyDescent="0.2">
      <c r="A48" s="3">
        <f t="shared" si="18"/>
        <v>45391</v>
      </c>
      <c r="B48" s="3">
        <f t="shared" si="19"/>
        <v>45391.229166666664</v>
      </c>
      <c r="C48" s="6">
        <f t="shared" si="12"/>
        <v>45391.250838135056</v>
      </c>
      <c r="D48" s="6">
        <f>sunset(Lat,Long,B48)+TimeZone/24-0.000277777777777778</f>
        <v>45390.764662130779</v>
      </c>
      <c r="E48" s="6">
        <f>PlanetRiseSet(Lat,Long,B48,1,1)+TimeZone/24+0.00103009259259259</f>
        <v>45391.261280683488</v>
      </c>
      <c r="F48" s="6">
        <f>PlanetRiseSet(Lat,Long,B48+1,1,2)+TimeZone/24+0.00103009259259259</f>
        <v>45391.794758020587</v>
      </c>
      <c r="G48" s="7">
        <f>Panchanga!$C48-TimeZone/24</f>
        <v>45391.021671468392</v>
      </c>
      <c r="H48" s="8" t="str">
        <f>INT(P[[#This Row],[Sun]]/30)&amp;"s"&amp;ROUNDUP(MOD(P[[#This Row],[Sun]],30),2)</f>
        <v>11s25.46</v>
      </c>
      <c r="I48" s="13" t="str">
        <f>INT(P[[#This Row],[Moon]]/30)&amp;"s"&amp;ROUNDUP(MOD(P[[#This Row],[Moon]],30),2)</f>
        <v>11s29.06</v>
      </c>
      <c r="J48" s="14">
        <f t="shared" si="17"/>
        <v>45391.021671468392</v>
      </c>
      <c r="K48" s="10" t="str">
        <f>naks(P[[#This Row],[Moon]])</f>
        <v>Revati</v>
      </c>
      <c r="L48" s="6">
        <f>(C49-P[[#This Row],[SunRise]])/(MOD(360+V49-P[[#This Row],[Moon]],360))*(13.3333333333333-MOD(P[[#This Row],[Moon]],13.333333333333))+P[[#This Row],[SunRise]]</f>
        <v>45391.314461080547</v>
      </c>
      <c r="M48" s="4" t="str">
        <f>IF(Panchanga!$R48&gt;15,"K","S")&amp;ROUNDUP(MOD(Panchanga!$R48,15),0)&amp;" ("&amp;ROUND(Panchanga!$R48,2)&amp;")"</f>
        <v>S1 (0.3)</v>
      </c>
      <c r="N48" s="4">
        <f>IF(AND(Panchanga!$R48&lt;28.5,Panchanga!$R48&gt;0.49999),MOD((Panchanga!$R48-0.5)*2,7),MOD((Panchanga!$R48+30-28.5),30)*2+7)</f>
        <v>10.599600000000002</v>
      </c>
      <c r="O48" s="4" t="str">
        <f>CHOOSE(ROUNDUP(Panchanga!$N48,0),"Bhava","Baalava","Kaulava","Taitula","Garija","Vanija","Vishti","Shakuni","Chatushapda","Naaga","Kimstugna")</f>
        <v>Kimstugna</v>
      </c>
      <c r="P48" s="11" t="str">
        <f>CHOOSE(ROUNDUP(Panchanga!$S48,0),"viṣkambha","prīti","āyuṣmāna","saubhāgya","śobhana","atigaṇḍa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("&amp;Panchanga!$S48&amp;")"</f>
        <v>vaidhṛti (26.59)</v>
      </c>
      <c r="Q48" s="4">
        <f>IF(AND(Panchanga!$R48&lt;28.5,Panchanga!$R48&gt;0.49999),MOD((Panchanga!$R48-0.5)*2,7),MOD((Panchanga!$R48+30-28.5),30)*2+7)</f>
        <v>10.599600000000002</v>
      </c>
      <c r="R48" s="4">
        <f>ROUNDUP(MOD(360+P[[#This Row],[Moon]]-P[[#This Row],[Sun]],360)/12,4)</f>
        <v>0.29980000000000001</v>
      </c>
      <c r="S48" s="4">
        <f>ROUNDUP(MOD(P[[#This Row],[Sun]]+P[[#This Row],[Moon]],360)/13.333333333,2)</f>
        <v>26.59</v>
      </c>
      <c r="T48" s="4" t="str">
        <f>SIGN(W49-Panchanga!$W48)*INT(Panchanga!$W48/30+1)&amp;"Ma,"&amp;SIGN(X49-Panchanga!$X48)*INT(Panchanga!$X48/30+1)&amp;"Me,"&amp;SIGN(Y49-Panchanga!$Y48)*INT(Panchanga!$Y48/30+1)&amp;"J, "&amp;SIGN(Z49-Panchanga!$Z48)*INT(Panchanga!$Z48/30+1)&amp;"V,"&amp;SIGN(AA49-Panchanga!$AA48)*INT(Panchanga!$AA48/30+1)&amp;"S,"&amp;INT(Panchanga!$AB48/30+1)&amp;"R"</f>
        <v>11Ma,1Me,1J, 12V,11S,12R</v>
      </c>
      <c r="U48" s="4">
        <f t="shared" si="14"/>
        <v>355.45859601610715</v>
      </c>
      <c r="V48" s="4">
        <f t="shared" si="15"/>
        <v>359.05614388945634</v>
      </c>
      <c r="W48" s="4">
        <f>Planet(Panchanga!$G48,4)</f>
        <v>319.05673970809033</v>
      </c>
      <c r="X48" s="4">
        <f>Planet(Panchanga!$G48,2)</f>
        <v>0.43712070675197817</v>
      </c>
      <c r="Y48" s="4">
        <f>Planet(Panchanga!$G48,5)</f>
        <v>24.908116472829544</v>
      </c>
      <c r="Z48" s="4">
        <f>Planet(Panchanga!$G48,3)</f>
        <v>340.56816754651578</v>
      </c>
      <c r="AA48" s="4">
        <f>Planet(Panchanga!$G48,6)</f>
        <v>320.28828888189889</v>
      </c>
      <c r="AB48" s="4">
        <f>Planet(Panchanga!$G48,10)</f>
        <v>351.43869395004702</v>
      </c>
      <c r="AC48" s="4" t="str">
        <f>TEXT(Panchanga!$C48+($C49-Panchanga!$C48)/ABS(IF($R49&lt;1,$R49+30,$R49)-Panchanga!$R48)*(ROUNDUP(Panchanga!$R48,0)-Panchanga!$R48),"hh:mm AM/PM")</f>
        <v>08:34 PM</v>
      </c>
      <c r="AD48" s="4"/>
    </row>
    <row r="49" spans="1:30" x14ac:dyDescent="0.2">
      <c r="A49" s="3">
        <f t="shared" si="18"/>
        <v>45392</v>
      </c>
      <c r="B49" s="3">
        <f t="shared" si="19"/>
        <v>45392.229166666664</v>
      </c>
      <c r="C49" s="6">
        <f t="shared" si="12"/>
        <v>45392.250398443699</v>
      </c>
      <c r="D49" s="6">
        <f>sunset(Lat,Long,B49)+TimeZone/24-0.000277777777777778</f>
        <v>45391.764729259114</v>
      </c>
      <c r="E49" s="6">
        <f>PlanetRiseSet(Lat,Long,B49,1,1)+TimeZone/24+0.00103009259259259</f>
        <v>45392.293345206104</v>
      </c>
      <c r="F49" s="6">
        <f>PlanetRiseSet(Lat,Long,B49+1,1,2)+TimeZone/24+0.00103009259259259</f>
        <v>45392.837106819883</v>
      </c>
      <c r="G49" s="7">
        <f>Panchanga!$C49-TimeZone/24</f>
        <v>45392.021231777035</v>
      </c>
      <c r="H49" s="8" t="str">
        <f>INT(P[[#This Row],[Sun]]/30)&amp;"s"&amp;ROUNDUP(MOD(P[[#This Row],[Sun]],30),2)</f>
        <v>11s26.45</v>
      </c>
      <c r="I49" s="13" t="str">
        <f>INT(P[[#This Row],[Moon]]/30)&amp;"s"&amp;ROUNDUP(MOD(P[[#This Row],[Moon]],30),2)</f>
        <v>0s13.89</v>
      </c>
      <c r="J49" s="14">
        <f t="shared" si="17"/>
        <v>45392.021231777035</v>
      </c>
      <c r="K49" s="10" t="str">
        <f>naks(P[[#This Row],[Moon]])</f>
        <v>Bharani</v>
      </c>
      <c r="L49" s="6">
        <f>(C50-P[[#This Row],[SunRise]])/(MOD(360+V50-P[[#This Row],[Moon]],360))*(13.3333333333333-MOD(P[[#This Row],[Moon]],13.333333333333))+P[[#This Row],[SunRise]]</f>
        <v>45393.130243964166</v>
      </c>
      <c r="M49" s="4" t="str">
        <f>IF(Panchanga!$R49&gt;15,"K","S")&amp;ROUNDUP(MOD(Panchanga!$R49,15),0)&amp;" ("&amp;ROUND(Panchanga!$R49,2)&amp;")"</f>
        <v>S2 (1.45)</v>
      </c>
      <c r="N49" s="4">
        <f>IF(AND(Panchanga!$R49&lt;28.5,Panchanga!$R49&gt;0.49999),MOD((Panchanga!$R49-0.5)*2,7),MOD((Panchanga!$R49+30-28.5),30)*2+7)</f>
        <v>1.9074</v>
      </c>
      <c r="O49" s="4" t="str">
        <f>CHOOSE(ROUNDUP(Panchanga!$N49,0),"Bhava","Baalava","Kaulava","Taitula","Garija","Vanija","Vishti","Shakuni","Chatushapda","Naaga","Kimstugna")</f>
        <v>Baalava</v>
      </c>
      <c r="P49" s="11" t="str">
        <f>CHOOSE(ROUNDUP(Panchanga!$S49,0),"viṣkambha","prīti","āyuṣmāna","saubhāgya","śobhana","atigaṇḍa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("&amp;Panchanga!$S49&amp;")"</f>
        <v>viṣkambha (0.78)</v>
      </c>
      <c r="Q49" s="4">
        <f>IF(AND(Panchanga!$R49&lt;28.5,Panchanga!$R49&gt;0.49999),MOD((Panchanga!$R49-0.5)*2,7),MOD((Panchanga!$R49+30-28.5),30)*2+7)</f>
        <v>1.9074</v>
      </c>
      <c r="R49" s="4">
        <f>ROUNDUP(MOD(360+P[[#This Row],[Moon]]-P[[#This Row],[Sun]],360)/12,4)</f>
        <v>1.4537</v>
      </c>
      <c r="S49" s="4">
        <f>ROUNDUP(MOD(P[[#This Row],[Sun]]+P[[#This Row],[Moon]],360)/13.333333333,2)</f>
        <v>0.78</v>
      </c>
      <c r="T49" s="4" t="str">
        <f>SIGN(W50-Panchanga!$W49)*INT(Panchanga!$W49/30+1)&amp;"Ma,"&amp;SIGN(X50-Panchanga!$X49)*INT(Panchanga!$X49/30+1)&amp;"Me,"&amp;SIGN(Y50-Panchanga!$Y49)*INT(Panchanga!$Y49/30+1)&amp;"J, "&amp;SIGN(Z50-Panchanga!$Z49)*INT(Panchanga!$Z49/30+1)&amp;"V,"&amp;SIGN(AA50-Panchanga!$AA49)*INT(Panchanga!$AA49/30+1)&amp;"S,"&amp;INT(Panchanga!$AB49/30+1)&amp;"R"</f>
        <v>11Ma,-12Me,1J, 12V,11S,12R</v>
      </c>
      <c r="U49" s="4">
        <f t="shared" si="14"/>
        <v>356.44070666764765</v>
      </c>
      <c r="V49" s="4">
        <f t="shared" si="15"/>
        <v>13.88477368460577</v>
      </c>
      <c r="W49" s="4">
        <f>Planet(Panchanga!$G49,4)</f>
        <v>319.83371049125338</v>
      </c>
      <c r="X49" s="4">
        <f>Planet(Panchanga!$G49,2)</f>
        <v>359.75978575581962</v>
      </c>
      <c r="Y49" s="4">
        <f>Planet(Panchanga!$G49,5)</f>
        <v>25.129961364240994</v>
      </c>
      <c r="Z49" s="4">
        <f>Planet(Panchanga!$G49,3)</f>
        <v>341.80280956677416</v>
      </c>
      <c r="AA49" s="4">
        <f>Planet(Panchanga!$G49,6)</f>
        <v>320.39528184250628</v>
      </c>
      <c r="AB49" s="4">
        <f>Planet(Panchanga!$G49,10)</f>
        <v>351.38572526276198</v>
      </c>
      <c r="AC49" s="4" t="str">
        <f>TEXT(Panchanga!$C49+($C50-Panchanga!$C49)/ABS(IF($R50&lt;1,$R50+30,$R50)-Panchanga!$R49)*(ROUNDUP(Panchanga!$R49,0)-Panchanga!$R49),"hh:mm AM/PM")</f>
        <v>05:37 PM</v>
      </c>
      <c r="AD49" s="4"/>
    </row>
    <row r="50" spans="1:30" x14ac:dyDescent="0.2">
      <c r="A50" s="3">
        <f t="shared" si="18"/>
        <v>45393</v>
      </c>
      <c r="B50" s="3">
        <f t="shared" si="19"/>
        <v>45393.229166666664</v>
      </c>
      <c r="C50" s="6">
        <f t="shared" si="12"/>
        <v>45393.24996285994</v>
      </c>
      <c r="D50" s="6">
        <f>sunset(Lat,Long,B50)+TimeZone/24-0.000277777777777778</f>
        <v>45392.764798517848</v>
      </c>
      <c r="E50" s="6">
        <f>PlanetRiseSet(Lat,Long,B50,1,1)+TimeZone/24+0.00103009259259259</f>
        <v>45393.327548916139</v>
      </c>
      <c r="F50" s="6">
        <f>PlanetRiseSet(Lat,Long,B50+1,1,2)+TimeZone/24+0.00103009259259259</f>
        <v>45393.880334268477</v>
      </c>
      <c r="G50" s="7">
        <f>Panchanga!$C50-TimeZone/24</f>
        <v>45393.020796193276</v>
      </c>
      <c r="H50" s="8" t="str">
        <f>INT(P[[#This Row],[Sun]]/30)&amp;"s"&amp;ROUNDUP(MOD(P[[#This Row],[Sun]],30),2)</f>
        <v>11s27.43</v>
      </c>
      <c r="I50" s="13" t="str">
        <f>INT(P[[#This Row],[Moon]]/30)&amp;"s"&amp;ROUNDUP(MOD(P[[#This Row],[Moon]],30),2)</f>
        <v>0s28.41</v>
      </c>
      <c r="J50" s="14">
        <f t="shared" si="17"/>
        <v>45393.020796193276</v>
      </c>
      <c r="K50" s="10" t="str">
        <f>naks(P[[#This Row],[Moon]])</f>
        <v>Krittika</v>
      </c>
      <c r="L50" s="6">
        <f>(C51-P[[#This Row],[SunRise]])/(MOD(360+V51-P[[#This Row],[Moon]],360))*(13.3333333333333-MOD(P[[#This Row],[Moon]],13.333333333333))+P[[#This Row],[SunRise]]</f>
        <v>45394.070292702876</v>
      </c>
      <c r="M50" s="4" t="str">
        <f>IF(Panchanga!$R50&gt;15,"K","S")&amp;ROUNDUP(MOD(Panchanga!$R50,15),0)&amp;" ("&amp;ROUND(Panchanga!$R50,2)&amp;")"</f>
        <v>S3 (2.58)</v>
      </c>
      <c r="N50" s="4">
        <f>IF(AND(Panchanga!$R50&lt;28.5,Panchanga!$R50&gt;0.49999),MOD((Panchanga!$R50-0.5)*2,7),MOD((Panchanga!$R50+30-28.5),30)*2+7)</f>
        <v>4.1640000000000006</v>
      </c>
      <c r="O50" s="4" t="str">
        <f>CHOOSE(ROUNDUP(Panchanga!$N50,0),"Bhava","Baalava","Kaulava","Taitula","Garija","Vanija","Vishti","Shakuni","Chatushapda","Naaga","Kimstugna")</f>
        <v>Garija</v>
      </c>
      <c r="P50" s="11" t="str">
        <f>CHOOSE(ROUNDUP(Panchanga!$S50,0),"viṣkambha","prīti","āyuṣmāna","saubhāgya","śobhana","atigaṇḍa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("&amp;Panchanga!$S50&amp;")"</f>
        <v>prīti (1.94)</v>
      </c>
      <c r="Q50" s="4">
        <f>IF(AND(Panchanga!$R50&lt;28.5,Panchanga!$R50&gt;0.49999),MOD((Panchanga!$R50-0.5)*2,7),MOD((Panchanga!$R50+30-28.5),30)*2+7)</f>
        <v>4.1640000000000006</v>
      </c>
      <c r="R50" s="4">
        <f>ROUNDUP(MOD(360+P[[#This Row],[Moon]]-P[[#This Row],[Sun]],360)/12,4)</f>
        <v>2.5820000000000003</v>
      </c>
      <c r="S50" s="4">
        <f>ROUNDUP(MOD(P[[#This Row],[Sun]]+P[[#This Row],[Moon]],360)/13.333333333,2)</f>
        <v>1.94</v>
      </c>
      <c r="T50" s="4" t="str">
        <f>SIGN(W51-Panchanga!$W50)*INT(Panchanga!$W50/30+1)&amp;"Ma,"&amp;SIGN(X51-Panchanga!$X50)*INT(Panchanga!$X50/30+1)&amp;"Me,"&amp;SIGN(Y51-Panchanga!$Y50)*INT(Panchanga!$Y50/30+1)&amp;"J, "&amp;SIGN(Z51-Panchanga!$Z50)*INT(Panchanga!$Z50/30+1)&amp;"V,"&amp;SIGN(AA51-Panchanga!$AA50)*INT(Panchanga!$AA50/30+1)&amp;"S,"&amp;INT(Panchanga!$AB50/30+1)&amp;"R"</f>
        <v>11Ma,-12Me,1J, 12V,11S,12R</v>
      </c>
      <c r="U50" s="4">
        <f t="shared" si="14"/>
        <v>357.42223574777665</v>
      </c>
      <c r="V50" s="4">
        <f t="shared" si="15"/>
        <v>28.405874377746589</v>
      </c>
      <c r="W50" s="4">
        <f>Planet(Panchanga!$G50,4)</f>
        <v>320.61047197461033</v>
      </c>
      <c r="X50" s="4">
        <f>Planet(Panchanga!$G50,2)</f>
        <v>359.04236050821441</v>
      </c>
      <c r="Y50" s="4">
        <f>Planet(Panchanga!$G50,5)</f>
        <v>25.352578109596223</v>
      </c>
      <c r="Z50" s="4">
        <f>Planet(Panchanga!$G50,3)</f>
        <v>343.03729274191971</v>
      </c>
      <c r="AA50" s="4">
        <f>Planet(Panchanga!$G50,6)</f>
        <v>320.50152295506246</v>
      </c>
      <c r="AB50" s="4">
        <f>Planet(Panchanga!$G50,10)</f>
        <v>351.33275635778216</v>
      </c>
      <c r="AC50" s="4" t="str">
        <f>TEXT(Panchanga!$C50+($C51-Panchanga!$C50)/ABS(IF($R51&lt;1,$R51+30,$R51)-Panchanga!$R50)*(ROUNDUP(Panchanga!$R50,0)-Panchanga!$R50),"hh:mm AM/PM")</f>
        <v>03:09 PM</v>
      </c>
      <c r="AD50" s="4"/>
    </row>
    <row r="51" spans="1:30" x14ac:dyDescent="0.2">
      <c r="A51" s="3">
        <f t="shared" si="18"/>
        <v>45394</v>
      </c>
      <c r="B51" s="3">
        <f t="shared" si="19"/>
        <v>45394.229166666664</v>
      </c>
      <c r="C51" s="6">
        <f t="shared" si="12"/>
        <v>45394.249531587739</v>
      </c>
      <c r="D51" s="6">
        <f>sunset(Lat,Long,B51)+TimeZone/24-0.000277777777777778</f>
        <v>45393.764869993596</v>
      </c>
      <c r="E51" s="6">
        <f>PlanetRiseSet(Lat,Long,B51,1,1)+TimeZone/24+0.00103009259259259</f>
        <v>45394.364210672364</v>
      </c>
      <c r="F51" s="6">
        <f>PlanetRiseSet(Lat,Long,B51+1,1,2)+TimeZone/24+0.00103009259259259</f>
        <v>45394.923567637023</v>
      </c>
      <c r="G51" s="7">
        <f>Panchanga!$C51-TimeZone/24</f>
        <v>45394.020364921074</v>
      </c>
      <c r="H51" s="8" t="str">
        <f>INT(P[[#This Row],[Sun]]/30)&amp;"s"&amp;ROUNDUP(MOD(P[[#This Row],[Sun]],30),2)</f>
        <v>11s28.41</v>
      </c>
      <c r="I51" s="13" t="str">
        <f>INT(P[[#This Row],[Moon]]/30)&amp;"s"&amp;ROUNDUP(MOD(P[[#This Row],[Moon]],30),2)</f>
        <v>1s12.54</v>
      </c>
      <c r="J51" s="14">
        <f t="shared" si="17"/>
        <v>45394.020364921074</v>
      </c>
      <c r="K51" s="10" t="str">
        <f>naks(P[[#This Row],[Moon]])</f>
        <v>Rohini</v>
      </c>
      <c r="L51" s="6">
        <f>(C52-P[[#This Row],[SunRise]])/(MOD(360+V52-P[[#This Row],[Moon]],360))*(13.3333333333333-MOD(P[[#This Row],[Moon]],13.333333333333))+P[[#This Row],[SunRise]]</f>
        <v>45395.038085826884</v>
      </c>
      <c r="M51" s="4" t="str">
        <f>IF(Panchanga!$R51&gt;15,"K","S")&amp;ROUNDUP(MOD(Panchanga!$R51,15),0)&amp;" ("&amp;ROUND(Panchanga!$R51,2)&amp;")"</f>
        <v>S4 (3.68)</v>
      </c>
      <c r="N51" s="4">
        <f>IF(AND(Panchanga!$R51&lt;28.5,Panchanga!$R51&gt;0.49999),MOD((Panchanga!$R51-0.5)*2,7),MOD((Panchanga!$R51+30-28.5),30)*2+7)</f>
        <v>6.3552000000000008</v>
      </c>
      <c r="O51" s="4" t="str">
        <f>CHOOSE(ROUNDUP(Panchanga!$N51,0),"Bhava","Baalava","Kaulava","Taitula","Garija","Vanija","Vishti","Shakuni","Chatushapda","Naaga","Kimstugna")</f>
        <v>Vishti</v>
      </c>
      <c r="P51" s="11" t="str">
        <f>CHOOSE(ROUNDUP(Panchanga!$S51,0),"viṣkambha","prīti","āyuṣmāna","saubhāgya","śobhana","atigaṇḍa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("&amp;Panchanga!$S51&amp;")"</f>
        <v>saubhāgya (3.08)</v>
      </c>
      <c r="Q51" s="4">
        <f>IF(AND(Panchanga!$R51&lt;28.5,Panchanga!$R51&gt;0.49999),MOD((Panchanga!$R51-0.5)*2,7),MOD((Panchanga!$R51+30-28.5),30)*2+7)</f>
        <v>6.3552000000000008</v>
      </c>
      <c r="R51" s="4">
        <f>ROUNDUP(MOD(360+P[[#This Row],[Moon]]-P[[#This Row],[Sun]],360)/12,4)</f>
        <v>3.6776000000000004</v>
      </c>
      <c r="S51" s="4">
        <f>ROUNDUP(MOD(P[[#This Row],[Sun]]+P[[#This Row],[Moon]],360)/13.333333333,2)</f>
        <v>3.0799999999999996</v>
      </c>
      <c r="T51" s="4" t="str">
        <f>SIGN(W52-Panchanga!$W51)*INT(Panchanga!$W51/30+1)&amp;"Ma,"&amp;SIGN(X52-Panchanga!$X51)*INT(Panchanga!$X51/30+1)&amp;"Me,"&amp;SIGN(Y52-Panchanga!$Y51)*INT(Panchanga!$Y51/30+1)&amp;"J, "&amp;SIGN(Z52-Panchanga!$Z51)*INT(Panchanga!$Z51/30+1)&amp;"V,"&amp;SIGN(AA52-Panchanga!$AA51)*INT(Panchanga!$AA51/30+1)&amp;"S,"&amp;INT(Panchanga!$AB51/30+1)&amp;"R"</f>
        <v>11Ma,-12Me,1J, 12V,11S,12R</v>
      </c>
      <c r="U51" s="4">
        <f t="shared" si="14"/>
        <v>358.40316698672081</v>
      </c>
      <c r="V51" s="4">
        <f t="shared" si="15"/>
        <v>42.533271421660835</v>
      </c>
      <c r="W51" s="4">
        <f>Planet(Panchanga!$G51,4)</f>
        <v>321.3870071862396</v>
      </c>
      <c r="X51" s="4">
        <f>Planet(Panchanga!$G51,2)</f>
        <v>358.29921692538892</v>
      </c>
      <c r="Y51" s="4">
        <f>Planet(Panchanga!$G51,5)</f>
        <v>25.575939235931983</v>
      </c>
      <c r="Z51" s="4">
        <f>Planet(Panchanga!$G51,3)</f>
        <v>344.2716077261021</v>
      </c>
      <c r="AA51" s="4">
        <f>Planet(Panchanga!$G51,6)</f>
        <v>320.60699400121035</v>
      </c>
      <c r="AB51" s="4">
        <f>Planet(Panchanga!$G51,10)</f>
        <v>351.27978722433789</v>
      </c>
      <c r="AC51" s="4" t="str">
        <f>TEXT(Panchanga!$C51+($C52-Panchanga!$C51)/ABS(IF($R52&lt;1,$R52+30,$R52)-Panchanga!$R51)*(ROUNDUP(Panchanga!$R51,0)-Panchanga!$R51),"hh:mm AM/PM")</f>
        <v>01:17 PM</v>
      </c>
      <c r="AD51" s="4"/>
    </row>
    <row r="52" spans="1:30" x14ac:dyDescent="0.2">
      <c r="A52" s="3">
        <f t="shared" si="18"/>
        <v>45395</v>
      </c>
      <c r="B52" s="3">
        <f t="shared" si="19"/>
        <v>45395.229166666664</v>
      </c>
      <c r="C52" s="6">
        <f t="shared" si="12"/>
        <v>45395.249104838971</v>
      </c>
      <c r="D52" s="6">
        <f>sunset(Lat,Long,B52)+TimeZone/24-0.000277777777777778</f>
        <v>45394.76494377623</v>
      </c>
      <c r="E52" s="6">
        <f>PlanetRiseSet(Lat,Long,B52,1,1)+TimeZone/24+0.00103009259259259</f>
        <v>45395.402981285624</v>
      </c>
      <c r="F52" s="6">
        <f>PlanetRiseSet(Lat,Long,B52+1,1,2)+TimeZone/24+0.00103009259259259</f>
        <v>45395.965395581596</v>
      </c>
      <c r="G52" s="7">
        <f>Panchanga!$C52-TimeZone/24</f>
        <v>45395.019938172307</v>
      </c>
      <c r="H52" s="8" t="str">
        <f>INT(P[[#This Row],[Sun]]/30)&amp;"s"&amp;ROUNDUP(MOD(P[[#This Row],[Sun]],30),2)</f>
        <v>11s29.39</v>
      </c>
      <c r="I52" s="13" t="str">
        <f>INT(P[[#This Row],[Moon]]/30)&amp;"s"&amp;ROUNDUP(MOD(P[[#This Row],[Moon]],30),2)</f>
        <v>1s26.23</v>
      </c>
      <c r="J52" s="14">
        <f t="shared" si="17"/>
        <v>45395.019938172307</v>
      </c>
      <c r="K52" s="10" t="str">
        <f>naks(P[[#This Row],[Moon]])</f>
        <v>Mrigashira</v>
      </c>
      <c r="L52" s="6">
        <f>(C53-P[[#This Row],[SunRise]])/(MOD(360+V53-P[[#This Row],[Moon]],360))*(13.3333333333333-MOD(P[[#This Row],[Moon]],13.333333333333))+P[[#This Row],[SunRise]]</f>
        <v>45396.036915829318</v>
      </c>
      <c r="M52" s="4" t="str">
        <f>IF(Panchanga!$R52&gt;15,"K","S")&amp;ROUNDUP(MOD(Panchanga!$R52,15),0)&amp;" ("&amp;ROUND(Panchanga!$R52,2)&amp;")"</f>
        <v>S5 (4.74)</v>
      </c>
      <c r="N52" s="4">
        <f>IF(AND(Panchanga!$R52&lt;28.5,Panchanga!$R52&gt;0.49999),MOD((Panchanga!$R52-0.5)*2,7),MOD((Panchanga!$R52+30-28.5),30)*2+7)</f>
        <v>1.4733999999999998</v>
      </c>
      <c r="O52" s="4" t="str">
        <f>CHOOSE(ROUNDUP(Panchanga!$N52,0),"Bhava","Baalava","Kaulava","Taitula","Garija","Vanija","Vishti","Shakuni","Chatushapda","Naaga","Kimstugna")</f>
        <v>Baalava</v>
      </c>
      <c r="P52" s="11" t="str">
        <f>CHOOSE(ROUNDUP(Panchanga!$S52,0),"viṣkambha","prīti","āyuṣmāna","saubhāgya","śobhana","atigaṇḍa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("&amp;Panchanga!$S52&amp;")"</f>
        <v>śobhana (4.18)</v>
      </c>
      <c r="Q52" s="4">
        <f>IF(AND(Panchanga!$R52&lt;28.5,Panchanga!$R52&gt;0.49999),MOD((Panchanga!$R52-0.5)*2,7),MOD((Panchanga!$R52+30-28.5),30)*2+7)</f>
        <v>1.4733999999999998</v>
      </c>
      <c r="R52" s="4">
        <f>ROUNDUP(MOD(360+P[[#This Row],[Moon]]-P[[#This Row],[Sun]],360)/12,4)</f>
        <v>4.7366999999999999</v>
      </c>
      <c r="S52" s="4">
        <f>ROUNDUP(MOD(P[[#This Row],[Sun]]+P[[#This Row],[Moon]],360)/13.333333333,2)</f>
        <v>4.18</v>
      </c>
      <c r="T52" s="4" t="str">
        <f>SIGN(W53-Panchanga!$W52)*INT(Panchanga!$W52/30+1)&amp;"Ma,"&amp;SIGN(X53-Panchanga!$X52)*INT(Panchanga!$X52/30+1)&amp;"Me,"&amp;SIGN(Y53-Panchanga!$Y52)*INT(Panchanga!$Y52/30+1)&amp;"J, "&amp;SIGN(Z53-Panchanga!$Z52)*INT(Panchanga!$Z52/30+1)&amp;"V,"&amp;SIGN(AA53-Panchanga!$AA52)*INT(Panchanga!$AA52/30+1)&amp;"S,"&amp;INT(Panchanga!$AB52/30+1)&amp;"R"</f>
        <v>11Ma,-12Me,1J, 12V,11S,12R</v>
      </c>
      <c r="U52" s="4">
        <f t="shared" si="14"/>
        <v>359.38348863166971</v>
      </c>
      <c r="V52" s="4">
        <f t="shared" si="15"/>
        <v>56.223455891773909</v>
      </c>
      <c r="W52" s="4">
        <f>Planet(Panchanga!$G52,4)</f>
        <v>322.16330193004478</v>
      </c>
      <c r="X52" s="4">
        <f>Planet(Panchanga!$G52,2)</f>
        <v>357.54487978636314</v>
      </c>
      <c r="Y52" s="4">
        <f>Planet(Panchanga!$G52,5)</f>
        <v>25.800017886613126</v>
      </c>
      <c r="Z52" s="4">
        <f>Planet(Panchanga!$G52,3)</f>
        <v>345.50574823891765</v>
      </c>
      <c r="AA52" s="4">
        <f>Planet(Panchanga!$G52,6)</f>
        <v>320.71167746909924</v>
      </c>
      <c r="AB52" s="4">
        <f>Planet(Panchanga!$G52,10)</f>
        <v>351.22681785116237</v>
      </c>
      <c r="AC52" s="4" t="str">
        <f>TEXT(Panchanga!$C52+($C53-Panchanga!$C52)/ABS(IF($R53&lt;1,$R53+30,$R53)-Panchanga!$R52)*(ROUNDUP(Panchanga!$R52,0)-Panchanga!$R52),"hh:mm AM/PM")</f>
        <v>12:09 PM</v>
      </c>
      <c r="AD52" s="4"/>
    </row>
    <row r="53" spans="1:30" x14ac:dyDescent="0.2">
      <c r="A53" s="3">
        <f t="shared" si="18"/>
        <v>45396</v>
      </c>
      <c r="B53" s="3">
        <f t="shared" si="19"/>
        <v>45396.229166666664</v>
      </c>
      <c r="C53" s="6">
        <f t="shared" si="12"/>
        <v>45396.248682833429</v>
      </c>
      <c r="D53" s="6">
        <f>sunset(Lat,Long,B53)+TimeZone/24-0.000277777777777778</f>
        <v>45395.765019963073</v>
      </c>
      <c r="E53" s="6">
        <f>PlanetRiseSet(Lat,Long,B53,1,1)+TimeZone/24+0.00103009259259259</f>
        <v>45396.442829627231</v>
      </c>
      <c r="F53" s="6">
        <f>PlanetRiseSet(Lat,Long,B53+1,1,2)+TimeZone/24+0.00103009259259259</f>
        <v>45397.004414221425</v>
      </c>
      <c r="G53" s="7">
        <f>Panchanga!$C53-TimeZone/24</f>
        <v>45396.019516166765</v>
      </c>
      <c r="H53" s="8" t="str">
        <f>INT(P[[#This Row],[Sun]]/30)&amp;"s"&amp;ROUNDUP(MOD(P[[#This Row],[Sun]],30),2)</f>
        <v>0s0.37</v>
      </c>
      <c r="I53" s="13" t="str">
        <f>INT(P[[#This Row],[Moon]]/30)&amp;"s"&amp;ROUNDUP(MOD(P[[#This Row],[Moon]],30),2)</f>
        <v>2s9.48</v>
      </c>
      <c r="J53" s="14">
        <f t="shared" si="17"/>
        <v>45396.019516166765</v>
      </c>
      <c r="K53" s="10" t="str">
        <f>naks(P[[#This Row],[Moon]])</f>
        <v>Ardra</v>
      </c>
      <c r="L53" s="6">
        <f>(C54-P[[#This Row],[SunRise]])/(MOD(360+V54-P[[#This Row],[Moon]],360))*(13.3333333333333-MOD(P[[#This Row],[Moon]],13.333333333333))+P[[#This Row],[SunRise]]</f>
        <v>45397.068036298566</v>
      </c>
      <c r="M53" s="4" t="str">
        <f>IF(Panchanga!$R53&gt;15,"K","S")&amp;ROUNDUP(MOD(Panchanga!$R53,15),0)&amp;" ("&amp;ROUND(Panchanga!$R53,2)&amp;")"</f>
        <v>S6 (5.76)</v>
      </c>
      <c r="N53" s="4">
        <f>IF(AND(Panchanga!$R53&lt;28.5,Panchanga!$R53&gt;0.49999),MOD((Panchanga!$R53-0.5)*2,7),MOD((Panchanga!$R53+30-28.5),30)*2+7)</f>
        <v>3.5185999999999993</v>
      </c>
      <c r="O53" s="4" t="str">
        <f>CHOOSE(ROUNDUP(Panchanga!$N53,0),"Bhava","Baalava","Kaulava","Taitula","Garija","Vanija","Vishti","Shakuni","Chatushapda","Naaga","Kimstugna")</f>
        <v>Taitula</v>
      </c>
      <c r="P53" s="11" t="str">
        <f>CHOOSE(ROUNDUP(Panchanga!$S53,0),"viṣkambha","prīti","āyuṣmāna","saubhāgya","śobhana","atigaṇḍa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("&amp;Panchanga!$S53&amp;")"</f>
        <v>atigaṇḍa  (5.24)</v>
      </c>
      <c r="Q53" s="4">
        <f>IF(AND(Panchanga!$R53&lt;28.5,Panchanga!$R53&gt;0.49999),MOD((Panchanga!$R53-0.5)*2,7),MOD((Panchanga!$R53+30-28.5),30)*2+7)</f>
        <v>3.5185999999999993</v>
      </c>
      <c r="R53" s="4">
        <f>ROUNDUP(MOD(360+P[[#This Row],[Moon]]-P[[#This Row],[Sun]],360)/12,4)</f>
        <v>5.7592999999999996</v>
      </c>
      <c r="S53" s="4">
        <f>ROUNDUP(MOD(P[[#This Row],[Sun]]+P[[#This Row],[Moon]],360)/13.333333333,2)</f>
        <v>5.24</v>
      </c>
      <c r="T53" s="4" t="str">
        <f>SIGN(W54-Panchanga!$W53)*INT(Panchanga!$W53/30+1)&amp;"Ma,"&amp;SIGN(X54-Panchanga!$X53)*INT(Panchanga!$X53/30+1)&amp;"Me,"&amp;SIGN(Y54-Panchanga!$Y53)*INT(Panchanga!$Y53/30+1)&amp;"J, "&amp;SIGN(Z54-Panchanga!$Z53)*INT(Panchanga!$Z53/30+1)&amp;"V,"&amp;SIGN(AA54-Panchanga!$AA53)*INT(Panchanga!$AA53/30+1)&amp;"S,"&amp;INT(Panchanga!$AB53/30+1)&amp;"R"</f>
        <v>11Ma,-12Me,1J, 12V,11S,12R</v>
      </c>
      <c r="U53" s="4">
        <f t="shared" si="14"/>
        <v>0.36319357223501514</v>
      </c>
      <c r="V53" s="4">
        <f t="shared" si="15"/>
        <v>69.473846924575909</v>
      </c>
      <c r="W53" s="4">
        <f>Planet(Panchanga!$G53,4)</f>
        <v>322.93934434945112</v>
      </c>
      <c r="X53" s="4">
        <f>Planet(Panchanga!$G53,2)</f>
        <v>356.79365634963341</v>
      </c>
      <c r="Y53" s="4">
        <f>Planet(Panchanga!$G53,5)</f>
        <v>26.024788028789942</v>
      </c>
      <c r="Z53" s="4">
        <f>Planet(Panchanga!$G53,3)</f>
        <v>346.73971084699383</v>
      </c>
      <c r="AA53" s="4">
        <f>Planet(Panchanga!$G53,6)</f>
        <v>320.81555646358282</v>
      </c>
      <c r="AB53" s="4">
        <f>Planet(Panchanga!$G53,10)</f>
        <v>351.17384822665736</v>
      </c>
      <c r="AC53" s="4" t="str">
        <f>TEXT(Panchanga!$C53+($C54-Panchanga!$C53)/ABS(IF($R54&lt;1,$R54+30,$R54)-Panchanga!$R53)*(ROUNDUP(Panchanga!$R53,0)-Panchanga!$R53),"hh:mm AM/PM")</f>
        <v>11:48 AM</v>
      </c>
      <c r="AD53" s="4"/>
    </row>
    <row r="54" spans="1:30" x14ac:dyDescent="0.2">
      <c r="A54" s="3">
        <f t="shared" si="18"/>
        <v>45397</v>
      </c>
      <c r="B54" s="3">
        <f t="shared" si="19"/>
        <v>45397.229166666664</v>
      </c>
      <c r="C54" s="6">
        <f t="shared" si="12"/>
        <v>45397.248265797425</v>
      </c>
      <c r="D54" s="6">
        <f>sunset(Lat,Long,B54)+TimeZone/24-0.000277777777777778</f>
        <v>45396.765098658434</v>
      </c>
      <c r="E54" s="6">
        <f>PlanetRiseSet(Lat,Long,B54,1,1)+TimeZone/24+0.00103009259259259</f>
        <v>45397.482396987885</v>
      </c>
      <c r="F54" s="6">
        <f>PlanetRiseSet(Lat,Long,B54+1,1,2)+TimeZone/24+0.00103009259259259</f>
        <v>45398.039785509151</v>
      </c>
      <c r="G54" s="7">
        <f>Panchanga!$C54-TimeZone/24</f>
        <v>45397.019099130761</v>
      </c>
      <c r="H54" s="8" t="str">
        <f>INT(P[[#This Row],[Sun]]/30)&amp;"s"&amp;ROUNDUP(MOD(P[[#This Row],[Sun]],30),2)</f>
        <v>0s1.35</v>
      </c>
      <c r="I54" s="13" t="str">
        <f>INT(P[[#This Row],[Moon]]/30)&amp;"s"&amp;ROUNDUP(MOD(P[[#This Row],[Moon]],30),2)</f>
        <v>2s22.32</v>
      </c>
      <c r="J54" s="14">
        <f t="shared" si="17"/>
        <v>45397.019099130761</v>
      </c>
      <c r="K54" s="10" t="str">
        <f>naks(P[[#This Row],[Moon]])</f>
        <v>Punarvasu</v>
      </c>
      <c r="L54" s="6">
        <f>(C55-P[[#This Row],[SunRise]])/(MOD(360+V55-P[[#This Row],[Moon]],360))*(13.3333333333333-MOD(P[[#This Row],[Moon]],13.333333333333))+P[[#This Row],[SunRise]]</f>
        <v>45398.130221624015</v>
      </c>
      <c r="M54" s="4" t="str">
        <f>IF(Panchanga!$R54&gt;15,"K","S")&amp;ROUNDUP(MOD(Panchanga!$R54,15),0)&amp;" ("&amp;ROUND(Panchanga!$R54,2)&amp;")"</f>
        <v>S7 (6.75)</v>
      </c>
      <c r="N54" s="4">
        <f>IF(AND(Panchanga!$R54&lt;28.5,Panchanga!$R54&gt;0.49999),MOD((Panchanga!$R54-0.5)*2,7),MOD((Panchanga!$R54+30-28.5),30)*2+7)</f>
        <v>5.4955999999999996</v>
      </c>
      <c r="O54" s="4" t="str">
        <f>CHOOSE(ROUNDUP(Panchanga!$N54,0),"Bhava","Baalava","Kaulava","Taitula","Garija","Vanija","Vishti","Shakuni","Chatushapda","Naaga","Kimstugna")</f>
        <v>Vanija</v>
      </c>
      <c r="P54" s="11" t="str">
        <f>CHOOSE(ROUNDUP(Panchanga!$S54,0),"viṣkambha","prīti","āyuṣmāna","saubhāgya","śobhana","atigaṇḍa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("&amp;Panchanga!$S54&amp;")"</f>
        <v>sukarmā  (6.28)</v>
      </c>
      <c r="Q54" s="4">
        <f>IF(AND(Panchanga!$R54&lt;28.5,Panchanga!$R54&gt;0.49999),MOD((Panchanga!$R54-0.5)*2,7),MOD((Panchanga!$R54+30-28.5),30)*2+7)</f>
        <v>5.4955999999999996</v>
      </c>
      <c r="R54" s="4">
        <f>ROUNDUP(MOD(360+P[[#This Row],[Moon]]-P[[#This Row],[Sun]],360)/12,4)</f>
        <v>6.7477999999999998</v>
      </c>
      <c r="S54" s="4">
        <f>ROUNDUP(MOD(P[[#This Row],[Sun]]+P[[#This Row],[Moon]],360)/13.333333333,2)</f>
        <v>6.2799999999999994</v>
      </c>
      <c r="T54" s="4" t="str">
        <f>SIGN(W55-Panchanga!$W54)*INT(Panchanga!$W54/30+1)&amp;"Ma,"&amp;SIGN(X55-Panchanga!$X54)*INT(Panchanga!$X54/30+1)&amp;"Me,"&amp;SIGN(Y55-Panchanga!$Y54)*INT(Panchanga!$Y54/30+1)&amp;"J, "&amp;SIGN(Z55-Panchanga!$Z54)*INT(Panchanga!$Z54/30+1)&amp;"V,"&amp;SIGN(AA55-Panchanga!$AA54)*INT(Panchanga!$AA54/30+1)&amp;"S,"&amp;INT(Panchanga!$AB54/30+1)&amp;"R"</f>
        <v>11Ma,-12Me,1J, 12V,11S,12R</v>
      </c>
      <c r="U54" s="4">
        <f t="shared" si="14"/>
        <v>1.3422789091580372</v>
      </c>
      <c r="V54" s="4">
        <f t="shared" si="15"/>
        <v>82.315390578612039</v>
      </c>
      <c r="W54" s="4">
        <f>Planet(Panchanga!$G54,4)</f>
        <v>323.71512437938907</v>
      </c>
      <c r="X54" s="4">
        <f>Planet(Panchanga!$G54,2)</f>
        <v>356.05927747110519</v>
      </c>
      <c r="Y54" s="4">
        <f>Planet(Panchanga!$G54,5)</f>
        <v>26.250224518387888</v>
      </c>
      <c r="Z54" s="4">
        <f>Planet(Panchanga!$G54,3)</f>
        <v>347.97349450111682</v>
      </c>
      <c r="AA54" s="4">
        <f>Planet(Panchanga!$G54,6)</f>
        <v>320.91861458712498</v>
      </c>
      <c r="AB54" s="4">
        <f>Planet(Panchanga!$G54,10)</f>
        <v>351.12087833884362</v>
      </c>
      <c r="AC54" s="4" t="str">
        <f>TEXT(Panchanga!$C54+($C55-Panchanga!$C54)/ABS(IF($R55&lt;1,$R55+30,$R55)-Panchanga!$R54)*(ROUNDUP(Panchanga!$R54,0)-Panchanga!$R54),"hh:mm AM/PM")</f>
        <v>12:16 PM</v>
      </c>
      <c r="AD54" s="4"/>
    </row>
    <row r="55" spans="1:30" x14ac:dyDescent="0.2">
      <c r="A55" s="3">
        <f t="shared" si="18"/>
        <v>45398</v>
      </c>
      <c r="B55" s="3">
        <f t="shared" si="19"/>
        <v>45398.229166666664</v>
      </c>
      <c r="C55" s="6">
        <f t="shared" si="12"/>
        <v>45398.247853960063</v>
      </c>
      <c r="D55" s="6">
        <f>sunset(Lat,Long,B55)+TimeZone/24-0.000277777777777778</f>
        <v>45397.765179971277</v>
      </c>
      <c r="E55" s="6">
        <f>PlanetRiseSet(Lat,Long,B55,1,1)+TimeZone/24+0.00103009259259259</f>
        <v>45397.482397051215</v>
      </c>
      <c r="F55" s="6">
        <f>PlanetRiseSet(Lat,Long,B55+1,1,2)+TimeZone/24+0.00103009259259259</f>
        <v>45399.07141604057</v>
      </c>
      <c r="G55" s="7">
        <f>Panchanga!$C55-TimeZone/24</f>
        <v>45398.018687293399</v>
      </c>
      <c r="H55" s="8" t="str">
        <f>INT(P[[#This Row],[Sun]]/30)&amp;"s"&amp;ROUNDUP(MOD(P[[#This Row],[Sun]],30),2)</f>
        <v>0s2.33</v>
      </c>
      <c r="I55" s="13" t="str">
        <f>INT(P[[#This Row],[Moon]]/30)&amp;"s"&amp;ROUNDUP(MOD(P[[#This Row],[Moon]],30),2)</f>
        <v>3s4.81</v>
      </c>
      <c r="J55" s="14">
        <f t="shared" si="17"/>
        <v>45398.018687293399</v>
      </c>
      <c r="K55" s="10" t="str">
        <f>naks(P[[#This Row],[Moon]])</f>
        <v>Pushya</v>
      </c>
      <c r="L55" s="6">
        <f>(C56-P[[#This Row],[SunRise]])/(MOD(360+V56-P[[#This Row],[Moon]],360))*(13.3333333333333-MOD(P[[#This Row],[Moon]],13.333333333333))+P[[#This Row],[SunRise]]</f>
        <v>45399.219696908462</v>
      </c>
      <c r="M55" s="4" t="str">
        <f>IF(Panchanga!$R55&gt;15,"K","S")&amp;ROUNDUP(MOD(Panchanga!$R55,15),0)&amp;" ("&amp;ROUND(Panchanga!$R55,2)&amp;")"</f>
        <v>S8 (7.71)</v>
      </c>
      <c r="N55" s="4">
        <f>IF(AND(Panchanga!$R55&lt;28.5,Panchanga!$R55&gt;0.49999),MOD((Panchanga!$R55-0.5)*2,7),MOD((Panchanga!$R55+30-28.5),30)*2+7)</f>
        <v>0.41380000000000017</v>
      </c>
      <c r="O55" s="4" t="str">
        <f>CHOOSE(ROUNDUP(Panchanga!$N55,0),"Bhava","Baalava","Kaulava","Taitula","Garija","Vanija","Vishti","Shakuni","Chatushapda","Naaga","Kimstugna")</f>
        <v>Bhava</v>
      </c>
      <c r="P55" s="11" t="str">
        <f>CHOOSE(ROUNDUP(Panchanga!$S55,0),"viṣkambha","prīti","āyuṣmāna","saubhāgya","śobhana","atigaṇḍa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("&amp;Panchanga!$S55&amp;")"</f>
        <v>dhṛti  (7.29)</v>
      </c>
      <c r="Q55" s="4">
        <f>IF(AND(Panchanga!$R55&lt;28.5,Panchanga!$R55&gt;0.49999),MOD((Panchanga!$R55-0.5)*2,7),MOD((Panchanga!$R55+30-28.5),30)*2+7)</f>
        <v>0.41380000000000017</v>
      </c>
      <c r="R55" s="4">
        <f>ROUNDUP(MOD(360+P[[#This Row],[Moon]]-P[[#This Row],[Sun]],360)/12,4)</f>
        <v>7.7069000000000001</v>
      </c>
      <c r="S55" s="4">
        <f>ROUNDUP(MOD(P[[#This Row],[Sun]]+P[[#This Row],[Moon]],360)/13.333333333,2)</f>
        <v>7.29</v>
      </c>
      <c r="T55" s="4" t="str">
        <f>SIGN(W56-Panchanga!$W55)*INT(Panchanga!$W55/30+1)&amp;"Ma,"&amp;SIGN(X56-Panchanga!$X55)*INT(Panchanga!$X55/30+1)&amp;"Me,"&amp;SIGN(Y56-Panchanga!$Y55)*INT(Panchanga!$Y55/30+1)&amp;"J, "&amp;SIGN(Z56-Panchanga!$Z55)*INT(Panchanga!$Z55/30+1)&amp;"V,"&amp;SIGN(AA56-Panchanga!$AA55)*INT(Panchanga!$AA55/30+1)&amp;"S,"&amp;INT(Panchanga!$AB55/30+1)&amp;"R"</f>
        <v>11Ma,-12Me,1J, 12V,11S,12R</v>
      </c>
      <c r="U55" s="4">
        <f t="shared" si="14"/>
        <v>2.3207453551164643</v>
      </c>
      <c r="V55" s="4">
        <f t="shared" si="15"/>
        <v>94.802869908258359</v>
      </c>
      <c r="W55" s="4">
        <f>Planet(Panchanga!$G55,4)</f>
        <v>324.49063326805486</v>
      </c>
      <c r="X55" s="4">
        <f>Planet(Panchanga!$G55,2)</f>
        <v>355.354574815852</v>
      </c>
      <c r="Y55" s="4">
        <f>Planet(Panchanga!$G55,5)</f>
        <v>26.476303084900461</v>
      </c>
      <c r="Z55" s="4">
        <f>Planet(Panchanga!$G55,3)</f>
        <v>349.20710006975361</v>
      </c>
      <c r="AA55" s="4">
        <f>Planet(Panchanga!$G55,6)</f>
        <v>321.02083583103109</v>
      </c>
      <c r="AB55" s="4">
        <f>Planet(Panchanga!$G55,10)</f>
        <v>351.06790817551013</v>
      </c>
      <c r="AC55" s="4" t="str">
        <f>TEXT(Panchanga!$C55+($C56-Panchanga!$C55)/ABS(IF($R56&lt;1,$R56+30,$R56)-Panchanga!$R55)*(ROUNDUP(Panchanga!$R55,0)-Panchanga!$R55),"hh:mm AM/PM")</f>
        <v>01:27 PM</v>
      </c>
      <c r="AD55" s="4"/>
    </row>
    <row r="56" spans="1:30" x14ac:dyDescent="0.2">
      <c r="A56" s="3">
        <f t="shared" si="18"/>
        <v>45399</v>
      </c>
      <c r="B56" s="3">
        <f t="shared" si="19"/>
        <v>45399.229166666664</v>
      </c>
      <c r="C56" s="6">
        <f t="shared" si="12"/>
        <v>45399.247447555106</v>
      </c>
      <c r="D56" s="6">
        <f>sunset(Lat,Long,B56)+TimeZone/24-0.000277777777777778</f>
        <v>45398.765264015688</v>
      </c>
      <c r="E56" s="6">
        <f>PlanetRiseSet(Lat,Long,B56,1,1)+TimeZone/24+0.00103009259259259</f>
        <v>45398.520537285287</v>
      </c>
      <c r="F56" s="6">
        <f>PlanetRiseSet(Lat,Long,B56+1,1,2)+TimeZone/24+0.00103009259259259</f>
        <v>45400.099770063222</v>
      </c>
      <c r="G56" s="7">
        <f>Panchanga!$C56-TimeZone/24</f>
        <v>45399.018280888442</v>
      </c>
      <c r="H56" s="8" t="str">
        <f>INT(P[[#This Row],[Sun]]/30)&amp;"s"&amp;ROUNDUP(MOD(P[[#This Row],[Sun]],30),2)</f>
        <v>0s3.3</v>
      </c>
      <c r="I56" s="13" t="str">
        <f>INT(P[[#This Row],[Moon]]/30)&amp;"s"&amp;ROUNDUP(MOD(P[[#This Row],[Moon]],30),2)</f>
        <v>3s17.01</v>
      </c>
      <c r="J56" s="14">
        <f t="shared" si="17"/>
        <v>45399.018280888442</v>
      </c>
      <c r="K56" s="10" t="str">
        <f>naks(P[[#This Row],[Moon]])</f>
        <v>Aslesha</v>
      </c>
      <c r="L56" s="6">
        <f>(C57-P[[#This Row],[SunRise]])/(MOD(360+V57-P[[#This Row],[Moon]],360))*(13.3333333333333-MOD(P[[#This Row],[Moon]],13.333333333333))+P[[#This Row],[SunRise]]</f>
        <v>45400.330511225016</v>
      </c>
      <c r="M56" s="4" t="str">
        <f>IF(Panchanga!$R56&gt;15,"K","S")&amp;ROUNDUP(MOD(Panchanga!$R56,15),0)&amp;" ("&amp;ROUND(Panchanga!$R56,2)&amp;")"</f>
        <v>S9 (8.64)</v>
      </c>
      <c r="N56" s="4">
        <f>IF(AND(Panchanga!$R56&lt;28.5,Panchanga!$R56&gt;0.49999),MOD((Panchanga!$R56-0.5)*2,7),MOD((Panchanga!$R56+30-28.5),30)*2+7)</f>
        <v>2.2846000000000011</v>
      </c>
      <c r="O56" s="4" t="str">
        <f>CHOOSE(ROUNDUP(Panchanga!$N56,0),"Bhava","Baalava","Kaulava","Taitula","Garija","Vanija","Vishti","Shakuni","Chatushapda","Naaga","Kimstugna")</f>
        <v>Kaulava</v>
      </c>
      <c r="P56" s="11" t="str">
        <f>CHOOSE(ROUNDUP(Panchanga!$S56,0),"viṣkambha","prīti","āyuṣmāna","saubhāgya","śobhana","atigaṇḍa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("&amp;Panchanga!$S56&amp;")"</f>
        <v>śūla  (8.28)</v>
      </c>
      <c r="Q56" s="4">
        <f>IF(AND(Panchanga!$R56&lt;28.5,Panchanga!$R56&gt;0.49999),MOD((Panchanga!$R56-0.5)*2,7),MOD((Panchanga!$R56+30-28.5),30)*2+7)</f>
        <v>2.2846000000000011</v>
      </c>
      <c r="R56" s="4">
        <f>ROUNDUP(MOD(360+P[[#This Row],[Moon]]-P[[#This Row],[Sun]],360)/12,4)</f>
        <v>8.6423000000000005</v>
      </c>
      <c r="S56" s="4">
        <f>ROUNDUP(MOD(P[[#This Row],[Sun]]+P[[#This Row],[Moon]],360)/13.333333333,2)</f>
        <v>8.2799999999999994</v>
      </c>
      <c r="T56" s="4" t="str">
        <f>SIGN(W57-Panchanga!$W56)*INT(Panchanga!$W56/30+1)&amp;"Ma,"&amp;SIGN(X57-Panchanga!$X56)*INT(Panchanga!$X56/30+1)&amp;"Me,"&amp;SIGN(Y57-Panchanga!$Y56)*INT(Panchanga!$Y56/30+1)&amp;"J, "&amp;SIGN(Z57-Panchanga!$Z56)*INT(Panchanga!$Z56/30+1)&amp;"V,"&amp;SIGN(AA57-Panchanga!$AA56)*INT(Panchanga!$AA56/30+1)&amp;"S,"&amp;INT(Panchanga!$AB56/30+1)&amp;"R"</f>
        <v>11Ma,-12Me,1J, 12V,11S,12R</v>
      </c>
      <c r="U56" s="4">
        <f t="shared" si="14"/>
        <v>3.2985966967060123</v>
      </c>
      <c r="V56" s="4">
        <f t="shared" si="15"/>
        <v>107.0054333699042</v>
      </c>
      <c r="W56" s="4">
        <f>Planet(Panchanga!$G56,4)</f>
        <v>325.26586322627276</v>
      </c>
      <c r="X56" s="4">
        <f>Planet(Panchanga!$G56,2)</f>
        <v>354.69121430513854</v>
      </c>
      <c r="Y56" s="4">
        <f>Planet(Panchanga!$G56,5)</f>
        <v>26.70300028219653</v>
      </c>
      <c r="Z56" s="4">
        <f>Planet(Panchanga!$G56,3)</f>
        <v>350.44052996880714</v>
      </c>
      <c r="AA56" s="4">
        <f>Planet(Panchanga!$G56,6)</f>
        <v>321.12220448846881</v>
      </c>
      <c r="AB56" s="4">
        <f>Planet(Panchanga!$G56,10)</f>
        <v>351.01493772426335</v>
      </c>
      <c r="AC56" s="4" t="str">
        <f>TEXT(Panchanga!$C56+($C57-Panchanga!$C56)/ABS(IF($R57&lt;1,$R57+30,$R57)-Panchanga!$R56)*(ROUNDUP(Panchanga!$R56,0)-Panchanga!$R56),"hh:mm AM/PM")</f>
        <v>03:17 PM</v>
      </c>
      <c r="AD56" s="4"/>
    </row>
    <row r="57" spans="1:30" x14ac:dyDescent="0.2">
      <c r="A57" s="3">
        <f t="shared" si="18"/>
        <v>45400</v>
      </c>
      <c r="B57" s="3">
        <f t="shared" si="19"/>
        <v>45400.229166666664</v>
      </c>
      <c r="C57" s="6">
        <f t="shared" si="12"/>
        <v>45400.247046816781</v>
      </c>
      <c r="D57" s="6">
        <f>sunset(Lat,Long,B57)+TimeZone/24-0.000277777777777778</f>
        <v>45399.765350907619</v>
      </c>
      <c r="E57" s="6">
        <f>PlanetRiseSet(Lat,Long,B57,1,1)+TimeZone/24+0.00103009259259259</f>
        <v>45399.556663110539</v>
      </c>
      <c r="F57" s="6">
        <f>PlanetRiseSet(Lat,Long,B57+1,1,2)+TimeZone/24+0.00103009259259259</f>
        <v>45401.125586752467</v>
      </c>
      <c r="G57" s="7">
        <f>Panchanga!$C57-TimeZone/24</f>
        <v>45400.017880150117</v>
      </c>
      <c r="H57" s="8" t="str">
        <f>INT(P[[#This Row],[Sun]]/30)&amp;"s"&amp;ROUNDUP(MOD(P[[#This Row],[Sun]],30),2)</f>
        <v>0s4.28</v>
      </c>
      <c r="I57" s="13" t="str">
        <f>INT(P[[#This Row],[Moon]]/30)&amp;"s"&amp;ROUNDUP(MOD(P[[#This Row],[Moon]],30),2)</f>
        <v>3s29</v>
      </c>
      <c r="J57" s="14">
        <f t="shared" si="17"/>
        <v>45400.017880150117</v>
      </c>
      <c r="K57" s="10" t="str">
        <f>naks(P[[#This Row],[Moon]])</f>
        <v>Aslesha</v>
      </c>
      <c r="L57" s="6">
        <f>(C58-P[[#This Row],[SunRise]])/(MOD(360+V58-P[[#This Row],[Moon]],360))*(13.3333333333333-MOD(P[[#This Row],[Moon]],13.333333333333))+P[[#This Row],[SunRise]]</f>
        <v>45400.331452353486</v>
      </c>
      <c r="M57" s="4" t="str">
        <f>IF(Panchanga!$R57&gt;15,"K","S")&amp;ROUNDUP(MOD(Panchanga!$R57,15),0)&amp;" ("&amp;ROUND(Panchanga!$R57,2)&amp;")"</f>
        <v>S10 (9.56)</v>
      </c>
      <c r="N57" s="4">
        <f>IF(AND(Panchanga!$R57&lt;28.5,Panchanga!$R57&gt;0.49999),MOD((Panchanga!$R57-0.5)*2,7),MOD((Panchanga!$R57+30-28.5),30)*2+7)</f>
        <v>4.1205999999999996</v>
      </c>
      <c r="O57" s="4" t="str">
        <f>CHOOSE(ROUNDUP(Panchanga!$N57,0),"Bhava","Baalava","Kaulava","Taitula","Garija","Vanija","Vishti","Shakuni","Chatushapda","Naaga","Kimstugna")</f>
        <v>Garija</v>
      </c>
      <c r="P57" s="11" t="str">
        <f>CHOOSE(ROUNDUP(Panchanga!$S57,0),"viṣkambha","prīti","āyuṣmāna","saubhāgya","śobhana","atigaṇḍa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("&amp;Panchanga!$S57&amp;")"</f>
        <v>gaṇḍa  (9.25)</v>
      </c>
      <c r="Q57" s="4">
        <f>IF(AND(Panchanga!$R57&lt;28.5,Panchanga!$R57&gt;0.49999),MOD((Panchanga!$R57-0.5)*2,7),MOD((Panchanga!$R57+30-28.5),30)*2+7)</f>
        <v>4.1205999999999996</v>
      </c>
      <c r="R57" s="4">
        <f>ROUNDUP(MOD(360+P[[#This Row],[Moon]]-P[[#This Row],[Sun]],360)/12,4)</f>
        <v>9.5602999999999998</v>
      </c>
      <c r="S57" s="4">
        <f>ROUNDUP(MOD(P[[#This Row],[Sun]]+P[[#This Row],[Moon]],360)/13.333333333,2)</f>
        <v>9.25</v>
      </c>
      <c r="T57" s="4" t="str">
        <f>SIGN(W58-Panchanga!$W57)*INT(Panchanga!$W57/30+1)&amp;"Ma,"&amp;SIGN(X58-Panchanga!$X57)*INT(Panchanga!$X57/30+1)&amp;"Me,"&amp;SIGN(Y58-Panchanga!$Y57)*INT(Panchanga!$Y57/30+1)&amp;"J, "&amp;SIGN(Z58-Panchanga!$Z57)*INT(Panchanga!$Z57/30+1)&amp;"V,"&amp;SIGN(AA58-Panchanga!$AA57)*INT(Panchanga!$AA57/30+1)&amp;"S,"&amp;INT(Panchanga!$AB57/30+1)&amp;"R"</f>
        <v>11Ma,-12Me,1J, 12V,11S,12R</v>
      </c>
      <c r="U57" s="4">
        <f t="shared" si="14"/>
        <v>4.2758393753566839</v>
      </c>
      <c r="V57" s="4">
        <f t="shared" si="15"/>
        <v>118.99859644066153</v>
      </c>
      <c r="W57" s="4">
        <f>Planet(Panchanga!$G57,4)</f>
        <v>326.04080718101579</v>
      </c>
      <c r="X57" s="4">
        <f>Planet(Panchanga!$G57,2)</f>
        <v>354.07949906511902</v>
      </c>
      <c r="Y57" s="4">
        <f>Planet(Panchanga!$G57,5)</f>
        <v>26.930293436606316</v>
      </c>
      <c r="Z57" s="4">
        <f>Planet(Panchanga!$G57,3)</f>
        <v>351.67378789604879</v>
      </c>
      <c r="AA57" s="4">
        <f>Planet(Panchanga!$G57,6)</f>
        <v>321.22270509068517</v>
      </c>
      <c r="AB57" s="4">
        <f>Planet(Panchanga!$G57,10)</f>
        <v>350.96196697282562</v>
      </c>
      <c r="AC57" s="4" t="str">
        <f>TEXT(Panchanga!$C57+($C58-Panchanga!$C57)/ABS(IF($R58&lt;1,$R58+30,$R58)-Panchanga!$R57)*(ROUNDUP(Panchanga!$R57,0)-Panchanga!$R57),"hh:mm AM/PM")</f>
        <v>05:33 PM</v>
      </c>
      <c r="AD57" s="4"/>
    </row>
    <row r="58" spans="1:30" x14ac:dyDescent="0.2">
      <c r="A58" s="3">
        <f t="shared" si="18"/>
        <v>45401</v>
      </c>
      <c r="B58" s="3">
        <f t="shared" si="19"/>
        <v>45401.229166666664</v>
      </c>
      <c r="C58" s="6">
        <f t="shared" si="12"/>
        <v>45401.246651980713</v>
      </c>
      <c r="D58" s="6">
        <f>sunset(Lat,Long,B58)+TimeZone/24-0.000277777777777778</f>
        <v>45400.765440764415</v>
      </c>
      <c r="E58" s="6">
        <f>PlanetRiseSet(Lat,Long,B58,1,1)+TimeZone/24+0.00103009259259259</f>
        <v>45400.590756830446</v>
      </c>
      <c r="F58" s="6">
        <f>PlanetRiseSet(Lat,Long,B58+1,1,2)+TimeZone/24+0.00103009259259259</f>
        <v>45402.149683026284</v>
      </c>
      <c r="G58" s="7">
        <f>Panchanga!$C58-TimeZone/24</f>
        <v>45401.017485314049</v>
      </c>
      <c r="H58" s="8" t="str">
        <f>INT(P[[#This Row],[Sun]]/30)&amp;"s"&amp;ROUNDUP(MOD(P[[#This Row],[Sun]],30),2)</f>
        <v>0s5.26</v>
      </c>
      <c r="I58" s="13" t="str">
        <f>INT(P[[#This Row],[Moon]]/30)&amp;"s"&amp;ROUNDUP(MOD(P[[#This Row],[Moon]],30),2)</f>
        <v>4s10.86</v>
      </c>
      <c r="J58" s="14">
        <f t="shared" si="17"/>
        <v>45401.017485314049</v>
      </c>
      <c r="K58" s="10" t="str">
        <f>naks(P[[#This Row],[Moon]])</f>
        <v>Makha</v>
      </c>
      <c r="L58" s="6">
        <f>(C59-P[[#This Row],[SunRise]])/(MOD(360+V59-P[[#This Row],[Moon]],360))*(13.3333333333333-MOD(P[[#This Row],[Moon]],13.333333333333))+P[[#This Row],[SunRise]]</f>
        <v>45401.456379970456</v>
      </c>
      <c r="M58" s="4" t="str">
        <f>IF(Panchanga!$R58&gt;15,"K","S")&amp;ROUNDUP(MOD(Panchanga!$R58,15),0)&amp;" ("&amp;ROUND(Panchanga!$R58,2)&amp;")"</f>
        <v>S11 (10.47)</v>
      </c>
      <c r="N58" s="4">
        <f>IF(AND(Panchanga!$R58&lt;28.5,Panchanga!$R58&gt;0.49999),MOD((Panchanga!$R58-0.5)*2,7),MOD((Panchanga!$R58+30-28.5),30)*2+7)</f>
        <v>5.9344000000000001</v>
      </c>
      <c r="O58" s="4" t="str">
        <f>CHOOSE(ROUNDUP(Panchanga!$N58,0),"Bhava","Baalava","Kaulava","Taitula","Garija","Vanija","Vishti","Shakuni","Chatushapda","Naaga","Kimstugna")</f>
        <v>Vanija</v>
      </c>
      <c r="P58" s="11" t="str">
        <f>CHOOSE(ROUNDUP(Panchanga!$S58,0),"viṣkambha","prīti","āyuṣmāna","saubhāgya","śobhana","atigaṇḍa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("&amp;Panchanga!$S58&amp;")"</f>
        <v>vṛddhi  (10.21)</v>
      </c>
      <c r="Q58" s="4">
        <f>IF(AND(Panchanga!$R58&lt;28.5,Panchanga!$R58&gt;0.49999),MOD((Panchanga!$R58-0.5)*2,7),MOD((Panchanga!$R58+30-28.5),30)*2+7)</f>
        <v>5.9344000000000001</v>
      </c>
      <c r="R58" s="4">
        <f>ROUNDUP(MOD(360+P[[#This Row],[Moon]]-P[[#This Row],[Sun]],360)/12,4)</f>
        <v>10.4672</v>
      </c>
      <c r="S58" s="4">
        <f>ROUNDUP(MOD(P[[#This Row],[Sun]]+P[[#This Row],[Moon]],360)/13.333333333,2)</f>
        <v>10.209999999999999</v>
      </c>
      <c r="T58" s="4" t="str">
        <f>SIGN(W59-Panchanga!$W58)*INT(Panchanga!$W58/30+1)&amp;"Ma,"&amp;SIGN(X59-Panchanga!$X58)*INT(Panchanga!$X58/30+1)&amp;"Me,"&amp;SIGN(Y59-Panchanga!$Y58)*INT(Panchanga!$Y58/30+1)&amp;"J, "&amp;SIGN(Z59-Panchanga!$Z58)*INT(Panchanga!$Z58/30+1)&amp;"V,"&amp;SIGN(AA59-Panchanga!$AA58)*INT(Panchanga!$AA58/30+1)&amp;"S,"&amp;INT(Panchanga!$AB58/30+1)&amp;"R"</f>
        <v>11Ma,-12Me,1J, 12V,11S,12R</v>
      </c>
      <c r="U58" s="4">
        <f t="shared" si="14"/>
        <v>5.2524821570779991</v>
      </c>
      <c r="V58" s="4">
        <f t="shared" si="15"/>
        <v>130.85810481126339</v>
      </c>
      <c r="W58" s="4">
        <f>Planet(Panchanga!$G58,4)</f>
        <v>326.81545859247353</v>
      </c>
      <c r="X58" s="4">
        <f>Planet(Panchanga!$G58,2)</f>
        <v>353.5282474268177</v>
      </c>
      <c r="Y58" s="4">
        <f>Planet(Panchanga!$G58,5)</f>
        <v>27.15816059780385</v>
      </c>
      <c r="Z58" s="4">
        <f>Planet(Panchanga!$G58,3)</f>
        <v>352.90687863889838</v>
      </c>
      <c r="AA58" s="4">
        <f>Planet(Panchanga!$G58,6)</f>
        <v>321.32232235614583</v>
      </c>
      <c r="AB58" s="4">
        <f>Planet(Panchanga!$G58,10)</f>
        <v>350.9089959085386</v>
      </c>
      <c r="AC58" s="4" t="str">
        <f>TEXT(Panchanga!$C58+($C59-Panchanga!$C58)/ABS(IF($R59&lt;1,$R59+30,$R59)-Panchanga!$R58)*(ROUNDUP(Panchanga!$R58,0)-Panchanga!$R58),"hh:mm AM/PM")</f>
        <v>08:05 PM</v>
      </c>
      <c r="AD58" s="4"/>
    </row>
    <row r="59" spans="1:30" x14ac:dyDescent="0.2">
      <c r="A59" s="3">
        <f t="shared" si="18"/>
        <v>45402</v>
      </c>
      <c r="B59" s="3">
        <f t="shared" si="19"/>
        <v>45402.229166666664</v>
      </c>
      <c r="C59" s="6">
        <f t="shared" si="12"/>
        <v>45402.246263282526</v>
      </c>
      <c r="D59" s="6">
        <f>sunset(Lat,Long,B59)+TimeZone/24-0.000277777777777778</f>
        <v>45401.765533703889</v>
      </c>
      <c r="E59" s="6">
        <f>PlanetRiseSet(Lat,Long,B59,1,1)+TimeZone/24+0.00103009259259259</f>
        <v>45401.623195675355</v>
      </c>
      <c r="F59" s="6">
        <f>PlanetRiseSet(Lat,Long,B59+1,1,2)+TimeZone/24+0.00103009259259259</f>
        <v>45403.172867331341</v>
      </c>
      <c r="G59" s="7">
        <f>Panchanga!$C59-TimeZone/24</f>
        <v>45402.017096615862</v>
      </c>
      <c r="H59" s="8" t="str">
        <f>INT(P[[#This Row],[Sun]]/30)&amp;"s"&amp;ROUNDUP(MOD(P[[#This Row],[Sun]],30),2)</f>
        <v>0s6.23</v>
      </c>
      <c r="I59" s="13" t="str">
        <f>INT(P[[#This Row],[Moon]]/30)&amp;"s"&amp;ROUNDUP(MOD(P[[#This Row],[Moon]],30),2)</f>
        <v>4s22.66</v>
      </c>
      <c r="J59" s="14">
        <f t="shared" si="17"/>
        <v>45402.017096615862</v>
      </c>
      <c r="K59" s="10" t="str">
        <f>naks(P[[#This Row],[Moon]])</f>
        <v>Purva Phalguni</v>
      </c>
      <c r="L59" s="6">
        <f>(C60-P[[#This Row],[SunRise]])/(MOD(360+V60-P[[#This Row],[Moon]],360))*(13.3333333333333-MOD(P[[#This Row],[Moon]],13.333333333333))+P[[#This Row],[SunRise]]</f>
        <v>45402.586046771976</v>
      </c>
      <c r="M59" s="4" t="str">
        <f>IF(Panchanga!$R59&gt;15,"K","S")&amp;ROUNDUP(MOD(Panchanga!$R59,15),0)&amp;" ("&amp;ROUND(Panchanga!$R59,2)&amp;")"</f>
        <v>S12 (11.37)</v>
      </c>
      <c r="N59" s="4">
        <f>IF(AND(Panchanga!$R59&lt;28.5,Panchanga!$R59&gt;0.49999),MOD((Panchanga!$R59-0.5)*2,7),MOD((Panchanga!$R59+30-28.5),30)*2+7)</f>
        <v>0.73799999999999955</v>
      </c>
      <c r="O59" s="4" t="str">
        <f>CHOOSE(ROUNDUP(Panchanga!$N59,0),"Bhava","Baalava","Kaulava","Taitula","Garija","Vanija","Vishti","Shakuni","Chatushapda","Naaga","Kimstugna")</f>
        <v>Bhava</v>
      </c>
      <c r="P59" s="11" t="str">
        <f>CHOOSE(ROUNDUP(Panchanga!$S59,0),"viṣkambha","prīti","āyuṣmāna","saubhāgya","śobhana","atigaṇḍa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("&amp;Panchanga!$S59&amp;")"</f>
        <v>dhruva  (11.17)</v>
      </c>
      <c r="Q59" s="4">
        <f>IF(AND(Panchanga!$R59&lt;28.5,Panchanga!$R59&gt;0.49999),MOD((Panchanga!$R59-0.5)*2,7),MOD((Panchanga!$R59+30-28.5),30)*2+7)</f>
        <v>0.73799999999999955</v>
      </c>
      <c r="R59" s="4">
        <f>ROUNDUP(MOD(360+P[[#This Row],[Moon]]-P[[#This Row],[Sun]],360)/12,4)</f>
        <v>11.369</v>
      </c>
      <c r="S59" s="4">
        <f>ROUNDUP(MOD(P[[#This Row],[Sun]]+P[[#This Row],[Moon]],360)/13.333333333,2)</f>
        <v>11.17</v>
      </c>
      <c r="T59" s="4" t="str">
        <f>SIGN(W60-Panchanga!$W59)*INT(Panchanga!$W59/30+1)&amp;"Ma,"&amp;SIGN(X60-Panchanga!$X59)*INT(Panchanga!$X59/30+1)&amp;"Me,"&amp;SIGN(Y60-Panchanga!$Y59)*INT(Panchanga!$Y59/30+1)&amp;"J, "&amp;SIGN(Z60-Panchanga!$Z59)*INT(Panchanga!$Z59/30+1)&amp;"V,"&amp;SIGN(AA60-Panchanga!$AA59)*INT(Panchanga!$AA59/30+1)&amp;"S,"&amp;INT(Panchanga!$AB59/30+1)&amp;"R"</f>
        <v>11Ma,-12Me,1J, 12V,11S,12R</v>
      </c>
      <c r="U59" s="4">
        <f t="shared" si="14"/>
        <v>6.2285358333709793</v>
      </c>
      <c r="V59" s="4">
        <f t="shared" si="15"/>
        <v>142.65560693897152</v>
      </c>
      <c r="W59" s="4">
        <f>Planet(Panchanga!$G59,4)</f>
        <v>327.58981129803948</v>
      </c>
      <c r="X59" s="4">
        <f>Planet(Panchanga!$G59,2)</f>
        <v>353.04474435907667</v>
      </c>
      <c r="Y59" s="4">
        <f>Planet(Panchanga!$G59,5)</f>
        <v>27.386580484007485</v>
      </c>
      <c r="Z59" s="4">
        <f>Planet(Panchanga!$G59,3)</f>
        <v>354.13980790334864</v>
      </c>
      <c r="AA59" s="4">
        <f>Planet(Panchanga!$G59,6)</f>
        <v>321.42104114475802</v>
      </c>
      <c r="AB59" s="4">
        <f>Planet(Panchanga!$G59,10)</f>
        <v>350.85602451904185</v>
      </c>
      <c r="AC59" s="4" t="str">
        <f>TEXT(Panchanga!$C59+($C60-Panchanga!$C59)/ABS(IF($R60&lt;1,$R60+30,$R60)-Panchanga!$R59)*(ROUNDUP(Panchanga!$R59,0)-Panchanga!$R59),"hh:mm AM/PM")</f>
        <v>10:41 PM</v>
      </c>
      <c r="AD59" s="4"/>
    </row>
    <row r="60" spans="1:30" x14ac:dyDescent="0.2">
      <c r="A60" s="3">
        <f t="shared" si="18"/>
        <v>45403</v>
      </c>
      <c r="B60" s="3">
        <f t="shared" si="19"/>
        <v>45403.229166666664</v>
      </c>
      <c r="C60" s="6">
        <f t="shared" si="12"/>
        <v>45403.245880957846</v>
      </c>
      <c r="D60" s="6">
        <f>sunset(Lat,Long,B60)+TimeZone/24-0.000277777777777778</f>
        <v>45402.765629842921</v>
      </c>
      <c r="E60" s="6">
        <f>PlanetRiseSet(Lat,Long,B60,1,1)+TimeZone/24+0.00103009259259259</f>
        <v>45402.65456990587</v>
      </c>
      <c r="F60" s="6">
        <f>PlanetRiseSet(Lat,Long,B60+1,1,2)+TimeZone/24+0.00103009259259259</f>
        <v>45404.195925216809</v>
      </c>
      <c r="G60" s="7">
        <f>Panchanga!$C60-TimeZone/24</f>
        <v>45403.016714291181</v>
      </c>
      <c r="H60" s="8" t="str">
        <f>INT(P[[#This Row],[Sun]]/30)&amp;"s"&amp;ROUNDUP(MOD(P[[#This Row],[Sun]],30),2)</f>
        <v>0s7.21</v>
      </c>
      <c r="I60" s="13" t="str">
        <f>INT(P[[#This Row],[Moon]]/30)&amp;"s"&amp;ROUNDUP(MOD(P[[#This Row],[Moon]],30),2)</f>
        <v>5s4.46</v>
      </c>
      <c r="J60" s="14">
        <f t="shared" si="17"/>
        <v>45403.016714291181</v>
      </c>
      <c r="K60" s="10" t="str">
        <f>naks(P[[#This Row],[Moon]])</f>
        <v>Uttara Phalguni</v>
      </c>
      <c r="L60" s="6">
        <f>(C61-P[[#This Row],[SunRise]])/(MOD(360+V61-P[[#This Row],[Moon]],360))*(13.3333333333333-MOD(P[[#This Row],[Moon]],13.333333333333))+P[[#This Row],[SunRise]]</f>
        <v>45403.7132054994</v>
      </c>
      <c r="M60" s="4" t="str">
        <f>IF(Panchanga!$R60&gt;15,"K","S")&amp;ROUNDUP(MOD(Panchanga!$R60,15),0)&amp;" ("&amp;ROUND(Panchanga!$R60,2)&amp;")"</f>
        <v>S13 (12.27)</v>
      </c>
      <c r="N60" s="4">
        <f>IF(AND(Panchanga!$R60&lt;28.5,Panchanga!$R60&gt;0.49999),MOD((Panchanga!$R60-0.5)*2,7),MOD((Panchanga!$R60+30-28.5),30)*2+7)</f>
        <v>2.541999999999998</v>
      </c>
      <c r="O60" s="4" t="str">
        <f>CHOOSE(ROUNDUP(Panchanga!$N60,0),"Bhava","Baalava","Kaulava","Taitula","Garija","Vanija","Vishti","Shakuni","Chatushapda","Naaga","Kimstugna")</f>
        <v>Kaulava</v>
      </c>
      <c r="P60" s="11" t="str">
        <f>CHOOSE(ROUNDUP(Panchanga!$S60,0),"viṣkambha","prīti","āyuṣmāna","saubhāgya","śobhana","atigaṇḍa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("&amp;Panchanga!$S60&amp;")"</f>
        <v>vyāghāta (12.13)</v>
      </c>
      <c r="Q60" s="4">
        <f>IF(AND(Panchanga!$R60&lt;28.5,Panchanga!$R60&gt;0.49999),MOD((Panchanga!$R60-0.5)*2,7),MOD((Panchanga!$R60+30-28.5),30)*2+7)</f>
        <v>2.541999999999998</v>
      </c>
      <c r="R60" s="4">
        <f>ROUNDUP(MOD(360+P[[#This Row],[Moon]]-P[[#This Row],[Sun]],360)/12,4)</f>
        <v>12.270999999999999</v>
      </c>
      <c r="S60" s="4">
        <f>ROUNDUP(MOD(P[[#This Row],[Sun]]+P[[#This Row],[Moon]],360)/13.333333333,2)</f>
        <v>12.129999999999999</v>
      </c>
      <c r="T60" s="4" t="str">
        <f>SIGN(W61-Panchanga!$W60)*INT(Panchanga!$W60/30+1)&amp;"Ma,"&amp;SIGN(X61-Panchanga!$X60)*INT(Panchanga!$X60/30+1)&amp;"Me,"&amp;SIGN(Y61-Panchanga!$Y60)*INT(Panchanga!$Y60/30+1)&amp;"J, "&amp;SIGN(Z61-Panchanga!$Z60)*INT(Panchanga!$Z60/30+1)&amp;"V,"&amp;SIGN(AA61-Panchanga!$AA60)*INT(Panchanga!$AA60/30+1)&amp;"S,"&amp;INT(Panchanga!$AB60/30+1)&amp;"R"</f>
        <v>11Ma,-12Me,1J, 12V,11S,12R</v>
      </c>
      <c r="U60" s="4">
        <f t="shared" si="14"/>
        <v>7.2040129709489031</v>
      </c>
      <c r="V60" s="4">
        <f t="shared" si="15"/>
        <v>154.455845399829</v>
      </c>
      <c r="W60" s="4">
        <f>Planet(Panchanga!$G60,4)</f>
        <v>328.36385938907085</v>
      </c>
      <c r="X60" s="4">
        <f>Planet(Panchanga!$G60,2)</f>
        <v>352.63475891019374</v>
      </c>
      <c r="Y60" s="4">
        <f>Planet(Panchanga!$G60,5)</f>
        <v>27.615532432936813</v>
      </c>
      <c r="Z60" s="4">
        <f>Planet(Panchanga!$G60,3)</f>
        <v>355.3725821837927</v>
      </c>
      <c r="AA60" s="4">
        <f>Planet(Panchanga!$G60,6)</f>
        <v>321.51884642338604</v>
      </c>
      <c r="AB60" s="4">
        <f>Planet(Panchanga!$G60,10)</f>
        <v>350.80305279177628</v>
      </c>
      <c r="AC60" s="4" t="str">
        <f>TEXT(Panchanga!$C60+($C61-Panchanga!$C60)/ABS(IF($R61&lt;1,$R61+30,$R61)-Panchanga!$R60)*(ROUNDUP(Panchanga!$R60,0)-Panchanga!$R60),"hh:mm AM/PM")</f>
        <v>01:10 AM</v>
      </c>
      <c r="AD60" s="4"/>
    </row>
    <row r="61" spans="1:30" x14ac:dyDescent="0.2">
      <c r="A61" s="3">
        <f t="shared" si="18"/>
        <v>45404</v>
      </c>
      <c r="B61" s="3">
        <f t="shared" si="19"/>
        <v>45404.229166666664</v>
      </c>
      <c r="C61" s="6">
        <f t="shared" si="12"/>
        <v>45404.245505240433</v>
      </c>
      <c r="D61" s="6">
        <f>sunset(Lat,Long,B61)+TimeZone/24-0.000277777777777778</f>
        <v>45403.765729296065</v>
      </c>
      <c r="E61" s="6">
        <f>PlanetRiseSet(Lat,Long,B61,1,1)+TimeZone/24+0.00103009259259259</f>
        <v>45403.685563579354</v>
      </c>
      <c r="F61" s="6">
        <f>PlanetRiseSet(Lat,Long,B61+1,1,2)+TimeZone/24+0.00103009259259259</f>
        <v>45405.219636408765</v>
      </c>
      <c r="G61" s="7">
        <f>Panchanga!$C61-TimeZone/24</f>
        <v>45404.016338573769</v>
      </c>
      <c r="H61" s="8" t="str">
        <f>INT(P[[#This Row],[Sun]]/30)&amp;"s"&amp;ROUNDUP(MOD(P[[#This Row],[Sun]],30),2)</f>
        <v>0s8.18</v>
      </c>
      <c r="I61" s="13" t="str">
        <f>INT(P[[#This Row],[Moon]]/30)&amp;"s"&amp;ROUNDUP(MOD(P[[#This Row],[Moon]],30),2)</f>
        <v>5s16.32</v>
      </c>
      <c r="J61" s="14">
        <f t="shared" si="17"/>
        <v>45404.016338573769</v>
      </c>
      <c r="K61" s="10" t="str">
        <f>naks(P[[#This Row],[Moon]])</f>
        <v>Hasta</v>
      </c>
      <c r="L61" s="6">
        <f>(C62-P[[#This Row],[SunRise]])/(MOD(360+V62-P[[#This Row],[Moon]],360))*(13.3333333333333-MOD(P[[#This Row],[Moon]],13.333333333333))+P[[#This Row],[SunRise]]</f>
        <v>45404.831866149783</v>
      </c>
      <c r="M61" s="4" t="str">
        <f>IF(Panchanga!$R61&gt;15,"K","S")&amp;ROUNDUP(MOD(Panchanga!$R61,15),0)&amp;" ("&amp;ROUND(Panchanga!$R61,2)&amp;")"</f>
        <v>S14 (13.18)</v>
      </c>
      <c r="N61" s="4">
        <f>IF(AND(Panchanga!$R61&lt;28.5,Panchanga!$R61&gt;0.49999),MOD((Panchanga!$R61-0.5)*2,7),MOD((Panchanga!$R61+30-28.5),30)*2+7)</f>
        <v>4.3562000000000012</v>
      </c>
      <c r="O61" s="4" t="str">
        <f>CHOOSE(ROUNDUP(Panchanga!$N61,0),"Bhava","Baalava","Kaulava","Taitula","Garija","Vanija","Vishti","Shakuni","Chatushapda","Naaga","Kimstugna")</f>
        <v>Garija</v>
      </c>
      <c r="P61" s="11" t="str">
        <f>CHOOSE(ROUNDUP(Panchanga!$S61,0),"viṣkambha","prīti","āyuṣmāna","saubhāgya","śobhana","atigaṇḍa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("&amp;Panchanga!$S61&amp;")"</f>
        <v>harṣaṇa (13.09)</v>
      </c>
      <c r="Q61" s="4">
        <f>IF(AND(Panchanga!$R61&lt;28.5,Panchanga!$R61&gt;0.49999),MOD((Panchanga!$R61-0.5)*2,7),MOD((Panchanga!$R61+30-28.5),30)*2+7)</f>
        <v>4.3562000000000012</v>
      </c>
      <c r="R61" s="4">
        <f>ROUNDUP(MOD(360+P[[#This Row],[Moon]]-P[[#This Row],[Sun]],360)/12,4)</f>
        <v>13.178100000000001</v>
      </c>
      <c r="S61" s="4">
        <f>ROUNDUP(MOD(P[[#This Row],[Sun]]+P[[#This Row],[Moon]],360)/13.333333333,2)</f>
        <v>13.09</v>
      </c>
      <c r="T61" s="4" t="str">
        <f>SIGN(W62-Panchanga!$W61)*INT(Panchanga!$W61/30+1)&amp;"Ma,"&amp;SIGN(X62-Panchanga!$X61)*INT(Panchanga!$X61/30+1)&amp;"Me,"&amp;SIGN(Y62-Panchanga!$Y61)*INT(Panchanga!$Y61/30+1)&amp;"J, "&amp;SIGN(Z62-Panchanga!$Z61)*INT(Panchanga!$Z61/30+1)&amp;"V,"&amp;SIGN(AA62-Panchanga!$AA61)*INT(Panchanga!$AA61/30+1)&amp;"S,"&amp;INT(Panchanga!$AB61/30+1)&amp;"R"</f>
        <v>11Ma,-12Me,1J, 12V,11S,12R</v>
      </c>
      <c r="U61" s="4">
        <f t="shared" si="14"/>
        <v>8.1789277281935</v>
      </c>
      <c r="V61" s="4">
        <f t="shared" si="15"/>
        <v>166.31499481722881</v>
      </c>
      <c r="W61" s="4">
        <f>Planet(Panchanga!$G61,4)</f>
        <v>329.13759710944061</v>
      </c>
      <c r="X61" s="4">
        <f>Planet(Panchanga!$G61,2)</f>
        <v>352.30261626312222</v>
      </c>
      <c r="Y61" s="4">
        <f>Planet(Panchanga!$G61,5)</f>
        <v>27.844996359428194</v>
      </c>
      <c r="Z61" s="4">
        <f>Planet(Panchanga!$G61,3)</f>
        <v>356.60520866897724</v>
      </c>
      <c r="AA61" s="4">
        <f>Planet(Panchanga!$G61,6)</f>
        <v>321.61572322770968</v>
      </c>
      <c r="AB61" s="4">
        <f>Planet(Panchanga!$G61,10)</f>
        <v>350.75008071441476</v>
      </c>
      <c r="AC61" s="4" t="str">
        <f>TEXT(Panchanga!$C61+($C62-Panchanga!$C61)/ABS(IF($R62&lt;1,$R62+30,$R62)-Panchanga!$R61)*(ROUNDUP(Panchanga!$R61,0)-Panchanga!$R61),"hh:mm AM/PM")</f>
        <v>03:25 AM</v>
      </c>
      <c r="AD61" s="4"/>
    </row>
    <row r="62" spans="1:30" x14ac:dyDescent="0.2">
      <c r="A62" s="3">
        <f t="shared" si="18"/>
        <v>45405</v>
      </c>
      <c r="B62" s="3">
        <f t="shared" si="19"/>
        <v>45405.229166666664</v>
      </c>
      <c r="C62" s="6">
        <f t="shared" si="12"/>
        <v>45405.245136364982</v>
      </c>
      <c r="D62" s="6">
        <f>sunset(Lat,Long,B62)+TimeZone/24-0.000277777777777778</f>
        <v>45404.765832177407</v>
      </c>
      <c r="E62" s="6">
        <f>PlanetRiseSet(Lat,Long,B62,1,1)+TimeZone/24+0.00103009259259259</f>
        <v>45404.716889833253</v>
      </c>
      <c r="F62" s="6">
        <f>PlanetRiseSet(Lat,Long,B62+1,1,2)+TimeZone/24+0.00103009259259259</f>
        <v>45406.24479451884</v>
      </c>
      <c r="G62" s="7">
        <f>Panchanga!$C62-TimeZone/24</f>
        <v>45405.015969698317</v>
      </c>
      <c r="H62" s="8" t="str">
        <f>INT(P[[#This Row],[Sun]]/30)&amp;"s"&amp;ROUNDUP(MOD(P[[#This Row],[Sun]],30),2)</f>
        <v>0s9.16</v>
      </c>
      <c r="I62" s="13" t="str">
        <f>INT(P[[#This Row],[Moon]]/30)&amp;"s"&amp;ROUNDUP(MOD(P[[#This Row],[Moon]],30),2)</f>
        <v>5s28.28</v>
      </c>
      <c r="J62" s="14">
        <f t="shared" si="17"/>
        <v>45405.015969698317</v>
      </c>
      <c r="K62" s="10" t="str">
        <f>naks(P[[#This Row],[Moon]])</f>
        <v>Chitra</v>
      </c>
      <c r="L62" s="6">
        <f>(C63-P[[#This Row],[SunRise]])/(MOD(360+V63-P[[#This Row],[Moon]],360))*(13.3333333333333-MOD(P[[#This Row],[Moon]],13.333333333333))+P[[#This Row],[SunRise]]</f>
        <v>45405.937536799014</v>
      </c>
      <c r="M62" s="4" t="str">
        <f>IF(Panchanga!$R62&gt;15,"K","S")&amp;ROUNDUP(MOD(Panchanga!$R62,15),0)&amp;" ("&amp;ROUND(Panchanga!$R62,2)&amp;")"</f>
        <v>S15 (14.09)</v>
      </c>
      <c r="N62" s="4">
        <f>IF(AND(Panchanga!$R62&lt;28.5,Panchanga!$R62&gt;0.49999),MOD((Panchanga!$R62-0.5)*2,7),MOD((Panchanga!$R62+30-28.5),30)*2+7)</f>
        <v>6.1877999999999993</v>
      </c>
      <c r="O62" s="4" t="str">
        <f>CHOOSE(ROUNDUP(Panchanga!$N62,0),"Bhava","Baalava","Kaulava","Taitula","Garija","Vanija","Vishti","Shakuni","Chatushapda","Naaga","Kimstugna")</f>
        <v>Vishti</v>
      </c>
      <c r="P62" s="11" t="str">
        <f>CHOOSE(ROUNDUP(Panchanga!$S62,0),"viṣkambha","prīti","āyuṣmāna","saubhāgya","śobhana","atigaṇḍa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("&amp;Panchanga!$S62&amp;")"</f>
        <v>vajra (14.06)</v>
      </c>
      <c r="Q62" s="4">
        <f>IF(AND(Panchanga!$R62&lt;28.5,Panchanga!$R62&gt;0.49999),MOD((Panchanga!$R62-0.5)*2,7),MOD((Panchanga!$R62+30-28.5),30)*2+7)</f>
        <v>6.1877999999999993</v>
      </c>
      <c r="R62" s="4">
        <f>ROUNDUP(MOD(360+P[[#This Row],[Moon]]-P[[#This Row],[Sun]],360)/12,4)</f>
        <v>14.0939</v>
      </c>
      <c r="S62" s="4">
        <f>ROUNDUP(MOD(P[[#This Row],[Sun]]+P[[#This Row],[Moon]],360)/13.333333333,2)</f>
        <v>14.06</v>
      </c>
      <c r="T62" s="4" t="str">
        <f>SIGN(W63-Panchanga!$W62)*INT(Panchanga!$W62/30+1)&amp;"Ma,"&amp;SIGN(X63-Panchanga!$X62)*INT(Panchanga!$X62/30+1)&amp;"Me,"&amp;SIGN(Y63-Panchanga!$Y62)*INT(Panchanga!$Y62/30+1)&amp;"J, "&amp;SIGN(Z63-Panchanga!$Z62)*INT(Panchanga!$Z62/30+1)&amp;"V,"&amp;SIGN(AA63-Panchanga!$AA62)*INT(Panchanga!$AA62/30+1)&amp;"S,"&amp;INT(Panchanga!$AB62/30+1)&amp;"R"</f>
        <v>11Ma,-12Me,1J, 12V,11S,12R</v>
      </c>
      <c r="U62" s="4">
        <f t="shared" si="14"/>
        <v>9.1532957341693049</v>
      </c>
      <c r="V62" s="4">
        <f t="shared" si="15"/>
        <v>178.27989478142584</v>
      </c>
      <c r="W62" s="4">
        <f>Planet(Panchanga!$G62,4)</f>
        <v>329.91101875567148</v>
      </c>
      <c r="X62" s="4">
        <f>Planet(Panchanga!$G62,2)</f>
        <v>352.0513109409838</v>
      </c>
      <c r="Y62" s="4">
        <f>Planet(Panchanga!$G62,5)</f>
        <v>28.074952725378981</v>
      </c>
      <c r="Z62" s="4">
        <f>Planet(Panchanga!$G62,3)</f>
        <v>357.83769517847031</v>
      </c>
      <c r="AA62" s="4">
        <f>Planet(Panchanga!$G62,6)</f>
        <v>321.71165663553063</v>
      </c>
      <c r="AB62" s="4">
        <f>Planet(Panchanga!$G62,10)</f>
        <v>350.69710827443117</v>
      </c>
      <c r="AC62" s="4" t="str">
        <f>TEXT(Panchanga!$C62+($C63-Panchanga!$C62)/ABS(IF($R63&lt;1,$R63+30,$R63)-Panchanga!$R62)*(ROUNDUP(Panchanga!$R62,0)-Panchanga!$R62),"hh:mm AM/PM")</f>
        <v>05:18 AM</v>
      </c>
      <c r="AD62" s="4"/>
    </row>
    <row r="63" spans="1:30" x14ac:dyDescent="0.2">
      <c r="A63" s="3">
        <f t="shared" si="18"/>
        <v>45406</v>
      </c>
      <c r="B63" s="3">
        <f t="shared" si="19"/>
        <v>45406.229166666664</v>
      </c>
      <c r="C63" s="6">
        <f t="shared" si="12"/>
        <v>45406.244774561994</v>
      </c>
      <c r="D63" s="6">
        <f>sunset(Lat,Long,B63)+TimeZone/24-0.000277777777777778</f>
        <v>45405.765938595447</v>
      </c>
      <c r="E63" s="6">
        <f>PlanetRiseSet(Lat,Long,B63,1,1)+TimeZone/24+0.00103009259259259</f>
        <v>45405.749247274514</v>
      </c>
      <c r="F63" s="6">
        <f>PlanetRiseSet(Lat,Long,B63+1,1,2)+TimeZone/24+0.00103009259259259</f>
        <v>45407.272202521715</v>
      </c>
      <c r="G63" s="7">
        <f>Panchanga!$C63-TimeZone/24</f>
        <v>45406.01560789533</v>
      </c>
      <c r="H63" s="8" t="str">
        <f>INT(P[[#This Row],[Sun]]/30)&amp;"s"&amp;ROUNDUP(MOD(P[[#This Row],[Sun]],30),2)</f>
        <v>0s10.13</v>
      </c>
      <c r="I63" s="13" t="str">
        <f>INT(P[[#This Row],[Moon]]/30)&amp;"s"&amp;ROUNDUP(MOD(P[[#This Row],[Moon]],30),2)</f>
        <v>6s10.39</v>
      </c>
      <c r="J63" s="14">
        <f t="shared" si="17"/>
        <v>45406.01560789533</v>
      </c>
      <c r="K63" s="10" t="str">
        <f>naks(P[[#This Row],[Moon]])</f>
        <v>Swati</v>
      </c>
      <c r="L63" s="6">
        <f>(C64-P[[#This Row],[SunRise]])/(MOD(360+V64-P[[#This Row],[Moon]],360))*(13.3333333333333-MOD(P[[#This Row],[Moon]],13.333333333333))+P[[#This Row],[SunRise]]</f>
        <v>45407.027178400502</v>
      </c>
      <c r="M63" s="4" t="str">
        <f>IF(Panchanga!$R63&gt;15,"K","S")&amp;ROUNDUP(MOD(Panchanga!$R63,15),0)&amp;" ("&amp;ROUND(Panchanga!$R63,2)&amp;")"</f>
        <v>K1 (15.02)</v>
      </c>
      <c r="N63" s="4">
        <f>IF(AND(Panchanga!$R63&lt;28.5,Panchanga!$R63&gt;0.49999),MOD((Panchanga!$R63-0.5)*2,7),MOD((Panchanga!$R63+30-28.5),30)*2+7)</f>
        <v>1.0435999999999979</v>
      </c>
      <c r="O63" s="4" t="str">
        <f>CHOOSE(ROUNDUP(Panchanga!$N63,0),"Bhava","Baalava","Kaulava","Taitula","Garija","Vanija","Vishti","Shakuni","Chatushapda","Naaga","Kimstugna")</f>
        <v>Baalava</v>
      </c>
      <c r="P63" s="11" t="str">
        <f>CHOOSE(ROUNDUP(Panchanga!$S63,0),"viṣkambha","prīti","āyuṣmāna","saubhāgya","śobhana","atigaṇḍa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("&amp;Panchanga!$S63&amp;")"</f>
        <v>siddhi (15.04)</v>
      </c>
      <c r="Q63" s="4">
        <f>IF(AND(Panchanga!$R63&lt;28.5,Panchanga!$R63&gt;0.49999),MOD((Panchanga!$R63-0.5)*2,7),MOD((Panchanga!$R63+30-28.5),30)*2+7)</f>
        <v>1.0435999999999979</v>
      </c>
      <c r="R63" s="4">
        <f>ROUNDUP(MOD(360+P[[#This Row],[Moon]]-P[[#This Row],[Sun]],360)/12,4)</f>
        <v>15.021799999999999</v>
      </c>
      <c r="S63" s="4">
        <f>ROUNDUP(MOD(P[[#This Row],[Sun]]+P[[#This Row],[Moon]],360)/13.333333333,2)</f>
        <v>15.04</v>
      </c>
      <c r="T63" s="4" t="str">
        <f>SIGN(W64-Panchanga!$W63)*INT(Panchanga!$W63/30+1)&amp;"Ma,"&amp;SIGN(X64-Panchanga!$X63)*INT(Panchanga!$X63/30+1)&amp;"Me,"&amp;SIGN(Y64-Panchanga!$Y63)*INT(Panchanga!$Y63/30+1)&amp;"J, "&amp;SIGN(Z64-Panchanga!$Z63)*INT(Panchanga!$Z63/30+1)&amp;"V,"&amp;SIGN(AA64-Panchanga!$AA63)*INT(Panchanga!$AA63/30+1)&amp;"S,"&amp;INT(Panchanga!$AB63/30+1)&amp;"R"</f>
        <v>12Ma,-12Me,1J, -12V,11S,12R</v>
      </c>
      <c r="U63" s="4">
        <f t="shared" si="14"/>
        <v>10.127133964315764</v>
      </c>
      <c r="V63" s="4">
        <f t="shared" si="15"/>
        <v>190.38811585415993</v>
      </c>
      <c r="W63" s="4">
        <f>Planet(Panchanga!$G63,4)</f>
        <v>330.68411853227514</v>
      </c>
      <c r="X63" s="4">
        <f>Planet(Panchanga!$G63,2)</f>
        <v>351.88264737466454</v>
      </c>
      <c r="Y63" s="4">
        <f>Planet(Panchanga!$G63,5)</f>
        <v>28.305382513877088</v>
      </c>
      <c r="Z63" s="4">
        <f>Planet(Panchanga!$G63,3)</f>
        <v>359.07005008018149</v>
      </c>
      <c r="AA63" s="4">
        <f>Planet(Panchanga!$G63,6)</f>
        <v>321.80663172136263</v>
      </c>
      <c r="AB63" s="4">
        <f>Planet(Panchanga!$G63,10)</f>
        <v>350.64413545974685</v>
      </c>
      <c r="AC63" s="4" t="str">
        <f>TEXT(Panchanga!$C63+($C64-Panchanga!$C63)/ABS(IF($R64&lt;1,$R64+30,$R64)-Panchanga!$R63)*(ROUNDUP(Panchanga!$R63,0)-Panchanga!$R63),"hh:mm AM/PM")</f>
        <v>06:46 AM</v>
      </c>
      <c r="AD63" s="4"/>
    </row>
    <row r="64" spans="1:30" x14ac:dyDescent="0.2">
      <c r="A64" s="3">
        <f t="shared" si="18"/>
        <v>45407</v>
      </c>
      <c r="B64" s="3">
        <f t="shared" si="19"/>
        <v>45407.229166666664</v>
      </c>
      <c r="C64" s="6">
        <f t="shared" si="12"/>
        <v>45407.244420061506</v>
      </c>
      <c r="D64" s="6">
        <f>sunset(Lat,Long,B64)+TimeZone/24-0.000277777777777778</f>
        <v>45406.76604865682</v>
      </c>
      <c r="E64" s="6">
        <f>PlanetRiseSet(Lat,Long,B64,1,1)+TimeZone/24+0.00103009259259259</f>
        <v>45406.78326029858</v>
      </c>
      <c r="F64" s="6">
        <f>PlanetRiseSet(Lat,Long,B64+1,1,2)+TimeZone/24+0.00103009259259259</f>
        <v>45408.302607910395</v>
      </c>
      <c r="G64" s="7">
        <f>Panchanga!$C64-TimeZone/24</f>
        <v>45407.015253394842</v>
      </c>
      <c r="H64" s="8" t="str">
        <f>INT(P[[#This Row],[Sun]]/30)&amp;"s"&amp;ROUNDUP(MOD(P[[#This Row],[Sun]],30),2)</f>
        <v>0s11.11</v>
      </c>
      <c r="I64" s="13" t="str">
        <f>INT(P[[#This Row],[Moon]]/30)&amp;"s"&amp;ROUNDUP(MOD(P[[#This Row],[Moon]],30),2)</f>
        <v>6s22.67</v>
      </c>
      <c r="J64" s="14">
        <f t="shared" si="17"/>
        <v>45407.015253394842</v>
      </c>
      <c r="K64" s="10" t="str">
        <f>naks(P[[#This Row],[Moon]])</f>
        <v>Visakha</v>
      </c>
      <c r="L64" s="6">
        <f>(C65-P[[#This Row],[SunRise]])/(MOD(360+V65-P[[#This Row],[Moon]],360))*(13.3333333333333-MOD(P[[#This Row],[Moon]],13.333333333333))+P[[#This Row],[SunRise]]</f>
        <v>45408.098961291769</v>
      </c>
      <c r="M64" s="4" t="str">
        <f>IF(Panchanga!$R64&gt;15,"K","S")&amp;ROUNDUP(MOD(Panchanga!$R64,15),0)&amp;" ("&amp;ROUND(Panchanga!$R64,2)&amp;")"</f>
        <v>K1 (15.96)</v>
      </c>
      <c r="N64" s="4">
        <f>IF(AND(Panchanga!$R64&lt;28.5,Panchanga!$R64&gt;0.49999),MOD((Panchanga!$R64-0.5)*2,7),MOD((Panchanga!$R64+30-28.5),30)*2+7)</f>
        <v>2.9282000000000004</v>
      </c>
      <c r="O64" s="4" t="str">
        <f>CHOOSE(ROUNDUP(Panchanga!$N64,0),"Bhava","Baalava","Kaulava","Taitula","Garija","Vanija","Vishti","Shakuni","Chatushapda","Naaga","Kimstugna")</f>
        <v>Kaulava</v>
      </c>
      <c r="P64" s="11" t="str">
        <f>CHOOSE(ROUNDUP(Panchanga!$S64,0),"viṣkambha","prīti","āyuṣmāna","saubhāgya","śobhana","atigaṇḍa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("&amp;Panchanga!$S64&amp;")"</f>
        <v>vyatipāta (16.04)</v>
      </c>
      <c r="Q64" s="4">
        <f>IF(AND(Panchanga!$R64&lt;28.5,Panchanga!$R64&gt;0.49999),MOD((Panchanga!$R64-0.5)*2,7),MOD((Panchanga!$R64+30-28.5),30)*2+7)</f>
        <v>2.9282000000000004</v>
      </c>
      <c r="R64" s="4">
        <f>ROUNDUP(MOD(360+P[[#This Row],[Moon]]-P[[#This Row],[Sun]],360)/12,4)</f>
        <v>15.9641</v>
      </c>
      <c r="S64" s="4">
        <f>ROUNDUP(MOD(P[[#This Row],[Sun]]+P[[#This Row],[Moon]],360)/13.333333333,2)</f>
        <v>16.040000000000003</v>
      </c>
      <c r="T64" s="4" t="str">
        <f>SIGN(W65-Panchanga!$W64)*INT(Panchanga!$W64/30+1)&amp;"Ma,"&amp;SIGN(X65-Panchanga!$X64)*INT(Panchanga!$X64/30+1)&amp;"Me,"&amp;SIGN(Y65-Panchanga!$Y64)*INT(Panchanga!$Y64/30+1)&amp;"J, "&amp;SIGN(Z65-Panchanga!$Z64)*INT(Panchanga!$Z64/30+1)&amp;"V,"&amp;SIGN(AA65-Panchanga!$AA64)*INT(Panchanga!$AA64/30+1)&amp;"S,"&amp;INT(Panchanga!$AB64/30+1)&amp;"R"</f>
        <v>12Ma,-12Me,1J, 1V,11S,12R</v>
      </c>
      <c r="U64" s="4">
        <f t="shared" si="14"/>
        <v>11.100460545547783</v>
      </c>
      <c r="V64" s="4">
        <f t="shared" si="15"/>
        <v>202.66882851850491</v>
      </c>
      <c r="W64" s="4">
        <f>Planet(Panchanga!$G64,4)</f>
        <v>331.45689034689906</v>
      </c>
      <c r="X64" s="4">
        <f>Planet(Panchanga!$G64,2)</f>
        <v>351.79739511034057</v>
      </c>
      <c r="Y64" s="4">
        <f>Planet(Panchanga!$G64,5)</f>
        <v>28.53626719404258</v>
      </c>
      <c r="Z64" s="4">
        <f>Planet(Panchanga!$G64,3)</f>
        <v>0.30228216725284585</v>
      </c>
      <c r="AA64" s="4">
        <f>Planet(Panchanga!$G64,6)</f>
        <v>321.90063350290268</v>
      </c>
      <c r="AB64" s="4">
        <f>Planet(Panchanga!$G64,10)</f>
        <v>350.59116225803467</v>
      </c>
      <c r="AC64" s="4" t="str">
        <f>TEXT(Panchanga!$C64+($C65-Panchanga!$C64)/ABS(IF($R65&lt;1,$R65+30,$R65)-Panchanga!$R64)*(ROUNDUP(Panchanga!$R64,0)-Panchanga!$R64),"hh:mm AM/PM")</f>
        <v>06:45 AM</v>
      </c>
      <c r="AD64" s="4"/>
    </row>
    <row r="65" spans="1:30" x14ac:dyDescent="0.2">
      <c r="A65" s="3">
        <f t="shared" si="18"/>
        <v>45408</v>
      </c>
      <c r="B65" s="3">
        <f t="shared" si="19"/>
        <v>45408.229166666664</v>
      </c>
      <c r="C65" s="6">
        <f t="shared" si="12"/>
        <v>45408.244073088434</v>
      </c>
      <c r="D65" s="6">
        <f>sunset(Lat,Long,B65)+TimeZone/24-0.000277777777777778</f>
        <v>45407.766162462111</v>
      </c>
      <c r="E65" s="6">
        <f>PlanetRiseSet(Lat,Long,B65,1,1)+TimeZone/24+0.00103009259259259</f>
        <v>45407.819367205877</v>
      </c>
      <c r="F65" s="6">
        <f>PlanetRiseSet(Lat,Long,B65+1,1,2)+TimeZone/24+0.00103009259259259</f>
        <v>45409.336536943134</v>
      </c>
      <c r="G65" s="7">
        <f>Panchanga!$C65-TimeZone/24</f>
        <v>45408.014906421769</v>
      </c>
      <c r="H65" s="8" t="str">
        <f>INT(P[[#This Row],[Sun]]/30)&amp;"s"&amp;ROUNDUP(MOD(P[[#This Row],[Sun]],30),2)</f>
        <v>0s12.08</v>
      </c>
      <c r="I65" s="13" t="str">
        <f>INT(P[[#This Row],[Moon]]/30)&amp;"s"&amp;ROUNDUP(MOD(P[[#This Row],[Moon]],30),2)</f>
        <v>7s5.15</v>
      </c>
      <c r="J65" s="14">
        <f t="shared" si="17"/>
        <v>45408.014906421769</v>
      </c>
      <c r="K65" s="10" t="str">
        <f>naks(P[[#This Row],[Moon]])</f>
        <v>Anuradha</v>
      </c>
      <c r="L65" s="6">
        <f>(C66-P[[#This Row],[SunRise]])/(MOD(360+V66-P[[#This Row],[Moon]],360))*(13.3333333333333-MOD(P[[#This Row],[Moon]],13.333333333333))+P[[#This Row],[SunRise]]</f>
        <v>45409.151937713337</v>
      </c>
      <c r="M65" s="4" t="str">
        <f>IF(Panchanga!$R65&gt;15,"K","S")&amp;ROUNDUP(MOD(Panchanga!$R65,15),0)&amp;" ("&amp;ROUND(Panchanga!$R65,2)&amp;")"</f>
        <v>K2 (16.92)</v>
      </c>
      <c r="N65" s="4">
        <f>IF(AND(Panchanga!$R65&lt;28.5,Panchanga!$R65&gt;0.49999),MOD((Panchanga!$R65-0.5)*2,7),MOD((Panchanga!$R65+30-28.5),30)*2+7)</f>
        <v>4.8451999999999984</v>
      </c>
      <c r="O65" s="4" t="str">
        <f>CHOOSE(ROUNDUP(Panchanga!$N65,0),"Bhava","Baalava","Kaulava","Taitula","Garija","Vanija","Vishti","Shakuni","Chatushapda","Naaga","Kimstugna")</f>
        <v>Garija</v>
      </c>
      <c r="P65" s="11" t="str">
        <f>CHOOSE(ROUNDUP(Panchanga!$S65,0),"viṣkambha","prīti","āyuṣmāna","saubhāgya","śobhana","atigaṇḍa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("&amp;Panchanga!$S65&amp;")"</f>
        <v>varīyas (17.05)</v>
      </c>
      <c r="Q65" s="4">
        <f>IF(AND(Panchanga!$R65&lt;28.5,Panchanga!$R65&gt;0.49999),MOD((Panchanga!$R65-0.5)*2,7),MOD((Panchanga!$R65+30-28.5),30)*2+7)</f>
        <v>4.8451999999999984</v>
      </c>
      <c r="R65" s="4">
        <f>ROUNDUP(MOD(360+P[[#This Row],[Moon]]-P[[#This Row],[Sun]],360)/12,4)</f>
        <v>16.922599999999999</v>
      </c>
      <c r="S65" s="4">
        <f>ROUNDUP(MOD(P[[#This Row],[Sun]]+P[[#This Row],[Moon]],360)/13.333333333,2)</f>
        <v>17.05</v>
      </c>
      <c r="T65" s="4" t="str">
        <f>SIGN(W66-Panchanga!$W65)*INT(Panchanga!$W65/30+1)&amp;"Ma,"&amp;SIGN(X66-Panchanga!$X65)*INT(Panchanga!$X65/30+1)&amp;"Me,"&amp;SIGN(Y66-Panchanga!$Y65)*INT(Panchanga!$Y65/30+1)&amp;"J, "&amp;SIGN(Z66-Panchanga!$Z65)*INT(Panchanga!$Z65/30+1)&amp;"V,"&amp;SIGN(AA66-Panchanga!$AA65)*INT(Panchanga!$AA65/30+1)&amp;"S,"&amp;INT(Panchanga!$AB65/30+1)&amp;"R"</f>
        <v>12Ma,12Me,1J, 1V,11S,12R</v>
      </c>
      <c r="U65" s="4">
        <f t="shared" si="14"/>
        <v>12.073294394928682</v>
      </c>
      <c r="V65" s="4">
        <f t="shared" si="15"/>
        <v>215.14429973195084</v>
      </c>
      <c r="W65" s="4">
        <f>Planet(Panchanga!$G65,4)</f>
        <v>332.22932751779018</v>
      </c>
      <c r="X65" s="4">
        <f>Planet(Panchanga!$G65,2)</f>
        <v>351.79544798181649</v>
      </c>
      <c r="Y65" s="4">
        <f>Planet(Panchanga!$G65,5)</f>
        <v>28.767588656060155</v>
      </c>
      <c r="Z65" s="4">
        <f>Planet(Panchanga!$G65,3)</f>
        <v>1.5344004300969987</v>
      </c>
      <c r="AA65" s="4">
        <f>Planet(Panchanga!$G65,6)</f>
        <v>321.99364687075422</v>
      </c>
      <c r="AB65" s="4">
        <f>Planet(Panchanga!$G65,10)</f>
        <v>350.53818865744802</v>
      </c>
      <c r="AC65" s="4" t="str">
        <f>TEXT(Panchanga!$C65+($C66-Panchanga!$C65)/ABS(IF($R66&lt;1,$R66+30,$R66)-Panchanga!$R65)*(ROUNDUP(Panchanga!$R65,0)-Panchanga!$R65),"hh:mm AM/PM")</f>
        <v>07:45 AM</v>
      </c>
      <c r="AD65" s="4"/>
    </row>
    <row r="66" spans="1:30" x14ac:dyDescent="0.2">
      <c r="A66" s="3">
        <f t="shared" si="18"/>
        <v>45409</v>
      </c>
      <c r="B66" s="3">
        <f t="shared" si="19"/>
        <v>45409.229166666664</v>
      </c>
      <c r="C66" s="6">
        <f t="shared" si="12"/>
        <v>45409.24373386443</v>
      </c>
      <c r="D66" s="6">
        <f>sunset(Lat,Long,B66)+TimeZone/24-0.000277777777777778</f>
        <v>45408.766280105381</v>
      </c>
      <c r="E66" s="6">
        <f>PlanetRiseSet(Lat,Long,B66,1,1)+TimeZone/24+0.00103009259259259</f>
        <v>45408.857637775749</v>
      </c>
      <c r="F66" s="6">
        <f>PlanetRiseSet(Lat,Long,B66+1,1,2)+TimeZone/24+0.00103009259259259</f>
        <v>45410.374031523861</v>
      </c>
      <c r="G66" s="7">
        <f>Panchanga!$C66-TimeZone/24</f>
        <v>45409.014567197766</v>
      </c>
      <c r="H66" s="8" t="str">
        <f>INT(P[[#This Row],[Sun]]/30)&amp;"s"&amp;ROUNDUP(MOD(P[[#This Row],[Sun]],30),2)</f>
        <v>0s13.05</v>
      </c>
      <c r="I66" s="13" t="str">
        <f>INT(P[[#This Row],[Moon]]/30)&amp;"s"&amp;ROUNDUP(MOD(P[[#This Row],[Moon]],30),2)</f>
        <v>7s17.84</v>
      </c>
      <c r="J66" s="14">
        <f t="shared" si="17"/>
        <v>45409.014567197766</v>
      </c>
      <c r="K66" s="10" t="str">
        <f>naks(P[[#This Row],[Moon]])</f>
        <v>Jyestha</v>
      </c>
      <c r="L66" s="6">
        <f>(C67-P[[#This Row],[SunRise]])/(MOD(360+V67-P[[#This Row],[Moon]],360))*(13.3333333333333-MOD(P[[#This Row],[Moon]],13.333333333333))+P[[#This Row],[SunRise]]</f>
        <v>45410.1857271025</v>
      </c>
      <c r="M66" s="4" t="str">
        <f>IF(Panchanga!$R66&gt;15,"K","S")&amp;ROUNDUP(MOD(Panchanga!$R66,15),0)&amp;" ("&amp;ROUND(Panchanga!$R66,2)&amp;")"</f>
        <v>K3 (17.9)</v>
      </c>
      <c r="N66" s="4">
        <f>IF(AND(Panchanga!$R66&lt;28.5,Panchanga!$R66&gt;0.49999),MOD((Panchanga!$R66-0.5)*2,7),MOD((Panchanga!$R66+30-28.5),30)*2+7)</f>
        <v>6.7978000000000023</v>
      </c>
      <c r="O66" s="4" t="str">
        <f>CHOOSE(ROUNDUP(Panchanga!$N66,0),"Bhava","Baalava","Kaulava","Taitula","Garija","Vanija","Vishti","Shakuni","Chatushapda","Naaga","Kimstugna")</f>
        <v>Vishti</v>
      </c>
      <c r="P66" s="11" t="str">
        <f>CHOOSE(ROUNDUP(Panchanga!$S66,0),"viṣkambha","prīti","āyuṣmāna","saubhāgya","śobhana","atigaṇḍa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("&amp;Panchanga!$S66&amp;")"</f>
        <v>parigha (18.07)</v>
      </c>
      <c r="Q66" s="4">
        <f>IF(AND(Panchanga!$R66&lt;28.5,Panchanga!$R66&gt;0.49999),MOD((Panchanga!$R66-0.5)*2,7),MOD((Panchanga!$R66+30-28.5),30)*2+7)</f>
        <v>6.7978000000000023</v>
      </c>
      <c r="R66" s="4">
        <f>ROUNDUP(MOD(360+P[[#This Row],[Moon]]-P[[#This Row],[Sun]],360)/12,4)</f>
        <v>17.898900000000001</v>
      </c>
      <c r="S66" s="4">
        <f>ROUNDUP(MOD(P[[#This Row],[Sun]]+P[[#This Row],[Moon]],360)/13.333333333,2)</f>
        <v>18.07</v>
      </c>
      <c r="T66" s="4" t="str">
        <f>SIGN(W67-Panchanga!$W66)*INT(Panchanga!$W66/30+1)&amp;"Ma,"&amp;SIGN(X67-Panchanga!$X66)*INT(Panchanga!$X66/30+1)&amp;"Me,"&amp;SIGN(Y67-Panchanga!$Y66)*INT(Panchanga!$Y66/30+1)&amp;"J, "&amp;SIGN(Z67-Panchanga!$Z66)*INT(Panchanga!$Z66/30+1)&amp;"V,"&amp;SIGN(AA67-Panchanga!$AA66)*INT(Panchanga!$AA66/30+1)&amp;"S,"&amp;INT(Panchanga!$AB66/30+1)&amp;"R"</f>
        <v>12Ma,12Me,1J, 1V,11S,12R</v>
      </c>
      <c r="U66" s="4">
        <f t="shared" si="14"/>
        <v>13.045654694430127</v>
      </c>
      <c r="V66" s="4">
        <f t="shared" si="15"/>
        <v>227.83171804887337</v>
      </c>
      <c r="W66" s="4">
        <f>Planet(Panchanga!$G66,4)</f>
        <v>333.00142243658314</v>
      </c>
      <c r="X66" s="4">
        <f>Planet(Panchanga!$G66,2)</f>
        <v>351.87597904087102</v>
      </c>
      <c r="Y66" s="4">
        <f>Planet(Panchanga!$G66,5)</f>
        <v>28.999329108468601</v>
      </c>
      <c r="Z66" s="4">
        <f>Planet(Panchanga!$G66,3)</f>
        <v>2.7664137497723882</v>
      </c>
      <c r="AA66" s="4">
        <f>Planet(Panchanga!$G66,6)</f>
        <v>322.08565651440949</v>
      </c>
      <c r="AB66" s="4">
        <f>Planet(Panchanga!$G66,10)</f>
        <v>350.48521464620643</v>
      </c>
      <c r="AC66" s="4" t="str">
        <f>TEXT(Panchanga!$C66+($C67-Panchanga!$C66)/ABS(IF($R67&lt;1,$R67+30,$R67)-Panchanga!$R66)*(ROUNDUP(Panchanga!$R66,0)-Panchanga!$R66),"hh:mm AM/PM")</f>
        <v>08:17 AM</v>
      </c>
      <c r="AD66" s="4"/>
    </row>
    <row r="67" spans="1:30" x14ac:dyDescent="0.2">
      <c r="A67" s="3">
        <f t="shared" si="18"/>
        <v>45410</v>
      </c>
      <c r="B67" s="3">
        <f t="shared" ref="B67:B130" si="20">A67+TimeZone/24</f>
        <v>45410.229166666664</v>
      </c>
      <c r="C67" s="6">
        <f t="shared" ref="C67:C130" si="21">sunrise(Lat,Long,B67)+TimeZone/24+0.00103009259259259</f>
        <v>45410.243402606029</v>
      </c>
      <c r="D67" s="6">
        <f>sunset(Lat,Long,B67)+TimeZone/24-0.000277777777777778</f>
        <v>45409.766401671848</v>
      </c>
      <c r="E67" s="6">
        <f>PlanetRiseSet(Lat,Long,B67,1,1)+TimeZone/24+0.00103009259259259</f>
        <v>45409.897570617184</v>
      </c>
      <c r="F67" s="6">
        <f>PlanetRiseSet(Lat,Long,B67+1,1,2)+TimeZone/24+0.00103009259259259</f>
        <v>45411.414427407704</v>
      </c>
      <c r="G67" s="17">
        <f>Panchanga!$C67-TimeZone/24</f>
        <v>45410.014235939365</v>
      </c>
      <c r="H67" s="13" t="str">
        <f>INT(P[[#This Row],[Sun]]/30)&amp;"s"&amp;ROUNDUP(MOD(P[[#This Row],[Sun]],30),2)</f>
        <v>0s14.02</v>
      </c>
      <c r="I67" s="13" t="str">
        <f>INT(P[[#This Row],[Moon]]/30)&amp;"s"&amp;ROUNDUP(MOD(P[[#This Row],[Moon]],30),2)</f>
        <v>8s0.75</v>
      </c>
      <c r="J67" s="14">
        <f t="shared" si="17"/>
        <v>45410.014235939365</v>
      </c>
      <c r="K67" s="10" t="str">
        <f>naks(P[[#This Row],[Moon]])</f>
        <v>Moola</v>
      </c>
      <c r="L67" s="15">
        <f>(C68-P[[#This Row],[SunRise]])/(MOD(360+V68-P[[#This Row],[Moon]],360))*(13.3333333333333-MOD(P[[#This Row],[Moon]],13.333333333333))+P[[#This Row],[SunRise]]</f>
        <v>45411.200279919045</v>
      </c>
      <c r="M67" s="4" t="str">
        <f>IF(Panchanga!$R67&gt;15,"K","S")&amp;ROUNDUP(MOD(Panchanga!$R67,15),0)&amp;" ("&amp;ROUND(Panchanga!$R67,2)&amp;")"</f>
        <v>K4 (18.89)</v>
      </c>
      <c r="N67" s="4">
        <f>IF(AND(Panchanga!$R67&lt;28.5,Panchanga!$R67&gt;0.49999),MOD((Panchanga!$R67-0.5)*2,7),MOD((Panchanga!$R67+30-28.5),30)*2+7)</f>
        <v>1.7879999999999967</v>
      </c>
      <c r="O67" s="4" t="str">
        <f>CHOOSE(ROUNDUP(Panchanga!$N67,0),"Bhava","Baalava","Kaulava","Taitula","Garija","Vanija","Vishti","Shakuni","Chatushapda","Naaga","Kimstugna")</f>
        <v>Baalava</v>
      </c>
      <c r="P67" s="11" t="str">
        <f>CHOOSE(ROUNDUP(Panchanga!$S67,0),"viṣkambha","prīti","āyuṣmāna","saubhāgya","śobhana","atigaṇḍa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("&amp;Panchanga!$S67&amp;")"</f>
        <v>śiva (19.11)</v>
      </c>
      <c r="Q67" s="4">
        <f>IF(AND(Panchanga!$R67&lt;28.5,Panchanga!$R67&gt;0.49999),MOD((Panchanga!$R67-0.5)*2,7),MOD((Panchanga!$R67+30-28.5),30)*2+7)</f>
        <v>1.7879999999999967</v>
      </c>
      <c r="R67" s="4">
        <f>ROUNDUP(MOD(360+P[[#This Row],[Moon]]-P[[#This Row],[Sun]],360)/12,4)</f>
        <v>18.893999999999998</v>
      </c>
      <c r="S67" s="4">
        <f>ROUNDUP(MOD(P[[#This Row],[Sun]]+P[[#This Row],[Moon]],360)/13.333333333,2)</f>
        <v>19.110000000000003</v>
      </c>
      <c r="T67" s="4" t="str">
        <f>SIGN(W68-Panchanga!$W67)*INT(Panchanga!$W67/30+1)&amp;"Ma,"&amp;SIGN(X68-Panchanga!$X67)*INT(Panchanga!$X67/30+1)&amp;"Me,"&amp;SIGN(Y68-Panchanga!$Y67)*INT(Panchanga!$Y67/30+1)&amp;"J, "&amp;SIGN(Z68-Panchanga!$Z67)*INT(Panchanga!$Z67/30+1)&amp;"V,"&amp;SIGN(AA68-Panchanga!$AA67)*INT(Panchanga!$AA67/30+1)&amp;"S,"&amp;INT(Panchanga!$AB67/30+1)&amp;"R"</f>
        <v>12Ma,12Me,1J, 1V,11S,12R</v>
      </c>
      <c r="U67" s="4">
        <f t="shared" ref="U67:U130" si="22">Planet($G67,0)</f>
        <v>14.017560248496087</v>
      </c>
      <c r="V67" s="4">
        <f t="shared" ref="V67:V130" si="23">Planet($G67,1)</f>
        <v>240.74502847814742</v>
      </c>
      <c r="W67" s="4">
        <f>Planet(Panchanga!$G67,4)</f>
        <v>333.77316623386247</v>
      </c>
      <c r="X67" s="4">
        <f>Planet(Panchanga!$G67,2)</f>
        <v>352.0375855513758</v>
      </c>
      <c r="Y67" s="4">
        <f>Planet(Panchanga!$G67,5)</f>
        <v>29.231470946540895</v>
      </c>
      <c r="Z67" s="4">
        <f>Planet(Panchanga!$G67,3)</f>
        <v>3.9983305463131305</v>
      </c>
      <c r="AA67" s="4">
        <f>Planet(Panchanga!$G67,6)</f>
        <v>322.17664684882754</v>
      </c>
      <c r="AB67" s="4">
        <f>Planet(Panchanga!$G67,10)</f>
        <v>350.43224021287728</v>
      </c>
      <c r="AC67" s="4" t="str">
        <f>TEXT(Panchanga!$C67+($C68-Panchanga!$C67)/ABS(IF($R68&lt;1,$R68+30,$R68)-Panchanga!$R67)*(ROUNDUP(Panchanga!$R67,0)-Panchanga!$R67),"hh:mm AM/PM")</f>
        <v>08:20 AM</v>
      </c>
      <c r="AD67" s="4"/>
    </row>
    <row r="68" spans="1:30" x14ac:dyDescent="0.2">
      <c r="A68" s="3">
        <f t="shared" si="18"/>
        <v>45411</v>
      </c>
      <c r="B68" s="3">
        <f t="shared" si="20"/>
        <v>45411.229166666664</v>
      </c>
      <c r="C68" s="6">
        <f t="shared" si="21"/>
        <v>45411.243079521846</v>
      </c>
      <c r="D68" s="6">
        <f>sunset(Lat,Long,B68)+TimeZone/24-0.000277777777777778</f>
        <v>45410.766527236017</v>
      </c>
      <c r="E68" s="6">
        <f>PlanetRiseSet(Lat,Long,B68,1,1)+TimeZone/24+0.00103009259259259</f>
        <v>45410.938040398214</v>
      </c>
      <c r="F68" s="6">
        <f>PlanetRiseSet(Lat,Long,B68+1,1,2)+TimeZone/24+0.00103009259259259</f>
        <v>45412.456436447486</v>
      </c>
      <c r="G68" s="17">
        <f>Panchanga!$C68-TimeZone/24</f>
        <v>45411.013912855182</v>
      </c>
      <c r="H68" s="13" t="str">
        <f>INT(P[[#This Row],[Sun]]/30)&amp;"s"&amp;ROUNDUP(MOD(P[[#This Row],[Sun]],30),2)</f>
        <v>0s14.99</v>
      </c>
      <c r="I68" s="13" t="str">
        <f>INT(P[[#This Row],[Moon]]/30)&amp;"s"&amp;ROUNDUP(MOD(P[[#This Row],[Moon]],30),2)</f>
        <v>8s13.9</v>
      </c>
      <c r="J68" s="14">
        <f t="shared" si="17"/>
        <v>45411.013912855182</v>
      </c>
      <c r="K68" s="10" t="str">
        <f>naks(P[[#This Row],[Moon]])</f>
        <v>Purva Asadha</v>
      </c>
      <c r="L68" s="15">
        <f>(C69-P[[#This Row],[SunRise]])/(MOD(360+V69-P[[#This Row],[Moon]],360))*(13.3333333333333-MOD(P[[#This Row],[Moon]],13.333333333333))+P[[#This Row],[SunRise]]</f>
        <v>45412.195767132187</v>
      </c>
      <c r="M68" s="4" t="str">
        <f>IF(Panchanga!$R68&gt;15,"K","S")&amp;ROUNDUP(MOD(Panchanga!$R68,15),0)&amp;" ("&amp;ROUND(Panchanga!$R68,2)&amp;")"</f>
        <v>K5 (19.91)</v>
      </c>
      <c r="N68" s="4">
        <f>IF(AND(Panchanga!$R68&lt;28.5,Panchanga!$R68&gt;0.49999),MOD((Panchanga!$R68-0.5)*2,7),MOD((Panchanga!$R68+30-28.5),30)*2+7)</f>
        <v>3.8179999999999978</v>
      </c>
      <c r="O68" s="4" t="str">
        <f>CHOOSE(ROUNDUP(Panchanga!$N68,0),"Bhava","Baalava","Kaulava","Taitula","Garija","Vanija","Vishti","Shakuni","Chatushapda","Naaga","Kimstugna")</f>
        <v>Taitula</v>
      </c>
      <c r="P68" s="11" t="str">
        <f>CHOOSE(ROUNDUP(Panchanga!$S68,0),"viṣkambha","prīti","āyuṣmāna","saubhāgya","śobhana","atigaṇḍa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("&amp;Panchanga!$S68&amp;")"</f>
        <v>siddha (20.17)</v>
      </c>
      <c r="Q68" s="4">
        <f>IF(AND(Panchanga!$R68&lt;28.5,Panchanga!$R68&gt;0.49999),MOD((Panchanga!$R68-0.5)*2,7),MOD((Panchanga!$R68+30-28.5),30)*2+7)</f>
        <v>3.8179999999999978</v>
      </c>
      <c r="R68" s="4">
        <f>ROUNDUP(MOD(360+P[[#This Row],[Moon]]-P[[#This Row],[Sun]],360)/12,4)</f>
        <v>19.908999999999999</v>
      </c>
      <c r="S68" s="4">
        <f>ROUNDUP(MOD(P[[#This Row],[Sun]]+P[[#This Row],[Moon]],360)/13.333333333,2)</f>
        <v>20.170000000000002</v>
      </c>
      <c r="T68" s="4" t="str">
        <f>SIGN(W69-Panchanga!$W68)*INT(Panchanga!$W68/30+1)&amp;"Ma,"&amp;SIGN(X69-Panchanga!$X68)*INT(Panchanga!$X68/30+1)&amp;"Me,"&amp;SIGN(Y69-Panchanga!$Y68)*INT(Panchanga!$Y68/30+1)&amp;"J, "&amp;SIGN(Z69-Panchanga!$Z68)*INT(Panchanga!$Z68/30+1)&amp;"V,"&amp;SIGN(AA69-Panchanga!$AA68)*INT(Panchanga!$AA68/30+1)&amp;"S,"&amp;INT(Panchanga!$AB68/30+1)&amp;"R"</f>
        <v>12Ma,12Me,1J, 1V,11S,12R</v>
      </c>
      <c r="U68" s="4">
        <f t="shared" si="22"/>
        <v>14.98902879820521</v>
      </c>
      <c r="V68" s="4">
        <f t="shared" si="23"/>
        <v>253.89638822075105</v>
      </c>
      <c r="W68" s="4">
        <f>Planet(Panchanga!$G68,4)</f>
        <v>334.54454848280153</v>
      </c>
      <c r="X68" s="4">
        <f>Planet(Panchanga!$G68,2)</f>
        <v>352.27842052862133</v>
      </c>
      <c r="Y68" s="4">
        <f>Planet(Panchanga!$G68,5)</f>
        <v>29.463996597052432</v>
      </c>
      <c r="Z68" s="4">
        <f>Planet(Panchanga!$G68,3)</f>
        <v>5.2301584162836869</v>
      </c>
      <c r="AA68" s="4">
        <f>Planet(Panchanga!$G68,6)</f>
        <v>322.26660196593878</v>
      </c>
      <c r="AB68" s="4">
        <f>Planet(Panchanga!$G68,10)</f>
        <v>350.3792653463596</v>
      </c>
      <c r="AC68" s="4" t="str">
        <f>TEXT(Panchanga!$C68+($C69-Panchanga!$C68)/ABS(IF($R69&lt;1,$R69+30,$R69)-Panchanga!$R68)*(ROUNDUP(Panchanga!$R68,0)-Panchanga!$R68),"hh:mm AM/PM")</f>
        <v>07:56 AM</v>
      </c>
      <c r="AD68" s="4"/>
    </row>
    <row r="69" spans="1:30" x14ac:dyDescent="0.2">
      <c r="A69" s="3">
        <f t="shared" si="18"/>
        <v>45412</v>
      </c>
      <c r="B69" s="3">
        <f t="shared" si="20"/>
        <v>45412.229166666664</v>
      </c>
      <c r="C69" s="6">
        <f t="shared" si="21"/>
        <v>45412.242764813513</v>
      </c>
      <c r="D69" s="6">
        <f>sunset(Lat,Long,B69)+TimeZone/24-0.000277777777777778</f>
        <v>45411.766656859822</v>
      </c>
      <c r="E69" s="6">
        <f>PlanetRiseSet(Lat,Long,B69,1,1)+TimeZone/24+0.00103009259259259</f>
        <v>45411.977588561982</v>
      </c>
      <c r="F69" s="6">
        <f>PlanetRiseSet(Lat,Long,B69+1,1,2)+TimeZone/24+0.00103009259259259</f>
        <v>45413.498629101705</v>
      </c>
      <c r="G69" s="17">
        <f>Panchanga!$C69-TimeZone/24</f>
        <v>45412.013598146848</v>
      </c>
      <c r="H69" s="13" t="str">
        <f>INT(P[[#This Row],[Sun]]/30)&amp;"s"&amp;ROUNDUP(MOD(P[[#This Row],[Sun]],30),2)</f>
        <v>0s15.97</v>
      </c>
      <c r="I69" s="13" t="str">
        <f>INT(P[[#This Row],[Moon]]/30)&amp;"s"&amp;ROUNDUP(MOD(P[[#This Row],[Moon]],30),2)</f>
        <v>8s27.3</v>
      </c>
      <c r="J69" s="14">
        <f t="shared" si="17"/>
        <v>45412.013598146848</v>
      </c>
      <c r="K69" s="10" t="str">
        <f>naks(P[[#This Row],[Moon]])</f>
        <v>Uttara Asadha</v>
      </c>
      <c r="L69" s="15">
        <f>(C70-P[[#This Row],[SunRise]])/(MOD(360+V70-P[[#This Row],[Moon]],360))*(13.3333333333333-MOD(P[[#This Row],[Moon]],13.333333333333))+P[[#This Row],[SunRise]]</f>
        <v>45413.172618204168</v>
      </c>
      <c r="M69" s="4" t="str">
        <f>IF(Panchanga!$R69&gt;15,"K","S")&amp;ROUNDUP(MOD(Panchanga!$R69,15),0)&amp;" ("&amp;ROUND(Panchanga!$R69,2)&amp;")"</f>
        <v>K6 (20.94)</v>
      </c>
      <c r="N69" s="4">
        <f>IF(AND(Panchanga!$R69&lt;28.5,Panchanga!$R69&gt;0.49999),MOD((Panchanga!$R69-0.5)*2,7),MOD((Panchanga!$R69+30-28.5),30)*2+7)</f>
        <v>5.8896000000000015</v>
      </c>
      <c r="O69" s="4" t="str">
        <f>CHOOSE(ROUNDUP(Panchanga!$N69,0),"Bhava","Baalava","Kaulava","Taitula","Garija","Vanija","Vishti","Shakuni","Chatushapda","Naaga","Kimstugna")</f>
        <v>Vanija</v>
      </c>
      <c r="P69" s="11" t="str">
        <f>CHOOSE(ROUNDUP(Panchanga!$S69,0),"viṣkambha","prīti","āyuṣmāna","saubhāgya","śobhana","atigaṇḍa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("&amp;Panchanga!$S69&amp;")"</f>
        <v>sādhya (21.25)</v>
      </c>
      <c r="Q69" s="4">
        <f>IF(AND(Panchanga!$R69&lt;28.5,Panchanga!$R69&gt;0.49999),MOD((Panchanga!$R69-0.5)*2,7),MOD((Panchanga!$R69+30-28.5),30)*2+7)</f>
        <v>5.8896000000000015</v>
      </c>
      <c r="R69" s="4">
        <f>ROUNDUP(MOD(360+P[[#This Row],[Moon]]-P[[#This Row],[Sun]],360)/12,4)</f>
        <v>20.944800000000001</v>
      </c>
      <c r="S69" s="4">
        <f>ROUNDUP(MOD(P[[#This Row],[Sun]]+P[[#This Row],[Moon]],360)/13.333333333,2)</f>
        <v>21.25</v>
      </c>
      <c r="T69" s="4" t="str">
        <f>SIGN(W70-Panchanga!$W69)*INT(Panchanga!$W69/30+1)&amp;"Ma,"&amp;SIGN(X70-Panchanga!$X69)*INT(Panchanga!$X69/30+1)&amp;"Me,"&amp;SIGN(Y70-Panchanga!$Y69)*INT(Panchanga!$Y69/30+1)&amp;"J, "&amp;SIGN(Z70-Panchanga!$Z69)*INT(Panchanga!$Z69/30+1)&amp;"V,"&amp;SIGN(AA70-Panchanga!$AA69)*INT(Panchanga!$AA69/30+1)&amp;"S,"&amp;INT(Panchanga!$AB69/30+1)&amp;"R"</f>
        <v>12Ma,12Me,1J, 1V,11S,12R</v>
      </c>
      <c r="U69" s="4">
        <f t="shared" si="22"/>
        <v>15.96007636823774</v>
      </c>
      <c r="V69" s="4">
        <f t="shared" si="23"/>
        <v>267.29664596972225</v>
      </c>
      <c r="W69" s="4">
        <f>Planet(Panchanga!$G69,4)</f>
        <v>335.31555697176879</v>
      </c>
      <c r="X69" s="4">
        <f>Planet(Panchanga!$G69,2)</f>
        <v>352.5963090067566</v>
      </c>
      <c r="Y69" s="4">
        <f>Planet(Panchanga!$G69,5)</f>
        <v>29.696888364640387</v>
      </c>
      <c r="Z69" s="4">
        <f>Planet(Panchanga!$G69,3)</f>
        <v>6.4619038104868141</v>
      </c>
      <c r="AA69" s="4">
        <f>Planet(Panchanga!$G69,6)</f>
        <v>322.35550559436723</v>
      </c>
      <c r="AB69" s="4">
        <f>Planet(Panchanga!$G69,10)</f>
        <v>350.3262900359997</v>
      </c>
      <c r="AC69" s="4" t="str">
        <f>TEXT(Panchanga!$C69+($C70-Panchanga!$C69)/ABS(IF($R70&lt;1,$R70+30,$R70)-Panchanga!$R69)*(ROUNDUP(Panchanga!$R69,0)-Panchanga!$R69),"hh:mm AM/PM")</f>
        <v>07:04 AM</v>
      </c>
      <c r="AD69" s="4"/>
    </row>
    <row r="70" spans="1:30" x14ac:dyDescent="0.2">
      <c r="A70" s="3">
        <f t="shared" si="18"/>
        <v>45413</v>
      </c>
      <c r="B70" s="3">
        <f t="shared" si="20"/>
        <v>45413.229166666664</v>
      </c>
      <c r="C70" s="6">
        <f t="shared" si="21"/>
        <v>45413.242458673347</v>
      </c>
      <c r="D70" s="6">
        <f>sunset(Lat,Long,B70)+TimeZone/24-0.000277777777777778</f>
        <v>45412.766790590293</v>
      </c>
      <c r="E70" s="6">
        <f>PlanetRiseSet(Lat,Long,B70,1,1)+TimeZone/24+0.00103009259259259</f>
        <v>45413.014985991795</v>
      </c>
      <c r="F70" s="6">
        <f>PlanetRiseSet(Lat,Long,B70+1,1,2)+TimeZone/24+0.00103009259259259</f>
        <v>45413.498629141752</v>
      </c>
      <c r="G70" s="17">
        <f>Panchanga!$C70-TimeZone/24</f>
        <v>45413.013292006683</v>
      </c>
      <c r="H70" s="13" t="str">
        <f>INT(P[[#This Row],[Sun]]/30)&amp;"s"&amp;ROUNDUP(MOD(P[[#This Row],[Sun]],30),2)</f>
        <v>0s16.94</v>
      </c>
      <c r="I70" s="13" t="str">
        <f>INT(P[[#This Row],[Moon]]/30)&amp;"s"&amp;ROUNDUP(MOD(P[[#This Row],[Moon]],30),2)</f>
        <v>9s10.96</v>
      </c>
      <c r="J70" s="14">
        <f t="shared" si="17"/>
        <v>45413.013292006683</v>
      </c>
      <c r="K70" s="10" t="str">
        <f>naks(P[[#This Row],[Moon]])</f>
        <v>Sravana</v>
      </c>
      <c r="L70" s="15">
        <f>(C71-P[[#This Row],[SunRise]])/(MOD(360+V71-P[[#This Row],[Moon]],360))*(13.3333333333333-MOD(P[[#This Row],[Moon]],13.333333333333))+P[[#This Row],[SunRise]]</f>
        <v>45414.131679497514</v>
      </c>
      <c r="M70" s="4" t="str">
        <f>IF(Panchanga!$R70&gt;15,"K","S")&amp;ROUNDUP(MOD(Panchanga!$R70,15),0)&amp;" ("&amp;ROUND(Panchanga!$R70,2)&amp;")"</f>
        <v>K8 (22)</v>
      </c>
      <c r="N70" s="4">
        <f>IF(AND(Panchanga!$R70&lt;28.5,Panchanga!$R70&gt;0.49999),MOD((Panchanga!$R70-0.5)*2,7),MOD((Panchanga!$R70+30-28.5),30)*2+7)</f>
        <v>1.0039999999999978</v>
      </c>
      <c r="O70" s="4" t="str">
        <f>CHOOSE(ROUNDUP(Panchanga!$N70,0),"Bhava","Baalava","Kaulava","Taitula","Garija","Vanija","Vishti","Shakuni","Chatushapda","Naaga","Kimstugna")</f>
        <v>Baalava</v>
      </c>
      <c r="P70" s="11" t="str">
        <f>CHOOSE(ROUNDUP(Panchanga!$S70,0),"viṣkambha","prīti","āyuṣmāna","saubhāgya","śobhana","atigaṇḍa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("&amp;Panchanga!$S70&amp;")"</f>
        <v>śubha (22.35)</v>
      </c>
      <c r="Q70" s="4">
        <f>IF(AND(Panchanga!$R70&lt;28.5,Panchanga!$R70&gt;0.49999),MOD((Panchanga!$R70-0.5)*2,7),MOD((Panchanga!$R70+30-28.5),30)*2+7)</f>
        <v>1.0039999999999978</v>
      </c>
      <c r="R70" s="4">
        <f>ROUNDUP(MOD(360+P[[#This Row],[Moon]]-P[[#This Row],[Sun]],360)/12,4)</f>
        <v>22.001999999999999</v>
      </c>
      <c r="S70" s="4">
        <f>ROUNDUP(MOD(P[[#This Row],[Sun]]+P[[#This Row],[Moon]],360)/13.333333333,2)</f>
        <v>22.35</v>
      </c>
      <c r="T70" s="4" t="str">
        <f>SIGN(W71-Panchanga!$W70)*INT(Panchanga!$W70/30+1)&amp;"Ma,"&amp;SIGN(X71-Panchanga!$X70)*INT(Panchanga!$X70/30+1)&amp;"Me,"&amp;SIGN(Y71-Panchanga!$Y70)*INT(Panchanga!$Y70/30+1)&amp;"J, "&amp;SIGN(Z71-Panchanga!$Z70)*INT(Panchanga!$Z70/30+1)&amp;"V,"&amp;SIGN(AA71-Panchanga!$AA70)*INT(Panchanga!$AA70/30+1)&amp;"S,"&amp;INT(Panchanga!$AB70/30+1)&amp;"R"</f>
        <v>12Ma,12Me,1J, 1V,11S,12R</v>
      </c>
      <c r="U70" s="4">
        <f t="shared" si="22"/>
        <v>16.930716631869949</v>
      </c>
      <c r="V70" s="4">
        <f t="shared" si="23"/>
        <v>280.95413773237522</v>
      </c>
      <c r="W70" s="4">
        <f>Planet(Panchanga!$G70,4)</f>
        <v>336.08617751643021</v>
      </c>
      <c r="X70" s="4">
        <f>Planet(Panchanga!$G70,2)</f>
        <v>352.98884843997234</v>
      </c>
      <c r="Y70" s="4">
        <f>Planet(Panchanga!$G70,5)</f>
        <v>29.930128273948654</v>
      </c>
      <c r="Z70" s="4">
        <f>Planet(Panchanga!$G70,3)</f>
        <v>7.6935717258849516</v>
      </c>
      <c r="AA70" s="4">
        <f>Planet(Panchanga!$G70,6)</f>
        <v>322.44334108262063</v>
      </c>
      <c r="AB70" s="4">
        <f>Planet(Panchanga!$G70,10)</f>
        <v>350.2733142716408</v>
      </c>
      <c r="AC70" s="4" t="str">
        <f>TEXT(Panchanga!$C70+($C71-Panchanga!$C70)/ABS(IF($R71&lt;1,$R71+30,$R71)-Panchanga!$R70)*(ROUNDUP(Panchanga!$R70,0)-Panchanga!$R70),"hh:mm AM/PM")</f>
        <v>04:00 AM</v>
      </c>
      <c r="AD70" s="4"/>
    </row>
    <row r="71" spans="1:30" x14ac:dyDescent="0.2">
      <c r="A71" s="3">
        <f t="shared" si="18"/>
        <v>45414</v>
      </c>
      <c r="B71" s="3">
        <f t="shared" si="20"/>
        <v>45414.229166666664</v>
      </c>
      <c r="C71" s="6">
        <f t="shared" si="21"/>
        <v>45414.242161282957</v>
      </c>
      <c r="D71" s="6">
        <f>sunset(Lat,Long,B71)+TimeZone/24-0.000277777777777778</f>
        <v>45413.76692845863</v>
      </c>
      <c r="E71" s="6">
        <f>PlanetRiseSet(Lat,Long,B71,1,1)+TimeZone/24+0.00103009259259259</f>
        <v>45414.049676751871</v>
      </c>
      <c r="F71" s="6">
        <f>PlanetRiseSet(Lat,Long,B71+1,1,2)+TimeZone/24+0.00103009259259259</f>
        <v>45414.540005330149</v>
      </c>
      <c r="G71" s="17">
        <f>Panchanga!$C71-TimeZone/24</f>
        <v>45414.012994616292</v>
      </c>
      <c r="H71" s="13" t="str">
        <f>INT(P[[#This Row],[Sun]]/30)&amp;"s"&amp;ROUNDUP(MOD(P[[#This Row],[Sun]],30),2)</f>
        <v>0s17.91</v>
      </c>
      <c r="I71" s="13" t="str">
        <f>INT(P[[#This Row],[Moon]]/30)&amp;"s"&amp;ROUNDUP(MOD(P[[#This Row],[Moon]],30),2)</f>
        <v>9s24.88</v>
      </c>
      <c r="J71" s="14">
        <f t="shared" si="17"/>
        <v>45414.012994616292</v>
      </c>
      <c r="K71" s="10" t="str">
        <f>naks(P[[#This Row],[Moon]])</f>
        <v>Dhanistha</v>
      </c>
      <c r="L71" s="15">
        <f>(C72-P[[#This Row],[SunRise]])/(MOD(360+V72-P[[#This Row],[Moon]],360))*(13.3333333333333-MOD(P[[#This Row],[Moon]],13.333333333333))+P[[#This Row],[SunRise]]</f>
        <v>45415.074413118084</v>
      </c>
      <c r="M71" s="4" t="str">
        <f>IF(Panchanga!$R71&gt;15,"K","S")&amp;ROUNDUP(MOD(Panchanga!$R71,15),0)&amp;" ("&amp;ROUND(Panchanga!$R71,2)&amp;")"</f>
        <v>K9 (23.08)</v>
      </c>
      <c r="N71" s="4">
        <f>IF(AND(Panchanga!$R71&lt;28.5,Panchanga!$R71&gt;0.49999),MOD((Panchanga!$R71-0.5)*2,7),MOD((Panchanga!$R71+30-28.5),30)*2+7)</f>
        <v>3.1617999999999995</v>
      </c>
      <c r="O71" s="4" t="str">
        <f>CHOOSE(ROUNDUP(Panchanga!$N71,0),"Bhava","Baalava","Kaulava","Taitula","Garija","Vanija","Vishti","Shakuni","Chatushapda","Naaga","Kimstugna")</f>
        <v>Taitula</v>
      </c>
      <c r="P71" s="11" t="str">
        <f>CHOOSE(ROUNDUP(Panchanga!$S71,0),"viṣkambha","prīti","āyuṣmāna","saubhāgya","śobhana","atigaṇḍa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("&amp;Panchanga!$S71&amp;")"</f>
        <v>śukla (23.46)</v>
      </c>
      <c r="Q71" s="4">
        <f>IF(AND(Panchanga!$R71&lt;28.5,Panchanga!$R71&gt;0.49999),MOD((Panchanga!$R71-0.5)*2,7),MOD((Panchanga!$R71+30-28.5),30)*2+7)</f>
        <v>3.1617999999999995</v>
      </c>
      <c r="R71" s="4">
        <f>ROUNDUP(MOD(360+P[[#This Row],[Moon]]-P[[#This Row],[Sun]],360)/12,4)</f>
        <v>23.0809</v>
      </c>
      <c r="S71" s="4">
        <f>ROUNDUP(MOD(P[[#This Row],[Sun]]+P[[#This Row],[Moon]],360)/13.333333333,2)</f>
        <v>23.46</v>
      </c>
      <c r="T71" s="4" t="str">
        <f>SIGN(W72-Panchanga!$W71)*INT(Panchanga!$W71/30+1)&amp;"Ma,"&amp;SIGN(X72-Panchanga!$X71)*INT(Panchanga!$X71/30+1)&amp;"Me,"&amp;SIGN(Y72-Panchanga!$Y71)*INT(Panchanga!$Y71/30+1)&amp;"J, "&amp;SIGN(Z72-Panchanga!$Z71)*INT(Panchanga!$Z71/30+1)&amp;"V,"&amp;SIGN(AA72-Panchanga!$AA71)*INT(Panchanga!$AA71/30+1)&amp;"S,"&amp;INT(Panchanga!$AB71/30+1)&amp;"R"</f>
        <v>12Ma,12Me,2J, 1V,11S,12R</v>
      </c>
      <c r="U71" s="4">
        <f t="shared" si="22"/>
        <v>17.900960231114531</v>
      </c>
      <c r="V71" s="4">
        <f t="shared" si="23"/>
        <v>294.87139406600193</v>
      </c>
      <c r="W71" s="4">
        <f>Planet(Panchanga!$G71,4)</f>
        <v>336.85639379599291</v>
      </c>
      <c r="X71" s="4">
        <f>Planet(Panchanga!$G71,2)</f>
        <v>353.45349352482702</v>
      </c>
      <c r="Y71" s="4">
        <f>Planet(Panchanga!$G71,5)</f>
        <v>30.163697907878223</v>
      </c>
      <c r="Z71" s="4">
        <f>Planet(Panchanga!$G71,3)</f>
        <v>8.9251653783893268</v>
      </c>
      <c r="AA71" s="4">
        <f>Planet(Panchanga!$G71,6)</f>
        <v>322.53009139456225</v>
      </c>
      <c r="AB71" s="4">
        <f>Planet(Panchanga!$G71,10)</f>
        <v>350.22033804354061</v>
      </c>
      <c r="AC71" s="4" t="str">
        <f>TEXT(Panchanga!$C71+($C72-Panchanga!$C71)/ABS(IF($R72&lt;1,$R72+30,$R72)-Panchanga!$R71)*(ROUNDUP(Panchanga!$R71,0)-Panchanga!$R71),"hh:mm AM/PM")</f>
        <v>01:51 AM</v>
      </c>
      <c r="AD71" s="4"/>
    </row>
    <row r="72" spans="1:30" x14ac:dyDescent="0.2">
      <c r="A72" s="3">
        <f t="shared" si="18"/>
        <v>45415</v>
      </c>
      <c r="B72" s="3">
        <f t="shared" si="20"/>
        <v>45415.229166666664</v>
      </c>
      <c r="C72" s="6">
        <f t="shared" si="21"/>
        <v>45415.241872808583</v>
      </c>
      <c r="D72" s="6">
        <f>sunset(Lat,Long,B72)+TimeZone/24-0.000277777777777778</f>
        <v>45414.767070477872</v>
      </c>
      <c r="E72" s="6">
        <f>PlanetRiseSet(Lat,Long,B72,1,1)+TimeZone/24+0.00103009259259259</f>
        <v>45415.081832231175</v>
      </c>
      <c r="F72" s="6">
        <f>PlanetRiseSet(Lat,Long,B72+1,1,2)+TimeZone/24+0.00103009259259259</f>
        <v>45415.580260607101</v>
      </c>
      <c r="G72" s="17">
        <f>Panchanga!$C72-TimeZone/24</f>
        <v>45415.012706141919</v>
      </c>
      <c r="H72" s="13" t="str">
        <f>INT(P[[#This Row],[Sun]]/30)&amp;"s"&amp;ROUNDUP(MOD(P[[#This Row],[Sun]],30),2)</f>
        <v>0s18.88</v>
      </c>
      <c r="I72" s="13" t="str">
        <f>INT(P[[#This Row],[Moon]]/30)&amp;"s"&amp;ROUNDUP(MOD(P[[#This Row],[Moon]],30),2)</f>
        <v>10s9.05</v>
      </c>
      <c r="J72" s="14">
        <f t="shared" si="17"/>
        <v>45415.012706141919</v>
      </c>
      <c r="K72" s="10" t="str">
        <f>naks(P[[#This Row],[Moon]])</f>
        <v>Satabhisaj</v>
      </c>
      <c r="L72" s="15">
        <f>(C73-P[[#This Row],[SunRise]])/(MOD(360+V73-P[[#This Row],[Moon]],360))*(13.3333333333333-MOD(P[[#This Row],[Moon]],13.333333333333))+P[[#This Row],[SunRise]]</f>
        <v>45416.003047872633</v>
      </c>
      <c r="M72" s="4" t="str">
        <f>IF(Panchanga!$R72&gt;15,"K","S")&amp;ROUNDUP(MOD(Panchanga!$R72,15),0)&amp;" ("&amp;ROUND(Panchanga!$R72,2)&amp;")"</f>
        <v>K10 (24.18)</v>
      </c>
      <c r="N72" s="4">
        <f>IF(AND(Panchanga!$R72&lt;28.5,Panchanga!$R72&gt;0.49999),MOD((Panchanga!$R72-0.5)*2,7),MOD((Panchanga!$R72+30-28.5),30)*2+7)</f>
        <v>5.3616000000000028</v>
      </c>
      <c r="O72" s="4" t="str">
        <f>CHOOSE(ROUNDUP(Panchanga!$N72,0),"Bhava","Baalava","Kaulava","Taitula","Garija","Vanija","Vishti","Shakuni","Chatushapda","Naaga","Kimstugna")</f>
        <v>Vanija</v>
      </c>
      <c r="P72" s="11" t="str">
        <f>CHOOSE(ROUNDUP(Panchanga!$S72,0),"viṣkambha","prīti","āyuṣmāna","saubhāgya","śobhana","atigaṇḍa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("&amp;Panchanga!$S72&amp;")"</f>
        <v>brahma (24.6)</v>
      </c>
      <c r="Q72" s="4">
        <f>IF(AND(Panchanga!$R72&lt;28.5,Panchanga!$R72&gt;0.49999),MOD((Panchanga!$R72-0.5)*2,7),MOD((Panchanga!$R72+30-28.5),30)*2+7)</f>
        <v>5.3616000000000028</v>
      </c>
      <c r="R72" s="4">
        <f>ROUNDUP(MOD(360+P[[#This Row],[Moon]]-P[[#This Row],[Sun]],360)/12,4)</f>
        <v>24.180800000000001</v>
      </c>
      <c r="S72" s="4">
        <f>ROUNDUP(MOD(P[[#This Row],[Sun]]+P[[#This Row],[Moon]],360)/13.333333333,2)</f>
        <v>24.6</v>
      </c>
      <c r="T72" s="4" t="str">
        <f>SIGN(W73-Panchanga!$W72)*INT(Panchanga!$W72/30+1)&amp;"Ma,"&amp;SIGN(X73-Panchanga!$X72)*INT(Panchanga!$X72/30+1)&amp;"Me,"&amp;SIGN(Y73-Panchanga!$Y72)*INT(Panchanga!$Y72/30+1)&amp;"J, "&amp;SIGN(Z73-Panchanga!$Z72)*INT(Panchanga!$Z72/30+1)&amp;"V,"&amp;SIGN(AA73-Panchanga!$AA72)*INT(Panchanga!$AA72/30+1)&amp;"S,"&amp;INT(Panchanga!$AB72/30+1)&amp;"R"</f>
        <v>12Ma,12Me,2J, 1V,11S,12R</v>
      </c>
      <c r="U72" s="4">
        <f t="shared" si="22"/>
        <v>18.870814001870176</v>
      </c>
      <c r="V72" s="4">
        <f t="shared" si="23"/>
        <v>309.04002604625725</v>
      </c>
      <c r="W72" s="4">
        <f>Planet(Panchanga!$G72,4)</f>
        <v>337.62618722268991</v>
      </c>
      <c r="X72" s="4">
        <f>Planet(Panchanga!$G72,2)</f>
        <v>353.98762642481898</v>
      </c>
      <c r="Y72" s="4">
        <f>Planet(Panchanga!$G72,5)</f>
        <v>30.397578223438561</v>
      </c>
      <c r="Z72" s="4">
        <f>Planet(Panchanga!$G72,3)</f>
        <v>10.156685826014586</v>
      </c>
      <c r="AA72" s="4">
        <f>Planet(Panchanga!$G72,6)</f>
        <v>322.61573911784507</v>
      </c>
      <c r="AB72" s="4">
        <f>Planet(Panchanga!$G72,10)</f>
        <v>350.16736134303346</v>
      </c>
      <c r="AC72" s="4" t="str">
        <f>TEXT(Panchanga!$C72+($C73-Panchanga!$C72)/ABS(IF($R73&lt;1,$R73+30,$R73)-Panchanga!$R72)*(ROUNDUP(Panchanga!$R72,0)-Panchanga!$R72),"hh:mm AM/PM")</f>
        <v>11:22 PM</v>
      </c>
      <c r="AD72" s="4"/>
    </row>
    <row r="73" spans="1:30" x14ac:dyDescent="0.2">
      <c r="A73" s="3">
        <f t="shared" si="18"/>
        <v>45416</v>
      </c>
      <c r="B73" s="3">
        <f t="shared" si="20"/>
        <v>45416.229166666664</v>
      </c>
      <c r="C73" s="6">
        <f t="shared" si="21"/>
        <v>45416.241593402032</v>
      </c>
      <c r="D73" s="6">
        <f>sunset(Lat,Long,B73)+TimeZone/24-0.000277777777777778</f>
        <v>45415.7672166415</v>
      </c>
      <c r="E73" s="6">
        <f>PlanetRiseSet(Lat,Long,B73,1,1)+TimeZone/24+0.00103009259259259</f>
        <v>45416.112133308467</v>
      </c>
      <c r="F73" s="6">
        <f>PlanetRiseSet(Lat,Long,B73+1,1,2)+TimeZone/24+0.00103009259259259</f>
        <v>45416.619701465745</v>
      </c>
      <c r="G73" s="17">
        <f>Panchanga!$C73-TimeZone/24</f>
        <v>45416.012426735368</v>
      </c>
      <c r="H73" s="13" t="str">
        <f>INT(P[[#This Row],[Sun]]/30)&amp;"s"&amp;ROUNDUP(MOD(P[[#This Row],[Sun]],30),2)</f>
        <v>0s19.85</v>
      </c>
      <c r="I73" s="13" t="str">
        <f>INT(P[[#This Row],[Moon]]/30)&amp;"s"&amp;ROUNDUP(MOD(P[[#This Row],[Moon]],30),2)</f>
        <v>10s23.44</v>
      </c>
      <c r="J73" s="14">
        <f t="shared" si="17"/>
        <v>45416.012426735368</v>
      </c>
      <c r="K73" s="10" t="str">
        <f>naks(P[[#This Row],[Moon]])</f>
        <v>Purva Bhadrapada</v>
      </c>
      <c r="L73" s="15">
        <f>(C74-P[[#This Row],[SunRise]])/(MOD(360+V74-P[[#This Row],[Moon]],360))*(13.3333333333333-MOD(P[[#This Row],[Moon]],13.333333333333))+P[[#This Row],[SunRise]]</f>
        <v>45416.920633412185</v>
      </c>
      <c r="M73" s="4" t="str">
        <f>IF(Panchanga!$R73&gt;15,"K","S")&amp;ROUNDUP(MOD(Panchanga!$R73,15),0)&amp;" ("&amp;ROUND(Panchanga!$R73,2)&amp;")"</f>
        <v>K11 (25.3)</v>
      </c>
      <c r="N73" s="4">
        <f>IF(AND(Panchanga!$R73&lt;28.5,Panchanga!$R73&gt;0.49999),MOD((Panchanga!$R73-0.5)*2,7),MOD((Panchanga!$R73+30-28.5),30)*2+7)</f>
        <v>0.59919999999999618</v>
      </c>
      <c r="O73" s="4" t="str">
        <f>CHOOSE(ROUNDUP(Panchanga!$N73,0),"Bhava","Baalava","Kaulava","Taitula","Garija","Vanija","Vishti","Shakuni","Chatushapda","Naaga","Kimstugna")</f>
        <v>Bhava</v>
      </c>
      <c r="P73" s="11" t="str">
        <f>CHOOSE(ROUNDUP(Panchanga!$S73,0),"viṣkambha","prīti","āyuṣmāna","saubhāgya","śobhana","atigaṇḍa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("&amp;Panchanga!$S73&amp;")"</f>
        <v>mahendra (25.75)</v>
      </c>
      <c r="Q73" s="4">
        <f>IF(AND(Panchanga!$R73&lt;28.5,Panchanga!$R73&gt;0.49999),MOD((Panchanga!$R73-0.5)*2,7),MOD((Panchanga!$R73+30-28.5),30)*2+7)</f>
        <v>0.59919999999999618</v>
      </c>
      <c r="R73" s="4">
        <f>ROUNDUP(MOD(360+P[[#This Row],[Moon]]-P[[#This Row],[Sun]],360)/12,4)</f>
        <v>25.299599999999998</v>
      </c>
      <c r="S73" s="4">
        <f>ROUNDUP(MOD(P[[#This Row],[Sun]]+P[[#This Row],[Moon]],360)/13.333333333,2)</f>
        <v>25.75</v>
      </c>
      <c r="T73" s="4" t="str">
        <f>SIGN(W74-Panchanga!$W73)*INT(Panchanga!$W73/30+1)&amp;"Ma,"&amp;SIGN(X74-Panchanga!$X73)*INT(Panchanga!$X73/30+1)&amp;"Me,"&amp;SIGN(Y74-Panchanga!$Y73)*INT(Panchanga!$Y73/30+1)&amp;"J, "&amp;SIGN(Z74-Panchanga!$Z73)*INT(Panchanga!$Z73/30+1)&amp;"V,"&amp;SIGN(AA74-Panchanga!$AA73)*INT(Panchanga!$AA73/30+1)&amp;"S,"&amp;INT(Panchanga!$AB73/30+1)&amp;"R"</f>
        <v>12Ma,12Me,2J, 1V,11S,12R</v>
      </c>
      <c r="U73" s="4">
        <f t="shared" si="22"/>
        <v>19.840280197204489</v>
      </c>
      <c r="V73" s="4">
        <f t="shared" si="23"/>
        <v>323.43475885175656</v>
      </c>
      <c r="W73" s="4">
        <f>Planet(Panchanga!$G73,4)</f>
        <v>338.39553694766477</v>
      </c>
      <c r="X73" s="4">
        <f>Planet(Panchanga!$G73,2)</f>
        <v>354.58861394802477</v>
      </c>
      <c r="Y73" s="4">
        <f>Planet(Panchanga!$G73,5)</f>
        <v>30.631749364446019</v>
      </c>
      <c r="Z73" s="4">
        <f>Planet(Panchanga!$G73,3)</f>
        <v>11.388131622121101</v>
      </c>
      <c r="AA73" s="4">
        <f>Planet(Panchanga!$G73,6)</f>
        <v>322.70026652113972</v>
      </c>
      <c r="AB73" s="4">
        <f>Planet(Panchanga!$G73,10)</f>
        <v>350.11438416196762</v>
      </c>
      <c r="AC73" s="4" t="str">
        <f>TEXT(Panchanga!$C73+($C74-Panchanga!$C73)/ABS(IF($R74&lt;1,$R74+30,$R74)-Panchanga!$R73)*(ROUNDUP(Panchanga!$R73,0)-Panchanga!$R73),"hh:mm AM/PM")</f>
        <v>08:37 PM</v>
      </c>
      <c r="AD73" s="4"/>
    </row>
    <row r="74" spans="1:30" x14ac:dyDescent="0.2">
      <c r="A74" s="3">
        <f t="shared" si="18"/>
        <v>45417</v>
      </c>
      <c r="B74" s="3">
        <f t="shared" si="20"/>
        <v>45417.229166666664</v>
      </c>
      <c r="C74" s="6">
        <f t="shared" si="21"/>
        <v>45417.241323192291</v>
      </c>
      <c r="D74" s="6">
        <f>sunset(Lat,Long,B74)+TimeZone/24-0.000277777777777778</f>
        <v>45416.767366921107</v>
      </c>
      <c r="E74" s="6">
        <f>PlanetRiseSet(Lat,Long,B74,1,1)+TimeZone/24+0.00103009259259259</f>
        <v>45417.141525645893</v>
      </c>
      <c r="F74" s="6">
        <f>PlanetRiseSet(Lat,Long,B74+1,1,2)+TimeZone/24+0.00103009259259259</f>
        <v>45417.659006264679</v>
      </c>
      <c r="G74" s="17">
        <f>Panchanga!$C74-TimeZone/24</f>
        <v>45417.012156525627</v>
      </c>
      <c r="H74" s="13" t="str">
        <f>INT(P[[#This Row],[Sun]]/30)&amp;"s"&amp;ROUNDUP(MOD(P[[#This Row],[Sun]],30),2)</f>
        <v>0s20.81</v>
      </c>
      <c r="I74" s="13" t="str">
        <f>INT(P[[#This Row],[Moon]]/30)&amp;"s"&amp;ROUNDUP(MOD(P[[#This Row],[Moon]],30),2)</f>
        <v>11s8.01</v>
      </c>
      <c r="J74" s="14">
        <f t="shared" ref="J74:J137" si="24">G74</f>
        <v>45417.012156525627</v>
      </c>
      <c r="K74" s="10" t="str">
        <f>naks(P[[#This Row],[Moon]])</f>
        <v>Uttara Bhadrapada</v>
      </c>
      <c r="L74" s="15">
        <f>(C75-P[[#This Row],[SunRise]])/(MOD(360+V75-P[[#This Row],[Moon]],360))*(13.3333333333333-MOD(P[[#This Row],[Moon]],13.333333333333))+P[[#This Row],[SunRise]]</f>
        <v>45417.831001426275</v>
      </c>
      <c r="M74" s="4" t="str">
        <f>IF(Panchanga!$R74&gt;15,"K","S")&amp;ROUNDUP(MOD(Panchanga!$R74,15),0)&amp;" ("&amp;ROUND(Panchanga!$R74,2)&amp;")"</f>
        <v>K12 (26.43)</v>
      </c>
      <c r="N74" s="4">
        <f>IF(AND(Panchanga!$R74&lt;28.5,Panchanga!$R74&gt;0.49999),MOD((Panchanga!$R74-0.5)*2,7),MOD((Panchanga!$R74+30-28.5),30)*2+7)</f>
        <v>2.8665999999999983</v>
      </c>
      <c r="O74" s="4" t="str">
        <f>CHOOSE(ROUNDUP(Panchanga!$N74,0),"Bhava","Baalava","Kaulava","Taitula","Garija","Vanija","Vishti","Shakuni","Chatushapda","Naaga","Kimstugna")</f>
        <v>Kaulava</v>
      </c>
      <c r="P74" s="11" t="str">
        <f>CHOOSE(ROUNDUP(Panchanga!$S74,0),"viṣkambha","prīti","āyuṣmāna","saubhāgya","śobhana","atigaṇḍa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("&amp;Panchanga!$S74&amp;")"</f>
        <v>vaidhṛti (26.92)</v>
      </c>
      <c r="Q74" s="4">
        <f>IF(AND(Panchanga!$R74&lt;28.5,Panchanga!$R74&gt;0.49999),MOD((Panchanga!$R74-0.5)*2,7),MOD((Panchanga!$R74+30-28.5),30)*2+7)</f>
        <v>2.8665999999999983</v>
      </c>
      <c r="R74" s="4">
        <f>ROUNDUP(MOD(360+P[[#This Row],[Moon]]-P[[#This Row],[Sun]],360)/12,4)</f>
        <v>26.433299999999999</v>
      </c>
      <c r="S74" s="4">
        <f>ROUNDUP(MOD(P[[#This Row],[Sun]]+P[[#This Row],[Moon]],360)/13.333333333,2)</f>
        <v>26.92</v>
      </c>
      <c r="T74" s="4" t="str">
        <f>SIGN(W75-Panchanga!$W74)*INT(Panchanga!$W74/30+1)&amp;"Ma,"&amp;SIGN(X75-Panchanga!$X74)*INT(Panchanga!$X74/30+1)&amp;"Me,"&amp;SIGN(Y75-Panchanga!$Y74)*INT(Panchanga!$Y74/30+1)&amp;"J, "&amp;SIGN(Z75-Panchanga!$Z74)*INT(Panchanga!$Z74/30+1)&amp;"V,"&amp;SIGN(AA75-Panchanga!$AA74)*INT(Panchanga!$AA74/30+1)&amp;"S,"&amp;INT(Panchanga!$AB74/30+1)&amp;"R"</f>
        <v>12Ma,12Me,2J, 1V,11S,12R</v>
      </c>
      <c r="U74" s="4">
        <f t="shared" si="22"/>
        <v>20.809355925966596</v>
      </c>
      <c r="V74" s="4">
        <f t="shared" si="23"/>
        <v>338.00812660971104</v>
      </c>
      <c r="W74" s="4">
        <f>Planet(Panchanga!$G74,4)</f>
        <v>339.16442011544899</v>
      </c>
      <c r="X74" s="4">
        <f>Planet(Panchanga!$G74,2)</f>
        <v>355.25385354825278</v>
      </c>
      <c r="Y74" s="4">
        <f>Planet(Panchanga!$G74,5)</f>
        <v>30.866190504540288</v>
      </c>
      <c r="Z74" s="4">
        <f>Planet(Panchanga!$G74,3)</f>
        <v>12.619498606906555</v>
      </c>
      <c r="AA74" s="4">
        <f>Planet(Panchanga!$G74,6)</f>
        <v>322.7836556632958</v>
      </c>
      <c r="AB74" s="4">
        <f>Planet(Panchanga!$G74,10)</f>
        <v>350.06140649356638</v>
      </c>
      <c r="AC74" s="4" t="str">
        <f>TEXT(Panchanga!$C74+($C75-Panchanga!$C74)/ABS(IF($R75&lt;1,$R75+30,$R75)-Panchanga!$R74)*(ROUNDUP(Panchanga!$R74,0)-Panchanga!$R74),"hh:mm AM/PM")</f>
        <v>05:41 PM</v>
      </c>
      <c r="AD74" s="4"/>
    </row>
    <row r="75" spans="1:30" x14ac:dyDescent="0.2">
      <c r="A75" s="3">
        <f t="shared" ref="A75:A138" si="25">A74+1</f>
        <v>45418</v>
      </c>
      <c r="B75" s="3">
        <f t="shared" si="20"/>
        <v>45418.229166666664</v>
      </c>
      <c r="C75" s="6">
        <f t="shared" si="21"/>
        <v>45418.241062288791</v>
      </c>
      <c r="D75" s="6">
        <f>sunset(Lat,Long,B75)+TimeZone/24-0.000277777777777778</f>
        <v>45417.767521264075</v>
      </c>
      <c r="E75" s="6">
        <f>PlanetRiseSet(Lat,Long,B75,1,1)+TimeZone/24+0.00103009259259259</f>
        <v>45418.171059324559</v>
      </c>
      <c r="F75" s="6">
        <f>PlanetRiseSet(Lat,Long,B75+1,1,2)+TimeZone/24+0.00103009259259259</f>
        <v>45418.698972623482</v>
      </c>
      <c r="G75" s="17">
        <f>Panchanga!$C75-TimeZone/24</f>
        <v>45418.011895622127</v>
      </c>
      <c r="H75" s="13" t="str">
        <f>INT(P[[#This Row],[Sun]]/30)&amp;"s"&amp;ROUNDUP(MOD(P[[#This Row],[Sun]],30),2)</f>
        <v>0s21.78</v>
      </c>
      <c r="I75" s="13" t="str">
        <f>INT(P[[#This Row],[Moon]]/30)&amp;"s"&amp;ROUNDUP(MOD(P[[#This Row],[Moon]],30),2)</f>
        <v>11s22.69</v>
      </c>
      <c r="J75" s="14">
        <f t="shared" si="24"/>
        <v>45418.011895622127</v>
      </c>
      <c r="K75" s="10" t="str">
        <f>naks(P[[#This Row],[Moon]])</f>
        <v>Revati</v>
      </c>
      <c r="L75" s="15">
        <f>(C76-P[[#This Row],[SunRise]])/(MOD(360+V76-P[[#This Row],[Moon]],360))*(13.3333333333333-MOD(P[[#This Row],[Moon]],13.333333333333))+P[[#This Row],[SunRise]]</f>
        <v>45418.738675506487</v>
      </c>
      <c r="M75" s="4" t="str">
        <f>IF(Panchanga!$R75&gt;15,"K","S")&amp;ROUNDUP(MOD(Panchanga!$R75,15),0)&amp;" ("&amp;ROUND(Panchanga!$R75,2)&amp;")"</f>
        <v>K13 (27.58)</v>
      </c>
      <c r="N75" s="4">
        <f>IF(AND(Panchanga!$R75&lt;28.5,Panchanga!$R75&gt;0.49999),MOD((Panchanga!$R75-0.5)*2,7),MOD((Panchanga!$R75+30-28.5),30)*2+7)</f>
        <v>5.1518000000000015</v>
      </c>
      <c r="O75" s="4" t="str">
        <f>CHOOSE(ROUNDUP(Panchanga!$N75,0),"Bhava","Baalava","Kaulava","Taitula","Garija","Vanija","Vishti","Shakuni","Chatushapda","Naaga","Kimstugna")</f>
        <v>Vanija</v>
      </c>
      <c r="P75" s="11" t="str">
        <f>CHOOSE(ROUNDUP(Panchanga!$S75,0),"viṣkambha","prīti","āyuṣmāna","saubhāgya","śobhana","atigaṇḍa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("&amp;Panchanga!$S75&amp;")"</f>
        <v>prīti (1.09)</v>
      </c>
      <c r="Q75" s="4">
        <f>IF(AND(Panchanga!$R75&lt;28.5,Panchanga!$R75&gt;0.49999),MOD((Panchanga!$R75-0.5)*2,7),MOD((Panchanga!$R75+30-28.5),30)*2+7)</f>
        <v>5.1518000000000015</v>
      </c>
      <c r="R75" s="4">
        <f>ROUNDUP(MOD(360+P[[#This Row],[Moon]]-P[[#This Row],[Sun]],360)/12,4)</f>
        <v>27.575900000000001</v>
      </c>
      <c r="S75" s="4">
        <f>ROUNDUP(MOD(P[[#This Row],[Sun]]+P[[#This Row],[Moon]],360)/13.333333333,2)</f>
        <v>1.0900000000000001</v>
      </c>
      <c r="T75" s="4" t="str">
        <f>SIGN(W76-Panchanga!$W75)*INT(Panchanga!$W75/30+1)&amp;"Ma,"&amp;SIGN(X76-Panchanga!$X75)*INT(Panchanga!$X75/30+1)&amp;"Me,"&amp;SIGN(Y76-Panchanga!$Y75)*INT(Panchanga!$Y75/30+1)&amp;"J, "&amp;SIGN(Z76-Panchanga!$Z75)*INT(Panchanga!$Z75/30+1)&amp;"V,"&amp;SIGN(AA76-Panchanga!$AA75)*INT(Panchanga!$AA75/30+1)&amp;"S,"&amp;INT(Panchanga!$AB75/30+1)&amp;"R"</f>
        <v>12Ma,12Me,2J, 1V,11S,12R</v>
      </c>
      <c r="U75" s="4">
        <f t="shared" si="22"/>
        <v>21.778033162093614</v>
      </c>
      <c r="V75" s="4">
        <f t="shared" si="23"/>
        <v>352.6877951385938</v>
      </c>
      <c r="W75" s="4">
        <f>Planet(Panchanga!$G75,4)</f>
        <v>339.93281248931311</v>
      </c>
      <c r="X75" s="4">
        <f>Planet(Panchanga!$G75,2)</f>
        <v>355.98081005970988</v>
      </c>
      <c r="Y75" s="4">
        <f>Planet(Panchanga!$G75,5)</f>
        <v>31.100879793349968</v>
      </c>
      <c r="Z75" s="4">
        <f>Planet(Panchanga!$G75,3)</f>
        <v>13.850780048891457</v>
      </c>
      <c r="AA75" s="4">
        <f>Planet(Panchanga!$G75,6)</f>
        <v>322.86588858430116</v>
      </c>
      <c r="AB75" s="4">
        <f>Planet(Panchanga!$G75,10)</f>
        <v>350.00842833199766</v>
      </c>
      <c r="AC75" s="4" t="str">
        <f>TEXT(Panchanga!$C75+($C76-Panchanga!$C75)/ABS(IF($R76&lt;1,$R76+30,$R76)-Panchanga!$R75)*(ROUNDUP(Panchanga!$R75,0)-Panchanga!$R75),"hh:mm AM/PM")</f>
        <v>02:41 PM</v>
      </c>
      <c r="AD75" s="4"/>
    </row>
    <row r="76" spans="1:30" x14ac:dyDescent="0.2">
      <c r="A76" s="3">
        <f t="shared" si="25"/>
        <v>45419</v>
      </c>
      <c r="B76" s="3">
        <f t="shared" si="20"/>
        <v>45419.229166666664</v>
      </c>
      <c r="C76" s="6">
        <f t="shared" si="21"/>
        <v>45419.240810776748</v>
      </c>
      <c r="D76" s="6">
        <f>sunset(Lat,Long,B76)+TimeZone/24-0.000277777777777778</f>
        <v>45418.767679595432</v>
      </c>
      <c r="E76" s="6">
        <f>PlanetRiseSet(Lat,Long,B76,1,1)+TimeZone/24+0.00103009259259259</f>
        <v>45419.201789762046</v>
      </c>
      <c r="F76" s="6">
        <f>PlanetRiseSet(Lat,Long,B76+1,1,2)+TimeZone/24+0.00103009259259259</f>
        <v>45419.740260108527</v>
      </c>
      <c r="G76" s="17">
        <f>Panchanga!$C76-TimeZone/24</f>
        <v>45419.011644110084</v>
      </c>
      <c r="H76" s="13" t="str">
        <f>INT(P[[#This Row],[Sun]]/30)&amp;"s"&amp;ROUNDUP(MOD(P[[#This Row],[Sun]],30),2)</f>
        <v>0s22.75</v>
      </c>
      <c r="I76" s="13" t="str">
        <f>INT(P[[#This Row],[Moon]]/30)&amp;"s"&amp;ROUNDUP(MOD(P[[#This Row],[Moon]],30),2)</f>
        <v>0s7.38</v>
      </c>
      <c r="J76" s="14">
        <f t="shared" si="24"/>
        <v>45419.011644110084</v>
      </c>
      <c r="K76" s="10" t="str">
        <f>naks(P[[#This Row],[Moon]])</f>
        <v>Aswini</v>
      </c>
      <c r="L76" s="15">
        <f>(C77-P[[#This Row],[SunRise]])/(MOD(360+V77-P[[#This Row],[Moon]],360))*(13.3333333333333-MOD(P[[#This Row],[Moon]],13.333333333333))+P[[#This Row],[SunRise]]</f>
        <v>45419.648778882474</v>
      </c>
      <c r="M76" s="4" t="str">
        <f>IF(Panchanga!$R76&gt;15,"K","S")&amp;ROUNDUP(MOD(Panchanga!$R76,15),0)&amp;" ("&amp;ROUND(Panchanga!$R76,2)&amp;")"</f>
        <v>K14 (28.72)</v>
      </c>
      <c r="N76" s="4">
        <f>IF(AND(Panchanga!$R76&lt;28.5,Panchanga!$R76&gt;0.49999),MOD((Panchanga!$R76-0.5)*2,7),MOD((Panchanga!$R76+30-28.5),30)*2+7)</f>
        <v>7.4388000000000005</v>
      </c>
      <c r="O76" s="4" t="str">
        <f>CHOOSE(ROUNDUP(Panchanga!$N76,0),"Bhava","Baalava","Kaulava","Taitula","Garija","Vanija","Vishti","Shakuni","Chatushapda","Naaga","Kimstugna")</f>
        <v>Shakuni</v>
      </c>
      <c r="P76" s="11" t="str">
        <f>CHOOSE(ROUNDUP(Panchanga!$S76,0),"viṣkambha","prīti","āyuṣmāna","saubhāgya","śobhana","atigaṇḍa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("&amp;Panchanga!$S76&amp;")"</f>
        <v>āyuṣmāna (2.26)</v>
      </c>
      <c r="Q76" s="4">
        <f>IF(AND(Panchanga!$R76&lt;28.5,Panchanga!$R76&gt;0.49999),MOD((Panchanga!$R76-0.5)*2,7),MOD((Panchanga!$R76+30-28.5),30)*2+7)</f>
        <v>7.4388000000000005</v>
      </c>
      <c r="R76" s="4">
        <f>ROUNDUP(MOD(360+P[[#This Row],[Moon]]-P[[#This Row],[Sun]],360)/12,4)</f>
        <v>28.7194</v>
      </c>
      <c r="S76" s="4">
        <f>ROUNDUP(MOD(P[[#This Row],[Sun]]+P[[#This Row],[Moon]],360)/13.333333333,2)</f>
        <v>2.2599999999999998</v>
      </c>
      <c r="T76" s="4" t="str">
        <f>SIGN(W77-Panchanga!$W76)*INT(Panchanga!$W76/30+1)&amp;"Ma,"&amp;SIGN(X77-Panchanga!$X76)*INT(Panchanga!$X76/30+1)&amp;"Me,"&amp;SIGN(Y77-Panchanga!$Y76)*INT(Panchanga!$Y76/30+1)&amp;"J, "&amp;SIGN(Z77-Panchanga!$Z76)*INT(Panchanga!$Z76/30+1)&amp;"V,"&amp;SIGN(AA77-Panchanga!$AA76)*INT(Panchanga!$AA76/30+1)&amp;"S,"&amp;INT(Panchanga!$AB76/30+1)&amp;"R"</f>
        <v>12Ma,12Me,2J, 1V,11S,12R</v>
      </c>
      <c r="U76" s="4">
        <f t="shared" si="22"/>
        <v>22.746299535537748</v>
      </c>
      <c r="V76" s="4">
        <f t="shared" si="23"/>
        <v>7.3786544120040354</v>
      </c>
      <c r="W76" s="4">
        <f>Planet(Panchanga!$G76,4)</f>
        <v>340.70068940359693</v>
      </c>
      <c r="X76" s="4">
        <f>Planet(Panchanga!$G76,2)</f>
        <v>356.76704471651902</v>
      </c>
      <c r="Y76" s="4">
        <f>Planet(Panchanga!$G76,5)</f>
        <v>31.335794454359824</v>
      </c>
      <c r="Z76" s="4">
        <f>Planet(Panchanga!$G76,3)</f>
        <v>15.081967208058991</v>
      </c>
      <c r="AA76" s="4">
        <f>Planet(Panchanga!$G76,6)</f>
        <v>322.94694754807051</v>
      </c>
      <c r="AB76" s="4">
        <f>Planet(Panchanga!$G76,10)</f>
        <v>349.95544967275464</v>
      </c>
      <c r="AC76" s="4" t="str">
        <f>TEXT(Panchanga!$C76+($C77-Panchanga!$C76)/ABS(IF($R77&lt;1,$R77+30,$R77)-Panchanga!$R76)*(ROUNDUP(Panchanga!$R76,0)-Panchanga!$R76),"hh:mm AM/PM")</f>
        <v>11:42 AM</v>
      </c>
      <c r="AD76" s="4"/>
    </row>
    <row r="77" spans="1:30" x14ac:dyDescent="0.2">
      <c r="A77" s="3">
        <f t="shared" si="25"/>
        <v>45420</v>
      </c>
      <c r="B77" s="3">
        <f t="shared" si="20"/>
        <v>45420.229166666664</v>
      </c>
      <c r="C77" s="6">
        <f t="shared" si="21"/>
        <v>45420.240568725545</v>
      </c>
      <c r="D77" s="6">
        <f>sunset(Lat,Long,B77)+TimeZone/24-0.000277777777777778</f>
        <v>45419.767841817389</v>
      </c>
      <c r="E77" s="6">
        <f>PlanetRiseSet(Lat,Long,B77,1,1)+TimeZone/24+0.00103009259259259</f>
        <v>45420.234663145769</v>
      </c>
      <c r="F77" s="6">
        <f>PlanetRiseSet(Lat,Long,B77+1,1,2)+TimeZone/24+0.00103009259259259</f>
        <v>45420.783088903561</v>
      </c>
      <c r="G77" s="17">
        <f>Panchanga!$C77-TimeZone/24</f>
        <v>45420.011402058881</v>
      </c>
      <c r="H77" s="13" t="str">
        <f>INT(P[[#This Row],[Sun]]/30)&amp;"s"&amp;ROUNDUP(MOD(P[[#This Row],[Sun]],30),2)</f>
        <v>0s23.72</v>
      </c>
      <c r="I77" s="13" t="str">
        <f>INT(P[[#This Row],[Moon]]/30)&amp;"s"&amp;ROUNDUP(MOD(P[[#This Row],[Moon]],30),2)</f>
        <v>0s21.98</v>
      </c>
      <c r="J77" s="14">
        <f t="shared" si="24"/>
        <v>45420.011402058881</v>
      </c>
      <c r="K77" s="10" t="str">
        <f>naks(P[[#This Row],[Moon]])</f>
        <v>Bharani</v>
      </c>
      <c r="L77" s="15">
        <f>(C78-P[[#This Row],[SunRise]])/(MOD(360+V78-P[[#This Row],[Moon]],360))*(13.3333333333333-MOD(P[[#This Row],[Moon]],13.333333333333))+P[[#This Row],[SunRise]]</f>
        <v>45420.566950962275</v>
      </c>
      <c r="M77" s="4" t="str">
        <f>IF(Panchanga!$R77&gt;15,"K","S")&amp;ROUNDUP(MOD(Panchanga!$R77,15),0)&amp;" ("&amp;ROUND(Panchanga!$R77,2)&amp;")"</f>
        <v>K15 (29.85)</v>
      </c>
      <c r="N77" s="4">
        <f>IF(AND(Panchanga!$R77&lt;28.5,Panchanga!$R77&gt;0.49999),MOD((Panchanga!$R77-0.5)*2,7),MOD((Panchanga!$R77+30-28.5),30)*2+7)</f>
        <v>9.7095999999999947</v>
      </c>
      <c r="O77" s="4" t="str">
        <f>CHOOSE(ROUNDUP(Panchanga!$N77,0),"Bhava","Baalava","Kaulava","Taitula","Garija","Vanija","Vishti","Shakuni","Chatushapda","Naaga","Kimstugna")</f>
        <v>Naaga</v>
      </c>
      <c r="P77" s="11" t="str">
        <f>CHOOSE(ROUNDUP(Panchanga!$S77,0),"viṣkambha","prīti","āyuṣmāna","saubhāgya","śobhana","atigaṇḍa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("&amp;Panchanga!$S77&amp;")"</f>
        <v>saubhāgya (3.43)</v>
      </c>
      <c r="Q77" s="4">
        <f>IF(AND(Panchanga!$R77&lt;28.5,Panchanga!$R77&gt;0.49999),MOD((Panchanga!$R77-0.5)*2,7),MOD((Panchanga!$R77+30-28.5),30)*2+7)</f>
        <v>9.7095999999999947</v>
      </c>
      <c r="R77" s="4">
        <f>ROUNDUP(MOD(360+P[[#This Row],[Moon]]-P[[#This Row],[Sun]],360)/12,4)</f>
        <v>29.854800000000001</v>
      </c>
      <c r="S77" s="4">
        <f>ROUNDUP(MOD(P[[#This Row],[Sun]]+P[[#This Row],[Moon]],360)/13.333333333,2)</f>
        <v>3.4299999999999997</v>
      </c>
      <c r="T77" s="4" t="str">
        <f>SIGN(W78-Panchanga!$W77)*INT(Panchanga!$W77/30+1)&amp;"Ma,"&amp;SIGN(X78-Panchanga!$X77)*INT(Panchanga!$X77/30+1)&amp;"Me,"&amp;SIGN(Y78-Panchanga!$Y77)*INT(Panchanga!$Y77/30+1)&amp;"J, "&amp;SIGN(Z78-Panchanga!$Z77)*INT(Panchanga!$Z77/30+1)&amp;"V,"&amp;SIGN(AA78-Panchanga!$AA77)*INT(Panchanga!$AA77/30+1)&amp;"S,"&amp;INT(Panchanga!$AB77/30+1)&amp;"R"</f>
        <v>12Ma,12Me,2J, 1V,11S,12R</v>
      </c>
      <c r="U77" s="4">
        <f t="shared" si="22"/>
        <v>23.714139902388702</v>
      </c>
      <c r="V77" s="4">
        <f t="shared" si="23"/>
        <v>21.971063721886495</v>
      </c>
      <c r="W77" s="4">
        <f>Planet(Panchanga!$G77,4)</f>
        <v>341.46802689284465</v>
      </c>
      <c r="X77" s="4">
        <f>Planet(Panchanga!$G77,2)</f>
        <v>357.61023753732417</v>
      </c>
      <c r="Y77" s="4">
        <f>Planet(Panchanga!$G77,5)</f>
        <v>31.570911050998717</v>
      </c>
      <c r="Z77" s="4">
        <f>Planet(Panchanga!$G77,3)</f>
        <v>16.313050303603582</v>
      </c>
      <c r="AA77" s="4">
        <f>Planet(Panchanga!$G77,6)</f>
        <v>323.02681529110743</v>
      </c>
      <c r="AB77" s="4">
        <f>Planet(Panchanga!$G77,10)</f>
        <v>349.90247051220871</v>
      </c>
      <c r="AC77" s="4" t="str">
        <f>TEXT(Panchanga!$C77+($C78-Panchanga!$C77)/ABS(IF($R78&lt;1,$R78+30,$R78)-Panchanga!$R77)*(ROUNDUP(Panchanga!$R77,0)-Panchanga!$R77),"hh:mm AM/PM")</f>
        <v>08:53 AM</v>
      </c>
      <c r="AD77" s="4"/>
    </row>
    <row r="78" spans="1:30" x14ac:dyDescent="0.2">
      <c r="A78" s="3">
        <f t="shared" si="25"/>
        <v>45421</v>
      </c>
      <c r="B78" s="3">
        <f t="shared" si="20"/>
        <v>45421.229166666664</v>
      </c>
      <c r="C78" s="6">
        <f t="shared" si="21"/>
        <v>45421.240336190131</v>
      </c>
      <c r="D78" s="6">
        <f>sunset(Lat,Long,B78)+TimeZone/24-0.000277777777777778</f>
        <v>45420.768007814928</v>
      </c>
      <c r="E78" s="6">
        <f>PlanetRiseSet(Lat,Long,B78,1,1)+TimeZone/24+0.00103009259259259</f>
        <v>45421.270310389962</v>
      </c>
      <c r="F78" s="6">
        <f>PlanetRiseSet(Lat,Long,B78+1,1,2)+TimeZone/24+0.00103009259259259</f>
        <v>45421.826937189944</v>
      </c>
      <c r="G78" s="17">
        <f>Panchanga!$C78-TimeZone/24</f>
        <v>45421.011169523466</v>
      </c>
      <c r="H78" s="13" t="str">
        <f>INT(P[[#This Row],[Sun]]/30)&amp;"s"&amp;ROUNDUP(MOD(P[[#This Row],[Sun]],30),2)</f>
        <v>0s24.69</v>
      </c>
      <c r="I78" s="13" t="str">
        <f>INT(P[[#This Row],[Moon]]/30)&amp;"s"&amp;ROUNDUP(MOD(P[[#This Row],[Moon]],30),2)</f>
        <v>1s6.36</v>
      </c>
      <c r="J78" s="14">
        <f t="shared" si="24"/>
        <v>45421.011169523466</v>
      </c>
      <c r="K78" s="10" t="str">
        <f>naks(P[[#This Row],[Moon]])</f>
        <v>Krittika</v>
      </c>
      <c r="L78" s="15">
        <f>(C79-P[[#This Row],[SunRise]])/(MOD(360+V79-P[[#This Row],[Moon]],360))*(13.3333333333333-MOD(P[[#This Row],[Moon]],13.333333333333))+P[[#This Row],[SunRise]]</f>
        <v>45421.499206644134</v>
      </c>
      <c r="M78" s="4" t="str">
        <f>IF(Panchanga!$R78&gt;15,"K","S")&amp;ROUNDUP(MOD(Panchanga!$R78,15),0)&amp;" ("&amp;ROUND(Panchanga!$R78,2)&amp;")"</f>
        <v>S1 (0.97)</v>
      </c>
      <c r="N78" s="4">
        <f>IF(AND(Panchanga!$R78&lt;28.5,Panchanga!$R78&gt;0.49999),MOD((Panchanga!$R78-0.5)*2,7),MOD((Panchanga!$R78+30-28.5),30)*2+7)</f>
        <v>0.9456</v>
      </c>
      <c r="O78" s="4" t="str">
        <f>CHOOSE(ROUNDUP(Panchanga!$N78,0),"Bhava","Baalava","Kaulava","Taitula","Garija","Vanija","Vishti","Shakuni","Chatushapda","Naaga","Kimstugna")</f>
        <v>Bhava</v>
      </c>
      <c r="P78" s="11" t="str">
        <f>CHOOSE(ROUNDUP(Panchanga!$S78,0),"viṣkambha","prīti","āyuṣmāna","saubhāgya","śobhana","atigaṇḍa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("&amp;Panchanga!$S78&amp;")"</f>
        <v>śobhana (4.58)</v>
      </c>
      <c r="Q78" s="4">
        <f>IF(AND(Panchanga!$R78&lt;28.5,Panchanga!$R78&gt;0.49999),MOD((Panchanga!$R78-0.5)*2,7),MOD((Panchanga!$R78+30-28.5),30)*2+7)</f>
        <v>0.9456</v>
      </c>
      <c r="R78" s="4">
        <f>ROUNDUP(MOD(360+P[[#This Row],[Moon]]-P[[#This Row],[Sun]],360)/12,4)</f>
        <v>0.9728</v>
      </c>
      <c r="S78" s="4">
        <f>ROUNDUP(MOD(P[[#This Row],[Sun]]+P[[#This Row],[Moon]],360)/13.333333333,2)</f>
        <v>4.58</v>
      </c>
      <c r="T78" s="4" t="str">
        <f>SIGN(W79-Panchanga!$W78)*INT(Panchanga!$W78/30+1)&amp;"Ma,"&amp;SIGN(X79-Panchanga!$X78)*INT(Panchanga!$X78/30+1)&amp;"Me,"&amp;SIGN(Y79-Panchanga!$Y78)*INT(Panchanga!$Y78/30+1)&amp;"J, "&amp;SIGN(Z79-Panchanga!$Z78)*INT(Panchanga!$Z78/30+1)&amp;"V,"&amp;SIGN(AA79-Panchanga!$AA78)*INT(Panchanga!$AA78/30+1)&amp;"S,"&amp;INT(Panchanga!$AB78/30+1)&amp;"R"</f>
        <v>12Ma,12Me,2J, 1V,11S,12R</v>
      </c>
      <c r="U78" s="4">
        <f t="shared" si="22"/>
        <v>24.681538342755477</v>
      </c>
      <c r="V78" s="4">
        <f t="shared" si="23"/>
        <v>36.35453966657704</v>
      </c>
      <c r="W78" s="4">
        <f>Planet(Panchanga!$G78,4)</f>
        <v>342.23480271479735</v>
      </c>
      <c r="X78" s="4">
        <f>Planet(Panchanga!$G78,2)</f>
        <v>358.50820371069307</v>
      </c>
      <c r="Y78" s="4">
        <f>Planet(Panchanga!$G78,5)</f>
        <v>31.806205867228243</v>
      </c>
      <c r="Z78" s="4">
        <f>Planet(Panchanga!$G78,3)</f>
        <v>17.544019644792471</v>
      </c>
      <c r="AA78" s="4">
        <f>Planet(Panchanga!$G78,6)</f>
        <v>323.10547522406836</v>
      </c>
      <c r="AB78" s="4">
        <f>Planet(Panchanga!$G78,10)</f>
        <v>349.84949084734444</v>
      </c>
      <c r="AC78" s="4" t="str">
        <f>TEXT(Panchanga!$C78+($C79-Panchanga!$C78)/ABS(IF($R79&lt;1,$R79+30,$R79)-Panchanga!$R78)*(ROUNDUP(Panchanga!$R78,0)-Panchanga!$R78),"hh:mm AM/PM")</f>
        <v>06:21 AM</v>
      </c>
      <c r="AD78" s="4"/>
    </row>
    <row r="79" spans="1:30" x14ac:dyDescent="0.2">
      <c r="A79" s="3">
        <f t="shared" si="25"/>
        <v>45422</v>
      </c>
      <c r="B79" s="3">
        <f t="shared" si="20"/>
        <v>45422.229166666664</v>
      </c>
      <c r="C79" s="6">
        <f t="shared" si="21"/>
        <v>45422.240113219865</v>
      </c>
      <c r="D79" s="6">
        <f>sunset(Lat,Long,B79)+TimeZone/24-0.000277777777777778</f>
        <v>45421.768177461388</v>
      </c>
      <c r="E79" s="6">
        <f>PlanetRiseSet(Lat,Long,B79,1,1)+TimeZone/24+0.00103009259259259</f>
        <v>45422.308745939437</v>
      </c>
      <c r="F79" s="6">
        <f>PlanetRiseSet(Lat,Long,B79+1,1,2)+TimeZone/24+0.00103009259259259</f>
        <v>45422.870464108571</v>
      </c>
      <c r="G79" s="17">
        <f>Panchanga!$C79-TimeZone/24</f>
        <v>45422.0109465532</v>
      </c>
      <c r="H79" s="13" t="str">
        <f>INT(P[[#This Row],[Sun]]/30)&amp;"s"&amp;ROUNDUP(MOD(P[[#This Row],[Sun]],30),2)</f>
        <v>0s25.65</v>
      </c>
      <c r="I79" s="13" t="str">
        <f>INT(P[[#This Row],[Moon]]/30)&amp;"s"&amp;ROUNDUP(MOD(P[[#This Row],[Moon]],30),2)</f>
        <v>1s20.44</v>
      </c>
      <c r="J79" s="14">
        <f t="shared" si="24"/>
        <v>45422.0109465532</v>
      </c>
      <c r="K79" s="10" t="str">
        <f>naks(P[[#This Row],[Moon]])</f>
        <v>Rohini</v>
      </c>
      <c r="L79" s="15">
        <f>(C80-P[[#This Row],[SunRise]])/(MOD(360+V80-P[[#This Row],[Moon]],360))*(13.3333333333333-MOD(P[[#This Row],[Moon]],13.333333333333))+P[[#This Row],[SunRise]]</f>
        <v>45422.451614503916</v>
      </c>
      <c r="M79" s="4" t="str">
        <f>IF(Panchanga!$R79&gt;15,"K","S")&amp;ROUNDUP(MOD(Panchanga!$R79,15),0)&amp;" ("&amp;ROUND(Panchanga!$R79,2)&amp;")"</f>
        <v>S3 (2.07)</v>
      </c>
      <c r="N79" s="4">
        <f>IF(AND(Panchanga!$R79&lt;28.5,Panchanga!$R79&gt;0.49999),MOD((Panchanga!$R79-0.5)*2,7),MOD((Panchanga!$R79+30-28.5),30)*2+7)</f>
        <v>3.1310000000000002</v>
      </c>
      <c r="O79" s="4" t="str">
        <f>CHOOSE(ROUNDUP(Panchanga!$N79,0),"Bhava","Baalava","Kaulava","Taitula","Garija","Vanija","Vishti","Shakuni","Chatushapda","Naaga","Kimstugna")</f>
        <v>Taitula</v>
      </c>
      <c r="P79" s="11" t="str">
        <f>CHOOSE(ROUNDUP(Panchanga!$S79,0),"viṣkambha","prīti","āyuṣmāna","saubhāgya","śobhana","atigaṇḍa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("&amp;Panchanga!$S79&amp;")"</f>
        <v>atigaṇḍa  (5.71)</v>
      </c>
      <c r="Q79" s="4">
        <f>IF(AND(Panchanga!$R79&lt;28.5,Panchanga!$R79&gt;0.49999),MOD((Panchanga!$R79-0.5)*2,7),MOD((Panchanga!$R79+30-28.5),30)*2+7)</f>
        <v>3.1310000000000002</v>
      </c>
      <c r="R79" s="4">
        <f>ROUNDUP(MOD(360+P[[#This Row],[Moon]]-P[[#This Row],[Sun]],360)/12,4)</f>
        <v>2.0655000000000001</v>
      </c>
      <c r="S79" s="4">
        <f>ROUNDUP(MOD(P[[#This Row],[Sun]]+P[[#This Row],[Moon]],360)/13.333333333,2)</f>
        <v>5.71</v>
      </c>
      <c r="T79" s="4" t="str">
        <f>SIGN(W80-Panchanga!$W79)*INT(Panchanga!$W79/30+1)&amp;"Ma,"&amp;SIGN(X80-Panchanga!$X79)*INT(Panchanga!$X79/30+1)&amp;"Me,"&amp;SIGN(Y80-Panchanga!$Y79)*INT(Panchanga!$Y79/30+1)&amp;"J, "&amp;SIGN(Z80-Panchanga!$Z79)*INT(Panchanga!$Z79/30+1)&amp;"V,"&amp;SIGN(AA80-Panchanga!$AA79)*INT(Panchanga!$AA79/30+1)&amp;"S,"&amp;INT(Panchanga!$AB79/30+1)&amp;"R"</f>
        <v>12Ma,-12Me,2J, 1V,11S,12R</v>
      </c>
      <c r="U79" s="4">
        <f t="shared" si="22"/>
        <v>25.648480115014614</v>
      </c>
      <c r="V79" s="4">
        <f t="shared" si="23"/>
        <v>50.43357977265876</v>
      </c>
      <c r="W79" s="4">
        <f>Planet(Panchanga!$G79,4)</f>
        <v>343.00099704500514</v>
      </c>
      <c r="X79" s="4">
        <f>Planet(Panchanga!$G79,2)</f>
        <v>359.45890451387544</v>
      </c>
      <c r="Y79" s="4">
        <f>Planet(Panchanga!$G79,5)</f>
        <v>32.041655311118191</v>
      </c>
      <c r="Z79" s="4">
        <f>Planet(Panchanga!$G79,3)</f>
        <v>18.774866666528194</v>
      </c>
      <c r="AA79" s="4">
        <f>Planet(Panchanga!$G79,6)</f>
        <v>323.18291153700636</v>
      </c>
      <c r="AB79" s="4">
        <f>Planet(Panchanga!$G79,10)</f>
        <v>349.79651067564339</v>
      </c>
      <c r="AC79" s="4" t="str">
        <f>TEXT(Panchanga!$C79+($C80-Panchanga!$C79)/ABS(IF($R80&lt;1,$R80+30,$R80)-Panchanga!$R79)*(ROUNDUP(Panchanga!$R79,0)-Panchanga!$R79),"hh:mm AM/PM")</f>
        <v>02:52 AM</v>
      </c>
      <c r="AD79" s="4"/>
    </row>
    <row r="80" spans="1:30" x14ac:dyDescent="0.2">
      <c r="A80" s="3">
        <f t="shared" si="25"/>
        <v>45423</v>
      </c>
      <c r="B80" s="3">
        <f t="shared" si="20"/>
        <v>45423.229166666664</v>
      </c>
      <c r="C80" s="6">
        <f t="shared" si="21"/>
        <v>45423.239899863642</v>
      </c>
      <c r="D80" s="6">
        <f>sunset(Lat,Long,B80)+TimeZone/24-0.000277777777777778</f>
        <v>45422.768350624523</v>
      </c>
      <c r="E80" s="6">
        <f>PlanetRiseSet(Lat,Long,B80,1,1)+TimeZone/24+0.00103009259259259</f>
        <v>45423.349148591667</v>
      </c>
      <c r="F80" s="6">
        <f>PlanetRiseSet(Lat,Long,B80+1,1,2)+TimeZone/24+0.00103009259259259</f>
        <v>45423.911920488499</v>
      </c>
      <c r="G80" s="17">
        <f>Panchanga!$C80-TimeZone/24</f>
        <v>45423.010733196978</v>
      </c>
      <c r="H80" s="13" t="str">
        <f>INT(P[[#This Row],[Sun]]/30)&amp;"s"&amp;ROUNDUP(MOD(P[[#This Row],[Sun]],30),2)</f>
        <v>0s26.62</v>
      </c>
      <c r="I80" s="13" t="str">
        <f>INT(P[[#This Row],[Moon]]/30)&amp;"s"&amp;ROUNDUP(MOD(P[[#This Row],[Moon]],30),2)</f>
        <v>2s4.15</v>
      </c>
      <c r="J80" s="14">
        <f t="shared" si="24"/>
        <v>45423.010733196978</v>
      </c>
      <c r="K80" s="10" t="str">
        <f>naks(P[[#This Row],[Moon]])</f>
        <v>Mrigashira</v>
      </c>
      <c r="L80" s="15">
        <f>(C81-P[[#This Row],[SunRise]])/(MOD(360+V81-P[[#This Row],[Moon]],360))*(13.3333333333333-MOD(P[[#This Row],[Moon]],13.333333333333))+P[[#This Row],[SunRise]]</f>
        <v>45423.429702109228</v>
      </c>
      <c r="M80" s="4" t="str">
        <f>IF(Panchanga!$R80&gt;15,"K","S")&amp;ROUNDUP(MOD(Panchanga!$R80,15),0)&amp;" ("&amp;ROUND(Panchanga!$R80,2)&amp;")"</f>
        <v>S4 (3.13)</v>
      </c>
      <c r="N80" s="4">
        <f>IF(AND(Panchanga!$R80&lt;28.5,Panchanga!$R80&gt;0.49999),MOD((Panchanga!$R80-0.5)*2,7),MOD((Panchanga!$R80+30-28.5),30)*2+7)</f>
        <v>5.2544000000000004</v>
      </c>
      <c r="O80" s="4" t="str">
        <f>CHOOSE(ROUNDUP(Panchanga!$N80,0),"Bhava","Baalava","Kaulava","Taitula","Garija","Vanija","Vishti","Shakuni","Chatushapda","Naaga","Kimstugna")</f>
        <v>Vanija</v>
      </c>
      <c r="P80" s="11" t="str">
        <f>CHOOSE(ROUNDUP(Panchanga!$S80,0),"viṣkambha","prīti","āyuṣmāna","saubhāgya","śobhana","atigaṇḍa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("&amp;Panchanga!$S80&amp;")"</f>
        <v>sukarmā  (6.81)</v>
      </c>
      <c r="Q80" s="4">
        <f>IF(AND(Panchanga!$R80&lt;28.5,Panchanga!$R80&gt;0.49999),MOD((Panchanga!$R80-0.5)*2,7),MOD((Panchanga!$R80+30-28.5),30)*2+7)</f>
        <v>5.2544000000000004</v>
      </c>
      <c r="R80" s="4">
        <f>ROUNDUP(MOD(360+P[[#This Row],[Moon]]-P[[#This Row],[Sun]],360)/12,4)</f>
        <v>3.1272000000000002</v>
      </c>
      <c r="S80" s="4">
        <f>ROUNDUP(MOD(P[[#This Row],[Sun]]+P[[#This Row],[Moon]],360)/13.333333333,2)</f>
        <v>6.81</v>
      </c>
      <c r="T80" s="4" t="str">
        <f>SIGN(W81-Panchanga!$W80)*INT(Panchanga!$W80/30+1)&amp;"Ma,"&amp;SIGN(X81-Panchanga!$X80)*INT(Panchanga!$X80/30+1)&amp;"Me,"&amp;SIGN(Y81-Panchanga!$Y80)*INT(Panchanga!$Y80/30+1)&amp;"J, "&amp;SIGN(Z81-Panchanga!$Z80)*INT(Panchanga!$Z80/30+1)&amp;"V,"&amp;SIGN(AA81-Panchanga!$AA80)*INT(Panchanga!$AA80/30+1)&amp;"S,"&amp;INT(Panchanga!$AB80/30+1)&amp;"R"</f>
        <v>12Ma,1Me,2J, 1V,11S,12R</v>
      </c>
      <c r="U80" s="4">
        <f t="shared" si="22"/>
        <v>26.614953147929175</v>
      </c>
      <c r="V80" s="4">
        <f t="shared" si="23"/>
        <v>64.140990076283927</v>
      </c>
      <c r="W80" s="4">
        <f>Planet(Panchanga!$G80,4)</f>
        <v>343.7665927432945</v>
      </c>
      <c r="X80" s="4">
        <f>Planet(Panchanga!$G80,2)</f>
        <v>0.46045343295103447</v>
      </c>
      <c r="Y80" s="4">
        <f>Planet(Panchanga!$G80,5)</f>
        <v>32.277236261821116</v>
      </c>
      <c r="Z80" s="4">
        <f>Planet(Panchanga!$G80,3)</f>
        <v>20.005584657946596</v>
      </c>
      <c r="AA80" s="4">
        <f>Planet(Panchanga!$G80,6)</f>
        <v>323.25910920133282</v>
      </c>
      <c r="AB80" s="4">
        <f>Planet(Panchanga!$G80,10)</f>
        <v>349.74352999448752</v>
      </c>
      <c r="AC80" s="4" t="str">
        <f>TEXT(Panchanga!$C80+($C81-Panchanga!$C80)/ABS(IF($R81&lt;1,$R81+30,$R81)-Panchanga!$R80)*(ROUNDUP(Panchanga!$R80,0)-Panchanga!$R80),"hh:mm AM/PM")</f>
        <v>02:07 AM</v>
      </c>
      <c r="AD80" s="4"/>
    </row>
    <row r="81" spans="1:30" x14ac:dyDescent="0.2">
      <c r="A81" s="3">
        <f t="shared" si="25"/>
        <v>45424</v>
      </c>
      <c r="B81" s="3">
        <f t="shared" si="20"/>
        <v>45424.229166666664</v>
      </c>
      <c r="C81" s="6">
        <f t="shared" si="21"/>
        <v>45424.239696169891</v>
      </c>
      <c r="D81" s="6">
        <f>sunset(Lat,Long,B81)+TimeZone/24-0.000277777777777778</f>
        <v>45423.76852716929</v>
      </c>
      <c r="E81" s="6">
        <f>PlanetRiseSet(Lat,Long,B81,1,1)+TimeZone/24+0.00103009259259259</f>
        <v>45424.390032503441</v>
      </c>
      <c r="F81" s="6">
        <f>PlanetRiseSet(Lat,Long,B81+1,1,2)+TimeZone/24+0.00103009259259259</f>
        <v>45424.949896600716</v>
      </c>
      <c r="G81" s="17">
        <f>Panchanga!$C81-TimeZone/24</f>
        <v>45424.010529503226</v>
      </c>
      <c r="H81" s="13" t="str">
        <f>INT(P[[#This Row],[Sun]]/30)&amp;"s"&amp;ROUNDUP(MOD(P[[#This Row],[Sun]],30),2)</f>
        <v>0s27.59</v>
      </c>
      <c r="I81" s="13" t="str">
        <f>INT(P[[#This Row],[Moon]]/30)&amp;"s"&amp;ROUNDUP(MOD(P[[#This Row],[Moon]],30),2)</f>
        <v>2s17.45</v>
      </c>
      <c r="J81" s="14">
        <f t="shared" si="24"/>
        <v>45424.010529503226</v>
      </c>
      <c r="K81" s="10" t="str">
        <f>naks(P[[#This Row],[Moon]])</f>
        <v>Ardra</v>
      </c>
      <c r="L81" s="15">
        <f>(C82-P[[#This Row],[SunRise]])/(MOD(360+V82-P[[#This Row],[Moon]],360))*(13.3333333333333-MOD(P[[#This Row],[Moon]],13.333333333333))+P[[#This Row],[SunRise]]</f>
        <v>45424.437625068786</v>
      </c>
      <c r="M81" s="4" t="str">
        <f>IF(Panchanga!$R81&gt;15,"K","S")&amp;ROUNDUP(MOD(Panchanga!$R81,15),0)&amp;" ("&amp;ROUND(Panchanga!$R81,2)&amp;")"</f>
        <v>S5 (4.16)</v>
      </c>
      <c r="N81" s="4">
        <f>IF(AND(Panchanga!$R81&lt;28.5,Panchanga!$R81&gt;0.49999),MOD((Panchanga!$R81-0.5)*2,7),MOD((Panchanga!$R81+30-28.5),30)*2+7)</f>
        <v>0.31080000000000041</v>
      </c>
      <c r="O81" s="4" t="str">
        <f>CHOOSE(ROUNDUP(Panchanga!$N81,0),"Bhava","Baalava","Kaulava","Taitula","Garija","Vanija","Vishti","Shakuni","Chatushapda","Naaga","Kimstugna")</f>
        <v>Bhava</v>
      </c>
      <c r="P81" s="11" t="str">
        <f>CHOOSE(ROUNDUP(Panchanga!$S81,0),"viṣkambha","prīti","āyuṣmāna","saubhāgya","śobhana","atigaṇḍa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("&amp;Panchanga!$S81&amp;")"</f>
        <v>dhṛti  (7.88)</v>
      </c>
      <c r="Q81" s="4">
        <f>IF(AND(Panchanga!$R81&lt;28.5,Panchanga!$R81&gt;0.49999),MOD((Panchanga!$R81-0.5)*2,7),MOD((Panchanga!$R81+30-28.5),30)*2+7)</f>
        <v>0.31080000000000041</v>
      </c>
      <c r="R81" s="4">
        <f>ROUNDUP(MOD(360+P[[#This Row],[Moon]]-P[[#This Row],[Sun]],360)/12,4)</f>
        <v>4.1554000000000002</v>
      </c>
      <c r="S81" s="4">
        <f>ROUNDUP(MOD(P[[#This Row],[Sun]]+P[[#This Row],[Moon]],360)/13.333333333,2)</f>
        <v>7.88</v>
      </c>
      <c r="T81" s="4" t="str">
        <f>SIGN(W82-Panchanga!$W81)*INT(Panchanga!$W81/30+1)&amp;"Ma,"&amp;SIGN(X82-Panchanga!$X81)*INT(Panchanga!$X81/30+1)&amp;"Me,"&amp;SIGN(Y82-Panchanga!$Y81)*INT(Panchanga!$Y81/30+1)&amp;"J, "&amp;SIGN(Z82-Panchanga!$Z81)*INT(Panchanga!$Z81/30+1)&amp;"V,"&amp;SIGN(AA82-Panchanga!$AA81)*INT(Panchanga!$AA81/30+1)&amp;"S,"&amp;INT(Panchanga!$AB81/30+1)&amp;"R"</f>
        <v>12Ma,1Me,2J, 1V,11S,12R</v>
      </c>
      <c r="U81" s="4">
        <f t="shared" si="22"/>
        <v>27.580948871393648</v>
      </c>
      <c r="V81" s="4">
        <f t="shared" si="23"/>
        <v>77.445164207777964</v>
      </c>
      <c r="W81" s="4">
        <f>Planet(Panchanga!$G81,4)</f>
        <v>344.53157523409885</v>
      </c>
      <c r="X81" s="4">
        <f>Planet(Panchanga!$G81,2)</f>
        <v>1.5111183769963445</v>
      </c>
      <c r="Y81" s="4">
        <f>Planet(Panchanga!$G81,5)</f>
        <v>32.512926306895174</v>
      </c>
      <c r="Z81" s="4">
        <f>Planet(Panchanga!$G81,3)</f>
        <v>21.236169093251355</v>
      </c>
      <c r="AA81" s="4">
        <f>Planet(Panchanga!$G81,6)</f>
        <v>323.3340538983864</v>
      </c>
      <c r="AB81" s="4">
        <f>Planet(Panchanga!$G81,10)</f>
        <v>349.69054880127567</v>
      </c>
      <c r="AC81" s="4" t="str">
        <f>TEXT(Panchanga!$C81+($C82-Panchanga!$C81)/ABS(IF($R82&lt;1,$R82+30,$R82)-Panchanga!$R81)*(ROUNDUP(Panchanga!$R81,0)-Panchanga!$R81),"hh:mm AM/PM")</f>
        <v>02:07 AM</v>
      </c>
      <c r="AD81" s="4"/>
    </row>
    <row r="82" spans="1:30" x14ac:dyDescent="0.2">
      <c r="A82" s="3">
        <f t="shared" si="25"/>
        <v>45425</v>
      </c>
      <c r="B82" s="3">
        <f t="shared" si="20"/>
        <v>45425.229166666664</v>
      </c>
      <c r="C82" s="6">
        <f t="shared" si="21"/>
        <v>45425.239502189834</v>
      </c>
      <c r="D82" s="6">
        <f>sunset(Lat,Long,B82)+TimeZone/24-0.000277777777777778</f>
        <v>45424.768706962976</v>
      </c>
      <c r="E82" s="6">
        <f>PlanetRiseSet(Lat,Long,B82,1,1)+TimeZone/24+0.00103009259259259</f>
        <v>45425.429850041088</v>
      </c>
      <c r="F82" s="6">
        <f>PlanetRiseSet(Lat,Long,B82+1,1,2)+TimeZone/24+0.00103009259259259</f>
        <v>45425.983827104479</v>
      </c>
      <c r="G82" s="17">
        <f>Panchanga!$C82-TimeZone/24</f>
        <v>45425.010335523169</v>
      </c>
      <c r="H82" s="13" t="str">
        <f>INT(P[[#This Row],[Sun]]/30)&amp;"s"&amp;ROUNDUP(MOD(P[[#This Row],[Sun]],30),2)</f>
        <v>0s28.55</v>
      </c>
      <c r="I82" s="13" t="str">
        <f>INT(P[[#This Row],[Moon]]/30)&amp;"s"&amp;ROUNDUP(MOD(P[[#This Row],[Moon]],30),2)</f>
        <v>3s0.36</v>
      </c>
      <c r="J82" s="14">
        <f t="shared" si="24"/>
        <v>45425.010335523169</v>
      </c>
      <c r="K82" s="10" t="str">
        <f>naks(P[[#This Row],[Moon]])</f>
        <v>Punarvasu</v>
      </c>
      <c r="L82" s="15">
        <f>(C83-P[[#This Row],[SunRise]])/(MOD(360+V83-P[[#This Row],[Moon]],360))*(13.3333333333333-MOD(P[[#This Row],[Moon]],13.333333333333))+P[[#This Row],[SunRise]]</f>
        <v>45425.477282560096</v>
      </c>
      <c r="M82" s="4" t="str">
        <f>IF(Panchanga!$R82&gt;15,"K","S")&amp;ROUNDUP(MOD(Panchanga!$R82,15),0)&amp;" ("&amp;ROUND(Panchanga!$R82,2)&amp;")"</f>
        <v>S6 (5.15)</v>
      </c>
      <c r="N82" s="4">
        <f>IF(AND(Panchanga!$R82&lt;28.5,Panchanga!$R82&gt;0.49999),MOD((Panchanga!$R82-0.5)*2,7),MOD((Panchanga!$R82+30-28.5),30)*2+7)</f>
        <v>2.3007999999999988</v>
      </c>
      <c r="O82" s="4" t="str">
        <f>CHOOSE(ROUNDUP(Panchanga!$N82,0),"Bhava","Baalava","Kaulava","Taitula","Garija","Vanija","Vishti","Shakuni","Chatushapda","Naaga","Kimstugna")</f>
        <v>Kaulava</v>
      </c>
      <c r="P82" s="11" t="str">
        <f>CHOOSE(ROUNDUP(Panchanga!$S82,0),"viṣkambha","prīti","āyuṣmāna","saubhāgya","śobhana","atigaṇḍa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("&amp;Panchanga!$S82&amp;")"</f>
        <v>śūla  (8.92)</v>
      </c>
      <c r="Q82" s="4">
        <f>IF(AND(Panchanga!$R82&lt;28.5,Panchanga!$R82&gt;0.49999),MOD((Panchanga!$R82-0.5)*2,7),MOD((Panchanga!$R82+30-28.5),30)*2+7)</f>
        <v>2.3007999999999988</v>
      </c>
      <c r="R82" s="4">
        <f>ROUNDUP(MOD(360+P[[#This Row],[Moon]]-P[[#This Row],[Sun]],360)/12,4)</f>
        <v>5.1503999999999994</v>
      </c>
      <c r="S82" s="4">
        <f>ROUNDUP(MOD(P[[#This Row],[Sun]]+P[[#This Row],[Moon]],360)/13.333333333,2)</f>
        <v>8.92</v>
      </c>
      <c r="T82" s="4" t="str">
        <f>SIGN(W83-Panchanga!$W82)*INT(Panchanga!$W82/30+1)&amp;"Ma,"&amp;SIGN(X83-Panchanga!$X82)*INT(Panchanga!$X82/30+1)&amp;"Me,"&amp;SIGN(Y83-Panchanga!$Y82)*INT(Panchanga!$Y82/30+1)&amp;"J, "&amp;SIGN(Z83-Panchanga!$Z82)*INT(Panchanga!$Z82/30+1)&amp;"V,"&amp;SIGN(AA83-Panchanga!$AA82)*INT(Panchanga!$AA82/30+1)&amp;"S,"&amp;INT(Panchanga!$AB82/30+1)&amp;"R"</f>
        <v>12Ma,1Me,2J, 1V,11S,12R</v>
      </c>
      <c r="U82" s="4">
        <f t="shared" si="22"/>
        <v>28.546462461354253</v>
      </c>
      <c r="V82" s="4">
        <f t="shared" si="23"/>
        <v>90.350506576960086</v>
      </c>
      <c r="W82" s="4">
        <f>Planet(Panchanga!$G82,4)</f>
        <v>345.29593215997295</v>
      </c>
      <c r="X82" s="4">
        <f>Planet(Panchanga!$G82,2)</f>
        <v>2.6093210271027214</v>
      </c>
      <c r="Y82" s="4">
        <f>Planet(Panchanga!$G82,5)</f>
        <v>32.748703882424188</v>
      </c>
      <c r="Z82" s="4">
        <f>Planet(Panchanga!$G82,3)</f>
        <v>22.46661764521745</v>
      </c>
      <c r="AA82" s="4">
        <f>Planet(Panchanga!$G82,6)</f>
        <v>323.40773190676884</v>
      </c>
      <c r="AB82" s="4">
        <f>Planet(Panchanga!$G82,10)</f>
        <v>349.63756709334024</v>
      </c>
      <c r="AC82" s="4" t="str">
        <f>TEXT(Panchanga!$C82+($C83-Panchanga!$C82)/ABS(IF($R83&lt;1,$R83+30,$R83)-Panchanga!$R82)*(ROUNDUP(Panchanga!$R82,0)-Panchanga!$R82),"hh:mm AM/PM")</f>
        <v>02:52 AM</v>
      </c>
      <c r="AD82" s="4"/>
    </row>
    <row r="83" spans="1:30" x14ac:dyDescent="0.2">
      <c r="A83" s="3">
        <f t="shared" si="25"/>
        <v>45426</v>
      </c>
      <c r="B83" s="3">
        <f t="shared" si="20"/>
        <v>45426.229166666664</v>
      </c>
      <c r="C83" s="6">
        <f t="shared" si="21"/>
        <v>45426.239317974228</v>
      </c>
      <c r="D83" s="6">
        <f>sunset(Lat,Long,B83)+TimeZone/24-0.000277777777777778</f>
        <v>45425.768889874729</v>
      </c>
      <c r="E83" s="6">
        <f>PlanetRiseSet(Lat,Long,B83,1,1)+TimeZone/24+0.00103009259259259</f>
        <v>45426.46758946</v>
      </c>
      <c r="F83" s="6">
        <f>PlanetRiseSet(Lat,Long,B83+1,1,2)+TimeZone/24+0.00103009259259259</f>
        <v>45427.013952060755</v>
      </c>
      <c r="G83" s="17">
        <f>Panchanga!$C83-TimeZone/24</f>
        <v>45426.010151307564</v>
      </c>
      <c r="H83" s="13" t="str">
        <f>INT(P[[#This Row],[Sun]]/30)&amp;"s"&amp;ROUNDUP(MOD(P[[#This Row],[Sun]],30),2)</f>
        <v>0s29.52</v>
      </c>
      <c r="I83" s="13" t="str">
        <f>INT(P[[#This Row],[Moon]]/30)&amp;"s"&amp;ROUNDUP(MOD(P[[#This Row],[Moon]],30),2)</f>
        <v>3s12.9</v>
      </c>
      <c r="J83" s="14">
        <f t="shared" si="24"/>
        <v>45426.010151307564</v>
      </c>
      <c r="K83" s="10" t="str">
        <f>naks(P[[#This Row],[Moon]])</f>
        <v>Pushya</v>
      </c>
      <c r="L83" s="15">
        <f>(C84-P[[#This Row],[SunRise]])/(MOD(360+V84-P[[#This Row],[Moon]],360))*(13.3333333333333-MOD(P[[#This Row],[Moon]],13.333333333333))+P[[#This Row],[SunRise]]</f>
        <v>45426.547638939337</v>
      </c>
      <c r="M83" s="4" t="str">
        <f>IF(Panchanga!$R83&gt;15,"K","S")&amp;ROUNDUP(MOD(Panchanga!$R83,15),0)&amp;" ("&amp;ROUND(Panchanga!$R83,2)&amp;")"</f>
        <v>S7 (6.12)</v>
      </c>
      <c r="N83" s="4">
        <f>IF(AND(Panchanga!$R83&lt;28.5,Panchanga!$R83&gt;0.49999),MOD((Panchanga!$R83-0.5)*2,7),MOD((Panchanga!$R83+30-28.5),30)*2+7)</f>
        <v>4.2302</v>
      </c>
      <c r="O83" s="4" t="str">
        <f>CHOOSE(ROUNDUP(Panchanga!$N83,0),"Bhava","Baalava","Kaulava","Taitula","Garija","Vanija","Vishti","Shakuni","Chatushapda","Naaga","Kimstugna")</f>
        <v>Garija</v>
      </c>
      <c r="P83" s="11" t="str">
        <f>CHOOSE(ROUNDUP(Panchanga!$S83,0),"viṣkambha","prīti","āyuṣmāna","saubhāgya","śobhana","atigaṇḍa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("&amp;Panchanga!$S83&amp;")"</f>
        <v>gaṇḍa  (9.94)</v>
      </c>
      <c r="Q83" s="4">
        <f>IF(AND(Panchanga!$R83&lt;28.5,Panchanga!$R83&gt;0.49999),MOD((Panchanga!$R83-0.5)*2,7),MOD((Panchanga!$R83+30-28.5),30)*2+7)</f>
        <v>4.2302</v>
      </c>
      <c r="R83" s="4">
        <f>ROUNDUP(MOD(360+P[[#This Row],[Moon]]-P[[#This Row],[Sun]],360)/12,4)</f>
        <v>6.1151</v>
      </c>
      <c r="S83" s="4">
        <f>ROUNDUP(MOD(P[[#This Row],[Sun]]+P[[#This Row],[Moon]],360)/13.333333333,2)</f>
        <v>9.94</v>
      </c>
      <c r="T83" s="4" t="str">
        <f>SIGN(W84-Panchanga!$W83)*INT(Panchanga!$W83/30+1)&amp;"Ma,"&amp;SIGN(X84-Panchanga!$X83)*INT(Panchanga!$X83/30+1)&amp;"Me,"&amp;SIGN(Y84-Panchanga!$Y83)*INT(Panchanga!$Y83/30+1)&amp;"J, "&amp;SIGN(Z84-Panchanga!$Z83)*INT(Panchanga!$Z83/30+1)&amp;"V,"&amp;SIGN(AA84-Panchanga!$AA83)*INT(Panchanga!$AA83/30+1)&amp;"S,"&amp;INT(Panchanga!$AB83/30+1)&amp;"R"</f>
        <v>12Ma,1Me,2J, 1V,11S,12R</v>
      </c>
      <c r="U83" s="4">
        <f t="shared" si="22"/>
        <v>29.511492699816188</v>
      </c>
      <c r="V83" s="4">
        <f t="shared" si="23"/>
        <v>102.89265742754355</v>
      </c>
      <c r="W83" s="4">
        <f>Planet(Panchanga!$G83,4)</f>
        <v>346.0596529614067</v>
      </c>
      <c r="X83" s="4">
        <f>Planet(Panchanga!$G83,2)</f>
        <v>3.7536342694769909</v>
      </c>
      <c r="Y83" s="4">
        <f>Planet(Panchanga!$G83,5)</f>
        <v>32.984548370766056</v>
      </c>
      <c r="Z83" s="4">
        <f>Planet(Panchanga!$G83,3)</f>
        <v>23.6969300118752</v>
      </c>
      <c r="AA83" s="4">
        <f>Planet(Panchanga!$G83,6)</f>
        <v>323.48012998834656</v>
      </c>
      <c r="AB83" s="4">
        <f>Planet(Panchanga!$G83,10)</f>
        <v>349.58458486794746</v>
      </c>
      <c r="AC83" s="4" t="str">
        <f>TEXT(Panchanga!$C83+($C84-Panchanga!$C83)/ABS(IF($R84&lt;1,$R84+30,$R84)-Panchanga!$R83)*(ROUNDUP(Panchanga!$R83,0)-Panchanga!$R83),"hh:mm AM/PM")</f>
        <v>04:20 AM</v>
      </c>
      <c r="AD83" s="4"/>
    </row>
    <row r="84" spans="1:30" x14ac:dyDescent="0.2">
      <c r="A84" s="3">
        <f t="shared" si="25"/>
        <v>45427</v>
      </c>
      <c r="B84" s="3">
        <f t="shared" si="20"/>
        <v>45427.229166666664</v>
      </c>
      <c r="C84" s="6">
        <f t="shared" si="21"/>
        <v>45427.239143573832</v>
      </c>
      <c r="D84" s="6">
        <f>sunset(Lat,Long,B84)+TimeZone/24-0.000277777777777778</f>
        <v>45426.769075775097</v>
      </c>
      <c r="E84" s="6">
        <f>PlanetRiseSet(Lat,Long,B84,1,1)+TimeZone/24+0.00103009259259259</f>
        <v>45426.46758951588</v>
      </c>
      <c r="F84" s="6">
        <f>PlanetRiseSet(Lat,Long,B84+1,1,2)+TimeZone/24+0.00103009259259259</f>
        <v>45428.040982047714</v>
      </c>
      <c r="G84" s="17">
        <f>Panchanga!$C84-TimeZone/24</f>
        <v>45427.009976907168</v>
      </c>
      <c r="H84" s="13" t="str">
        <f>INT(P[[#This Row],[Sun]]/30)&amp;"s"&amp;ROUNDUP(MOD(P[[#This Row],[Sun]],30),2)</f>
        <v>1s0.48</v>
      </c>
      <c r="I84" s="13" t="str">
        <f>INT(P[[#This Row],[Moon]]/30)&amp;"s"&amp;ROUNDUP(MOD(P[[#This Row],[Moon]],30),2)</f>
        <v>3s25.14</v>
      </c>
      <c r="J84" s="14">
        <f t="shared" si="24"/>
        <v>45427.009976907168</v>
      </c>
      <c r="K84" s="10" t="str">
        <f>naks(P[[#This Row],[Moon]])</f>
        <v>Aslesha</v>
      </c>
      <c r="L84" s="15">
        <f>(C85-P[[#This Row],[SunRise]])/(MOD(360+V85-P[[#This Row],[Moon]],360))*(13.3333333333333-MOD(P[[#This Row],[Moon]],13.333333333333))+P[[#This Row],[SunRise]]</f>
        <v>45427.64449394399</v>
      </c>
      <c r="M84" s="4" t="str">
        <f>IF(Panchanga!$R84&gt;15,"K","S")&amp;ROUNDUP(MOD(Panchanga!$R84,15),0)&amp;" ("&amp;ROUND(Panchanga!$R84,2)&amp;")"</f>
        <v>S8 (7.05)</v>
      </c>
      <c r="N84" s="4">
        <f>IF(AND(Panchanga!$R84&lt;28.5,Panchanga!$R84&gt;0.49999),MOD((Panchanga!$R84-0.5)*2,7),MOD((Panchanga!$R84+30-28.5),30)*2+7)</f>
        <v>6.1091999999999995</v>
      </c>
      <c r="O84" s="4" t="str">
        <f>CHOOSE(ROUNDUP(Panchanga!$N84,0),"Bhava","Baalava","Kaulava","Taitula","Garija","Vanija","Vishti","Shakuni","Chatushapda","Naaga","Kimstugna")</f>
        <v>Vishti</v>
      </c>
      <c r="P84" s="11" t="str">
        <f>CHOOSE(ROUNDUP(Panchanga!$S84,0),"viṣkambha","prīti","āyuṣmāna","saubhāgya","śobhana","atigaṇḍa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("&amp;Panchanga!$S84&amp;")"</f>
        <v>vṛddhi  (10.93)</v>
      </c>
      <c r="Q84" s="4">
        <f>IF(AND(Panchanga!$R84&lt;28.5,Panchanga!$R84&gt;0.49999),MOD((Panchanga!$R84-0.5)*2,7),MOD((Panchanga!$R84+30-28.5),30)*2+7)</f>
        <v>6.1091999999999995</v>
      </c>
      <c r="R84" s="4">
        <f>ROUNDUP(MOD(360+P[[#This Row],[Moon]]-P[[#This Row],[Sun]],360)/12,4)</f>
        <v>7.0545999999999998</v>
      </c>
      <c r="S84" s="4">
        <f>ROUNDUP(MOD(P[[#This Row],[Sun]]+P[[#This Row],[Moon]],360)/13.333333333,2)</f>
        <v>10.93</v>
      </c>
      <c r="T84" s="4" t="str">
        <f>SIGN(W85-Panchanga!$W84)*INT(Panchanga!$W84/30+1)&amp;"Ma,"&amp;SIGN(X85-Panchanga!$X84)*INT(Panchanga!$X84/30+1)&amp;"Me,"&amp;SIGN(Y85-Panchanga!$Y84)*INT(Panchanga!$Y84/30+1)&amp;"J, "&amp;SIGN(Z85-Panchanga!$Z84)*INT(Panchanga!$Z84/30+1)&amp;"V,"&amp;SIGN(AA85-Panchanga!$AA84)*INT(Panchanga!$AA84/30+1)&amp;"S,"&amp;INT(Panchanga!$AB84/30+1)&amp;"R"</f>
        <v>12Ma,1Me,2J, 1V,11S,12R</v>
      </c>
      <c r="U84" s="4">
        <f t="shared" si="22"/>
        <v>30.476041656819142</v>
      </c>
      <c r="V84" s="4">
        <f t="shared" si="23"/>
        <v>115.13104364648527</v>
      </c>
      <c r="W84" s="4">
        <f>Planet(Panchanga!$G84,4)</f>
        <v>346.8227284828975</v>
      </c>
      <c r="X84" s="4">
        <f>Planet(Panchanga!$G84,2)</f>
        <v>4.9427784202783798</v>
      </c>
      <c r="Y84" s="4">
        <f>Planet(Panchanga!$G84,5)</f>
        <v>33.220440233310207</v>
      </c>
      <c r="Z84" s="4">
        <f>Planet(Panchanga!$G84,3)</f>
        <v>24.927107668920168</v>
      </c>
      <c r="AA84" s="4">
        <f>Planet(Panchanga!$G84,6)</f>
        <v>323.55123528431039</v>
      </c>
      <c r="AB84" s="4">
        <f>Planet(Panchanga!$G84,10)</f>
        <v>349.53160212246274</v>
      </c>
      <c r="AC84" s="4" t="str">
        <f>TEXT(Panchanga!$C84+($C85-Panchanga!$C84)/ABS(IF($R85&lt;1,$R85+30,$R85)-Panchanga!$R84)*(ROUNDUP(Panchanga!$R84,0)-Panchanga!$R84),"hh:mm AM/PM")</f>
        <v>06:23 AM</v>
      </c>
      <c r="AD84" s="4"/>
    </row>
    <row r="85" spans="1:30" x14ac:dyDescent="0.2">
      <c r="A85" s="3">
        <f t="shared" si="25"/>
        <v>45428</v>
      </c>
      <c r="B85" s="3">
        <f t="shared" si="20"/>
        <v>45428.229166666664</v>
      </c>
      <c r="C85" s="6">
        <f t="shared" si="21"/>
        <v>45428.238979037073</v>
      </c>
      <c r="D85" s="6">
        <f>sunset(Lat,Long,B85)+TimeZone/24-0.000277777777777778</f>
        <v>45427.769264535091</v>
      </c>
      <c r="E85" s="6">
        <f>PlanetRiseSet(Lat,Long,B85,1,1)+TimeZone/24+0.00103009259259259</f>
        <v>45427.502964662541</v>
      </c>
      <c r="F85" s="6">
        <f>PlanetRiseSet(Lat,Long,B85+1,1,2)+TimeZone/24+0.00103009259259259</f>
        <v>45429.065796146788</v>
      </c>
      <c r="G85" s="17">
        <f>Panchanga!$C85-TimeZone/24</f>
        <v>45428.009812370408</v>
      </c>
      <c r="H85" s="13" t="str">
        <f>INT(P[[#This Row],[Sun]]/30)&amp;"s"&amp;ROUNDUP(MOD(P[[#This Row],[Sun]],30),2)</f>
        <v>1s1.45</v>
      </c>
      <c r="I85" s="13" t="str">
        <f>INT(P[[#This Row],[Moon]]/30)&amp;"s"&amp;ROUNDUP(MOD(P[[#This Row],[Moon]],30),2)</f>
        <v>4s7.15</v>
      </c>
      <c r="J85" s="14">
        <f t="shared" si="24"/>
        <v>45428.009812370408</v>
      </c>
      <c r="K85" s="10" t="str">
        <f>naks(P[[#This Row],[Moon]])</f>
        <v>Makha</v>
      </c>
      <c r="L85" s="15">
        <f>(C86-P[[#This Row],[SunRise]])/(MOD(360+V86-P[[#This Row],[Moon]],360))*(13.3333333333333-MOD(P[[#This Row],[Moon]],13.333333333333))+P[[#This Row],[SunRise]]</f>
        <v>45428.760840947049</v>
      </c>
      <c r="M85" s="4" t="str">
        <f>IF(Panchanga!$R85&gt;15,"K","S")&amp;ROUNDUP(MOD(Panchanga!$R85,15),0)&amp;" ("&amp;ROUND(Panchanga!$R85,2)&amp;")"</f>
        <v>S8 (7.98)</v>
      </c>
      <c r="N85" s="4">
        <f>IF(AND(Panchanga!$R85&lt;28.5,Panchanga!$R85&gt;0.49999),MOD((Panchanga!$R85-0.5)*2,7),MOD((Panchanga!$R85+30-28.5),30)*2+7)</f>
        <v>0.95019999999999882</v>
      </c>
      <c r="O85" s="4" t="str">
        <f>CHOOSE(ROUNDUP(Panchanga!$N85,0),"Bhava","Baalava","Kaulava","Taitula","Garija","Vanija","Vishti","Shakuni","Chatushapda","Naaga","Kimstugna")</f>
        <v>Bhava</v>
      </c>
      <c r="P85" s="11" t="str">
        <f>CHOOSE(ROUNDUP(Panchanga!$S85,0),"viṣkambha","prīti","āyuṣmāna","saubhāgya","śobhana","atigaṇḍa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("&amp;Panchanga!$S85&amp;")"</f>
        <v>dhruva  (11.9)</v>
      </c>
      <c r="Q85" s="4">
        <f>IF(AND(Panchanga!$R85&lt;28.5,Panchanga!$R85&gt;0.49999),MOD((Panchanga!$R85-0.5)*2,7),MOD((Panchanga!$R85+30-28.5),30)*2+7)</f>
        <v>0.95019999999999882</v>
      </c>
      <c r="R85" s="4">
        <f>ROUNDUP(MOD(360+P[[#This Row],[Moon]]-P[[#This Row],[Sun]],360)/12,4)</f>
        <v>7.9750999999999994</v>
      </c>
      <c r="S85" s="4">
        <f>ROUNDUP(MOD(P[[#This Row],[Sun]]+P[[#This Row],[Moon]],360)/13.333333333,2)</f>
        <v>11.9</v>
      </c>
      <c r="T85" s="4" t="str">
        <f>SIGN(W86-Panchanga!$W85)*INT(Panchanga!$W85/30+1)&amp;"Ma,"&amp;SIGN(X86-Panchanga!$X85)*INT(Panchanga!$X85/30+1)&amp;"Me,"&amp;SIGN(Y86-Panchanga!$Y85)*INT(Panchanga!$Y85/30+1)&amp;"J, "&amp;SIGN(Z86-Panchanga!$Z85)*INT(Panchanga!$Z85/30+1)&amp;"V,"&amp;SIGN(AA86-Panchanga!$AA85)*INT(Panchanga!$AA85/30+1)&amp;"S,"&amp;INT(Panchanga!$AB85/30+1)&amp;"R"</f>
        <v>12Ma,1Me,2J, 1V,11S,12R</v>
      </c>
      <c r="U85" s="4">
        <f t="shared" si="22"/>
        <v>31.440114329631616</v>
      </c>
      <c r="V85" s="4">
        <f t="shared" si="23"/>
        <v>127.14079024998333</v>
      </c>
      <c r="W85" s="4">
        <f>Planet(Panchanga!$G85,4)</f>
        <v>347.58515065195076</v>
      </c>
      <c r="X85" s="4">
        <f>Planet(Panchanga!$G85,2)</f>
        <v>6.1756166641019741</v>
      </c>
      <c r="Y85" s="4">
        <f>Planet(Panchanga!$G85,5)</f>
        <v>33.456361253196533</v>
      </c>
      <c r="Z85" s="4">
        <f>Planet(Panchanga!$G85,3)</f>
        <v>26.157153627731343</v>
      </c>
      <c r="AA85" s="4">
        <f>Planet(Panchanga!$G85,6)</f>
        <v>323.62103524202183</v>
      </c>
      <c r="AB85" s="4">
        <f>Planet(Panchanga!$G85,10)</f>
        <v>349.47861885421867</v>
      </c>
      <c r="AC85" s="4" t="str">
        <f>TEXT(Panchanga!$C85+($C86-Panchanga!$C85)/ABS(IF($R86&lt;1,$R86+30,$R86)-Panchanga!$R85)*(ROUNDUP(Panchanga!$R85,0)-Panchanga!$R85),"hh:mm AM/PM")</f>
        <v>06:23 AM</v>
      </c>
      <c r="AD85" s="4"/>
    </row>
    <row r="86" spans="1:30" x14ac:dyDescent="0.2">
      <c r="A86" s="3">
        <f t="shared" si="25"/>
        <v>45429</v>
      </c>
      <c r="B86" s="3">
        <f t="shared" si="20"/>
        <v>45429.229166666664</v>
      </c>
      <c r="C86" s="6">
        <f t="shared" si="21"/>
        <v>45429.238824408189</v>
      </c>
      <c r="D86" s="6">
        <f>sunset(Lat,Long,B86)+TimeZone/24-0.000277777777777778</f>
        <v>45428.769456026188</v>
      </c>
      <c r="E86" s="6">
        <f>PlanetRiseSet(Lat,Long,B86,1,1)+TimeZone/24+0.00103009259259259</f>
        <v>45428.536254386105</v>
      </c>
      <c r="F86" s="6">
        <f>PlanetRiseSet(Lat,Long,B86+1,1,2)+TimeZone/24+0.00103009259259259</f>
        <v>45430.089284425288</v>
      </c>
      <c r="G86" s="17">
        <f>Panchanga!$C86-TimeZone/24</f>
        <v>45429.009657741524</v>
      </c>
      <c r="H86" s="13" t="str">
        <f>INT(P[[#This Row],[Sun]]/30)&amp;"s"&amp;ROUNDUP(MOD(P[[#This Row],[Sun]],30),2)</f>
        <v>1s2.41</v>
      </c>
      <c r="I86" s="13" t="str">
        <f>INT(P[[#This Row],[Moon]]/30)&amp;"s"&amp;ROUNDUP(MOD(P[[#This Row],[Moon]],30),2)</f>
        <v>4s19.01</v>
      </c>
      <c r="J86" s="14">
        <f t="shared" si="24"/>
        <v>45429.009657741524</v>
      </c>
      <c r="K86" s="10" t="str">
        <f>naks(P[[#This Row],[Moon]])</f>
        <v>Purva Phalguni</v>
      </c>
      <c r="L86" s="15">
        <f>(C87-P[[#This Row],[SunRise]])/(MOD(360+V87-P[[#This Row],[Moon]],360))*(13.3333333333333-MOD(P[[#This Row],[Moon]],13.333333333333))+P[[#This Row],[SunRise]]</f>
        <v>45429.887774359646</v>
      </c>
      <c r="M86" s="4" t="str">
        <f>IF(Panchanga!$R86&gt;15,"K","S")&amp;ROUNDUP(MOD(Panchanga!$R86,15),0)&amp;" ("&amp;ROUND(Panchanga!$R86,2)&amp;")"</f>
        <v>S9 (8.88)</v>
      </c>
      <c r="N86" s="4">
        <f>IF(AND(Panchanga!$R86&lt;28.5,Panchanga!$R86&gt;0.49999),MOD((Panchanga!$R86-0.5)*2,7),MOD((Panchanga!$R86+30-28.5),30)*2+7)</f>
        <v>2.7669999999999995</v>
      </c>
      <c r="O86" s="4" t="str">
        <f>CHOOSE(ROUNDUP(Panchanga!$N86,0),"Bhava","Baalava","Kaulava","Taitula","Garija","Vanija","Vishti","Shakuni","Chatushapda","Naaga","Kimstugna")</f>
        <v>Kaulava</v>
      </c>
      <c r="P86" s="11" t="str">
        <f>CHOOSE(ROUNDUP(Panchanga!$S86,0),"viṣkambha","prīti","āyuṣmāna","saubhāgya","śobhana","atigaṇḍa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("&amp;Panchanga!$S86&amp;")"</f>
        <v>vyāghāta (12.86)</v>
      </c>
      <c r="Q86" s="4">
        <f>IF(AND(Panchanga!$R86&lt;28.5,Panchanga!$R86&gt;0.49999),MOD((Panchanga!$R86-0.5)*2,7),MOD((Panchanga!$R86+30-28.5),30)*2+7)</f>
        <v>2.7669999999999995</v>
      </c>
      <c r="R86" s="4">
        <f>ROUNDUP(MOD(360+P[[#This Row],[Moon]]-P[[#This Row],[Sun]],360)/12,4)</f>
        <v>8.8834999999999997</v>
      </c>
      <c r="S86" s="4">
        <f>ROUNDUP(MOD(P[[#This Row],[Sun]]+P[[#This Row],[Moon]],360)/13.333333333,2)</f>
        <v>12.86</v>
      </c>
      <c r="T86" s="4" t="str">
        <f>SIGN(W87-Panchanga!$W86)*INT(Panchanga!$W86/30+1)&amp;"Ma,"&amp;SIGN(X87-Panchanga!$X86)*INT(Panchanga!$X86/30+1)&amp;"Me,"&amp;SIGN(Y87-Panchanga!$Y86)*INT(Panchanga!$Y86/30+1)&amp;"J, "&amp;SIGN(Z87-Panchanga!$Z86)*INT(Panchanga!$Z86/30+1)&amp;"V,"&amp;SIGN(AA87-Panchanga!$AA86)*INT(Panchanga!$AA86/30+1)&amp;"S,"&amp;INT(Panchanga!$AB86/30+1)&amp;"R"</f>
        <v>12Ma,1Me,2J, 1V,11S,12R</v>
      </c>
      <c r="U86" s="4">
        <f t="shared" si="22"/>
        <v>32.403718291866973</v>
      </c>
      <c r="V86" s="4">
        <f t="shared" si="23"/>
        <v>139.00520384087258</v>
      </c>
      <c r="W86" s="4">
        <f>Planet(Panchanga!$G86,4)</f>
        <v>348.34691222820948</v>
      </c>
      <c r="X86" s="4">
        <f>Planet(Panchanga!$G86,2)</f>
        <v>7.451149883417191</v>
      </c>
      <c r="Y86" s="4">
        <f>Planet(Panchanga!$G86,5)</f>
        <v>33.692294153276748</v>
      </c>
      <c r="Z86" s="4">
        <f>Planet(Panchanga!$G86,3)</f>
        <v>27.387072212140374</v>
      </c>
      <c r="AA86" s="4">
        <f>Planet(Panchanga!$G86,6)</f>
        <v>323.68951754801634</v>
      </c>
      <c r="AB86" s="4">
        <f>Planet(Panchanga!$G86,10)</f>
        <v>349.42563506101146</v>
      </c>
      <c r="AC86" s="4" t="str">
        <f>TEXT(Panchanga!$C86+($C87-Panchanga!$C86)/ABS(IF($R87&lt;1,$R87+30,$R87)-Panchanga!$R86)*(ROUNDUP(Panchanga!$R86,0)-Panchanga!$R86),"hh:mm AM/PM")</f>
        <v>08:49 AM</v>
      </c>
      <c r="AD86" s="4"/>
    </row>
    <row r="87" spans="1:30" x14ac:dyDescent="0.2">
      <c r="A87" s="3">
        <f t="shared" si="25"/>
        <v>45430</v>
      </c>
      <c r="B87" s="3">
        <f t="shared" si="20"/>
        <v>45430.229166666664</v>
      </c>
      <c r="C87" s="6">
        <f t="shared" si="21"/>
        <v>45430.238679729555</v>
      </c>
      <c r="D87" s="6">
        <f>sunset(Lat,Long,B87)+TimeZone/24-0.000277777777777778</f>
        <v>45429.769650117538</v>
      </c>
      <c r="E87" s="6">
        <f>PlanetRiseSet(Lat,Long,B87,1,1)+TimeZone/24+0.00103009259259259</f>
        <v>45429.568056329306</v>
      </c>
      <c r="F87" s="6">
        <f>PlanetRiseSet(Lat,Long,B87+1,1,2)+TimeZone/24+0.00103009259259259</f>
        <v>45431.112303616166</v>
      </c>
      <c r="G87" s="17">
        <f>Panchanga!$C87-TimeZone/24</f>
        <v>45430.009513062891</v>
      </c>
      <c r="H87" s="13" t="str">
        <f>INT(P[[#This Row],[Sun]]/30)&amp;"s"&amp;ROUNDUP(MOD(P[[#This Row],[Sun]],30),2)</f>
        <v>1s3.37</v>
      </c>
      <c r="I87" s="13" t="str">
        <f>INT(P[[#This Row],[Moon]]/30)&amp;"s"&amp;ROUNDUP(MOD(P[[#This Row],[Moon]],30),2)</f>
        <v>5s0.81</v>
      </c>
      <c r="J87" s="14">
        <f t="shared" si="24"/>
        <v>45430.009513062891</v>
      </c>
      <c r="K87" s="10" t="str">
        <f>naks(P[[#This Row],[Moon]])</f>
        <v>Uttara Phalguni</v>
      </c>
      <c r="L87" s="15">
        <f>(C88-P[[#This Row],[SunRise]])/(MOD(360+V88-P[[#This Row],[Moon]],360))*(13.3333333333333-MOD(P[[#This Row],[Moon]],13.333333333333))+P[[#This Row],[SunRise]]</f>
        <v>45431.015724978264</v>
      </c>
      <c r="M87" s="4" t="str">
        <f>IF(Panchanga!$R87&gt;15,"K","S")&amp;ROUNDUP(MOD(Panchanga!$R87,15),0)&amp;" ("&amp;ROUND(Panchanga!$R87,2)&amp;")"</f>
        <v>S10 (9.79)</v>
      </c>
      <c r="N87" s="4">
        <f>IF(AND(Panchanga!$R87&lt;28.5,Panchanga!$R87&gt;0.49999),MOD((Panchanga!$R87-0.5)*2,7),MOD((Panchanga!$R87+30-28.5),30)*2+7)</f>
        <v>4.5737999999999985</v>
      </c>
      <c r="O87" s="4" t="str">
        <f>CHOOSE(ROUNDUP(Panchanga!$N87,0),"Bhava","Baalava","Kaulava","Taitula","Garija","Vanija","Vishti","Shakuni","Chatushapda","Naaga","Kimstugna")</f>
        <v>Garija</v>
      </c>
      <c r="P87" s="11" t="str">
        <f>CHOOSE(ROUNDUP(Panchanga!$S87,0),"viṣkambha","prīti","āyuṣmāna","saubhāgya","śobhana","atigaṇḍa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("&amp;Panchanga!$S87&amp;")"</f>
        <v>harṣaṇa (13.82)</v>
      </c>
      <c r="Q87" s="4">
        <f>IF(AND(Panchanga!$R87&lt;28.5,Panchanga!$R87&gt;0.49999),MOD((Panchanga!$R87-0.5)*2,7),MOD((Panchanga!$R87+30-28.5),30)*2+7)</f>
        <v>4.5737999999999985</v>
      </c>
      <c r="R87" s="4">
        <f>ROUNDUP(MOD(360+P[[#This Row],[Moon]]-P[[#This Row],[Sun]],360)/12,4)</f>
        <v>9.7868999999999993</v>
      </c>
      <c r="S87" s="4">
        <f>ROUNDUP(MOD(P[[#This Row],[Sun]]+P[[#This Row],[Moon]],360)/13.333333333,2)</f>
        <v>13.82</v>
      </c>
      <c r="T87" s="4" t="str">
        <f>SIGN(W88-Panchanga!$W87)*INT(Panchanga!$W87/30+1)&amp;"Ma,"&amp;SIGN(X88-Panchanga!$X87)*INT(Panchanga!$X87/30+1)&amp;"Me,"&amp;SIGN(Y88-Panchanga!$Y87)*INT(Panchanga!$Y87/30+1)&amp;"J, "&amp;SIGN(Z88-Panchanga!$Z87)*INT(Panchanga!$Z87/30+1)&amp;"V,"&amp;SIGN(AA88-Panchanga!$AA87)*INT(Panchanga!$AA87/30+1)&amp;"S,"&amp;INT(Panchanga!$AB87/30+1)&amp;"R"</f>
        <v>12Ma,1Me,2J, 1V,11S,12R</v>
      </c>
      <c r="U87" s="4">
        <f t="shared" si="22"/>
        <v>33.366863396546215</v>
      </c>
      <c r="V87" s="4">
        <f t="shared" si="23"/>
        <v>150.80943367189181</v>
      </c>
      <c r="W87" s="4">
        <f>Planet(Panchanga!$G87,4)</f>
        <v>349.10800663274205</v>
      </c>
      <c r="X87" s="4">
        <f>Planet(Panchanga!$G87,2)</f>
        <v>8.7685109410582172</v>
      </c>
      <c r="Y87" s="4">
        <f>Planet(Panchanga!$G87,5)</f>
        <v>33.928207013198445</v>
      </c>
      <c r="Z87" s="4">
        <f>Planet(Panchanga!$G87,3)</f>
        <v>28.616868887975137</v>
      </c>
      <c r="AA87" s="4">
        <f>Planet(Panchanga!$G87,6)</f>
        <v>323.75667009370289</v>
      </c>
      <c r="AB87" s="4">
        <f>Planet(Panchanga!$G87,10)</f>
        <v>349.37265074048833</v>
      </c>
      <c r="AC87" s="4" t="str">
        <f>TEXT(Panchanga!$C87+($C88-Panchanga!$C87)/ABS(IF($R88&lt;1,$R88+30,$R88)-Panchanga!$R87)*(ROUNDUP(Panchanga!$R87,0)-Panchanga!$R87),"hh:mm AM/PM")</f>
        <v>11:22 AM</v>
      </c>
      <c r="AD87" s="4"/>
    </row>
    <row r="88" spans="1:30" x14ac:dyDescent="0.2">
      <c r="A88" s="3">
        <f t="shared" si="25"/>
        <v>45431</v>
      </c>
      <c r="B88" s="3">
        <f t="shared" si="20"/>
        <v>45431.229166666664</v>
      </c>
      <c r="C88" s="6">
        <f t="shared" si="21"/>
        <v>45431.238545037028</v>
      </c>
      <c r="D88" s="6">
        <f>sunset(Lat,Long,B88)+TimeZone/24-0.000277777777777778</f>
        <v>45430.769846675961</v>
      </c>
      <c r="E88" s="6">
        <f>PlanetRiseSet(Lat,Long,B88,1,1)+TimeZone/24+0.00103009259259259</f>
        <v>45430.599108623028</v>
      </c>
      <c r="F88" s="6">
        <f>PlanetRiseSet(Lat,Long,B88+1,1,2)+TimeZone/24+0.00103009259259259</f>
        <v>45432.135689750932</v>
      </c>
      <c r="G88" s="17">
        <f>Panchanga!$C88-TimeZone/24</f>
        <v>45431.009378370363</v>
      </c>
      <c r="H88" s="13" t="str">
        <f>INT(P[[#This Row],[Sun]]/30)&amp;"s"&amp;ROUNDUP(MOD(P[[#This Row],[Sun]],30),2)</f>
        <v>1s4.33</v>
      </c>
      <c r="I88" s="13" t="str">
        <f>INT(P[[#This Row],[Moon]]/30)&amp;"s"&amp;ROUNDUP(MOD(P[[#This Row],[Moon]],30),2)</f>
        <v>5s12.64</v>
      </c>
      <c r="J88" s="14">
        <f t="shared" si="24"/>
        <v>45431.009378370363</v>
      </c>
      <c r="K88" s="10" t="str">
        <f>naks(P[[#This Row],[Moon]])</f>
        <v>Hasta</v>
      </c>
      <c r="L88" s="15">
        <f>(C89-P[[#This Row],[SunRise]])/(MOD(360+V89-P[[#This Row],[Moon]],360))*(13.3333333333333-MOD(P[[#This Row],[Moon]],13.333333333333))+P[[#This Row],[SunRise]]</f>
        <v>45432.135729144793</v>
      </c>
      <c r="M88" s="4" t="str">
        <f>IF(Panchanga!$R88&gt;15,"K","S")&amp;ROUNDUP(MOD(Panchanga!$R88,15),0)&amp;" ("&amp;ROUND(Panchanga!$R88,2)&amp;")"</f>
        <v>S11 (10.69)</v>
      </c>
      <c r="N88" s="4">
        <f>IF(AND(Panchanga!$R88&lt;28.5,Panchanga!$R88&gt;0.49999),MOD((Panchanga!$R88-0.5)*2,7),MOD((Panchanga!$R88+30-28.5),30)*2+7)</f>
        <v>6.3843999999999994</v>
      </c>
      <c r="O88" s="4" t="str">
        <f>CHOOSE(ROUNDUP(Panchanga!$N88,0),"Bhava","Baalava","Kaulava","Taitula","Garija","Vanija","Vishti","Shakuni","Chatushapda","Naaga","Kimstugna")</f>
        <v>Vishti</v>
      </c>
      <c r="P88" s="11" t="str">
        <f>CHOOSE(ROUNDUP(Panchanga!$S88,0),"viṣkambha","prīti","āyuṣmāna","saubhāgya","śobhana","atigaṇḍa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("&amp;Panchanga!$S88&amp;")"</f>
        <v>vajra (14.78)</v>
      </c>
      <c r="Q88" s="4">
        <f>IF(AND(Panchanga!$R88&lt;28.5,Panchanga!$R88&gt;0.49999),MOD((Panchanga!$R88-0.5)*2,7),MOD((Panchanga!$R88+30-28.5),30)*2+7)</f>
        <v>6.3843999999999994</v>
      </c>
      <c r="R88" s="4">
        <f>ROUNDUP(MOD(360+P[[#This Row],[Moon]]-P[[#This Row],[Sun]],360)/12,4)</f>
        <v>10.6922</v>
      </c>
      <c r="S88" s="4">
        <f>ROUNDUP(MOD(P[[#This Row],[Sun]]+P[[#This Row],[Moon]],360)/13.333333333,2)</f>
        <v>14.78</v>
      </c>
      <c r="T88" s="4" t="str">
        <f>SIGN(W89-Panchanga!$W88)*INT(Panchanga!$W88/30+1)&amp;"Ma,"&amp;SIGN(X89-Panchanga!$X88)*INT(Panchanga!$X88/30+1)&amp;"Me,"&amp;SIGN(Y89-Panchanga!$Y88)*INT(Panchanga!$Y88/30+1)&amp;"J, "&amp;SIGN(Z89-Panchanga!$Z88)*INT(Panchanga!$Z88/30+1)&amp;"V,"&amp;SIGN(AA89-Panchanga!$AA88)*INT(Panchanga!$AA88/30+1)&amp;"S,"&amp;INT(Panchanga!$AB88/30+1)&amp;"R"</f>
        <v>12Ma,1Me,2J, 1V,11S,12R</v>
      </c>
      <c r="U88" s="4">
        <f t="shared" si="22"/>
        <v>34.329561552114491</v>
      </c>
      <c r="V88" s="4">
        <f t="shared" si="23"/>
        <v>162.63542249660841</v>
      </c>
      <c r="W88" s="4">
        <f>Planet(Panchanga!$G88,4)</f>
        <v>349.86842783937294</v>
      </c>
      <c r="X88" s="4">
        <f>Planet(Panchanga!$G88,2)</f>
        <v>10.126958367003228</v>
      </c>
      <c r="Y88" s="4">
        <f>Planet(Panchanga!$G88,5)</f>
        <v>34.163980226705064</v>
      </c>
      <c r="Z88" s="4">
        <f>Planet(Panchanga!$G88,3)</f>
        <v>29.846550133004534</v>
      </c>
      <c r="AA88" s="4">
        <f>Planet(Panchanga!$G88,6)</f>
        <v>323.82248094474409</v>
      </c>
      <c r="AB88" s="4">
        <f>Planet(Panchanga!$G88,10)</f>
        <v>349.31966589079371</v>
      </c>
      <c r="AC88" s="4" t="str">
        <f>TEXT(Panchanga!$C88+($C89-Panchanga!$C88)/ABS(IF($R89&lt;1,$R89+30,$R89)-Panchanga!$R88)*(ROUNDUP(Panchanga!$R88,0)-Panchanga!$R88),"hh:mm AM/PM")</f>
        <v>01:48 PM</v>
      </c>
      <c r="AD88" s="4"/>
    </row>
    <row r="89" spans="1:30" x14ac:dyDescent="0.2">
      <c r="A89" s="3">
        <f t="shared" si="25"/>
        <v>45432</v>
      </c>
      <c r="B89" s="3">
        <f t="shared" si="20"/>
        <v>45432.229166666664</v>
      </c>
      <c r="C89" s="6">
        <f t="shared" si="21"/>
        <v>45432.238420362271</v>
      </c>
      <c r="D89" s="6">
        <f>sunset(Lat,Long,B89)+TimeZone/24-0.000277777777777778</f>
        <v>45431.770045566416</v>
      </c>
      <c r="E89" s="6">
        <f>PlanetRiseSet(Lat,Long,B89,1,1)+TimeZone/24+0.00103009259259259</f>
        <v>45431.630195993152</v>
      </c>
      <c r="F89" s="6">
        <f>PlanetRiseSet(Lat,Long,B89+1,1,2)+TimeZone/24+0.00103009259259259</f>
        <v>45433.160286073726</v>
      </c>
      <c r="G89" s="17">
        <f>Panchanga!$C89-TimeZone/24</f>
        <v>45432.009253695607</v>
      </c>
      <c r="H89" s="13" t="str">
        <f>INT(P[[#This Row],[Sun]]/30)&amp;"s"&amp;ROUNDUP(MOD(P[[#This Row],[Sun]],30),2)</f>
        <v>1s5.3</v>
      </c>
      <c r="I89" s="13" t="str">
        <f>INT(P[[#This Row],[Moon]]/30)&amp;"s"&amp;ROUNDUP(MOD(P[[#This Row],[Moon]],30),2)</f>
        <v>5s24.56</v>
      </c>
      <c r="J89" s="14">
        <f t="shared" si="24"/>
        <v>45432.009253695607</v>
      </c>
      <c r="K89" s="10" t="str">
        <f>naks(P[[#This Row],[Moon]])</f>
        <v>Chitra</v>
      </c>
      <c r="L89" s="15">
        <f>(C90-P[[#This Row],[SunRise]])/(MOD(360+V90-P[[#This Row],[Moon]],360))*(13.3333333333333-MOD(P[[#This Row],[Moon]],13.333333333333))+P[[#This Row],[SunRise]]</f>
        <v>45433.240485361239</v>
      </c>
      <c r="M89" s="4" t="str">
        <f>IF(Panchanga!$R89&gt;15,"K","S")&amp;ROUNDUP(MOD(Panchanga!$R89,15),0)&amp;" ("&amp;ROUND(Panchanga!$R89,2)&amp;")"</f>
        <v>S12 (11.61)</v>
      </c>
      <c r="N89" s="4">
        <f>IF(AND(Panchanga!$R89&lt;28.5,Panchanga!$R89&gt;0.49999),MOD((Panchanga!$R89-0.5)*2,7),MOD((Panchanga!$R89+30-28.5),30)*2+7)</f>
        <v>1.2109999999999985</v>
      </c>
      <c r="O89" s="4" t="str">
        <f>CHOOSE(ROUNDUP(Panchanga!$N89,0),"Bhava","Baalava","Kaulava","Taitula","Garija","Vanija","Vishti","Shakuni","Chatushapda","Naaga","Kimstugna")</f>
        <v>Baalava</v>
      </c>
      <c r="P89" s="11" t="str">
        <f>CHOOSE(ROUNDUP(Panchanga!$S89,0),"viṣkambha","prīti","āyuṣmāna","saubhāgya","śobhana","atigaṇḍa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("&amp;Panchanga!$S89&amp;")"</f>
        <v>siddhi (15.74)</v>
      </c>
      <c r="Q89" s="4">
        <f>IF(AND(Panchanga!$R89&lt;28.5,Panchanga!$R89&gt;0.49999),MOD((Panchanga!$R89-0.5)*2,7),MOD((Panchanga!$R89+30-28.5),30)*2+7)</f>
        <v>1.2109999999999985</v>
      </c>
      <c r="R89" s="4">
        <f>ROUNDUP(MOD(360+P[[#This Row],[Moon]]-P[[#This Row],[Sun]],360)/12,4)</f>
        <v>11.605499999999999</v>
      </c>
      <c r="S89" s="4">
        <f>ROUNDUP(MOD(P[[#This Row],[Sun]]+P[[#This Row],[Moon]],360)/13.333333333,2)</f>
        <v>15.74</v>
      </c>
      <c r="T89" s="4" t="str">
        <f>SIGN(W90-Panchanga!$W89)*INT(Panchanga!$W89/30+1)&amp;"Ma,"&amp;SIGN(X90-Panchanga!$X89)*INT(Panchanga!$X89/30+1)&amp;"Me,"&amp;SIGN(Y90-Panchanga!$Y89)*INT(Panchanga!$Y89/30+1)&amp;"J, "&amp;SIGN(Z90-Panchanga!$Z89)*INT(Panchanga!$Z89/30+1)&amp;"V,"&amp;SIGN(AA90-Panchanga!$AA89)*INT(Panchanga!$AA89/30+1)&amp;"S,"&amp;INT(Panchanga!$AB89/30+1)&amp;"R"</f>
        <v>12Ma,1Me,2J, 2V,11S,12R</v>
      </c>
      <c r="U89" s="4">
        <f t="shared" si="22"/>
        <v>35.291826630284085</v>
      </c>
      <c r="V89" s="4">
        <f t="shared" si="23"/>
        <v>174.55781053796466</v>
      </c>
      <c r="W89" s="4">
        <f>Planet(Panchanga!$G89,4)</f>
        <v>350.62817032540636</v>
      </c>
      <c r="X89" s="4">
        <f>Planet(Panchanga!$G89,2)</f>
        <v>11.525869408334549</v>
      </c>
      <c r="Y89" s="4">
        <f>Planet(Panchanga!$G89,5)</f>
        <v>34.399767365813695</v>
      </c>
      <c r="Z89" s="4">
        <f>Planet(Panchanga!$G89,3)</f>
        <v>31.076123391278767</v>
      </c>
      <c r="AA89" s="4">
        <f>Planet(Panchanga!$G89,6)</f>
        <v>323.88693832337754</v>
      </c>
      <c r="AB89" s="4">
        <f>Planet(Panchanga!$G89,10)</f>
        <v>349.26668051023734</v>
      </c>
      <c r="AC89" s="4" t="str">
        <f>TEXT(Panchanga!$C89+($C90-Panchanga!$C89)/ABS(IF($R90&lt;1,$R90+30,$R90)-Panchanga!$R89)*(ROUNDUP(Panchanga!$R89,0)-Panchanga!$R89),"hh:mm AM/PM")</f>
        <v>03:56 PM</v>
      </c>
      <c r="AD89" s="4"/>
    </row>
    <row r="90" spans="1:30" x14ac:dyDescent="0.2">
      <c r="A90" s="3">
        <f t="shared" si="25"/>
        <v>45433</v>
      </c>
      <c r="B90" s="3">
        <f t="shared" si="20"/>
        <v>45433.229166666664</v>
      </c>
      <c r="C90" s="6">
        <f t="shared" si="21"/>
        <v>45433.238305732761</v>
      </c>
      <c r="D90" s="6">
        <f>sunset(Lat,Long,B90)+TimeZone/24-0.000277777777777778</f>
        <v>45432.770246650602</v>
      </c>
      <c r="E90" s="6">
        <f>PlanetRiseSet(Lat,Long,B90,1,1)+TimeZone/24+0.00103009259259259</f>
        <v>45432.662101726666</v>
      </c>
      <c r="F90" s="6">
        <f>PlanetRiseSet(Lat,Long,B90+1,1,2)+TimeZone/24+0.00103009259259259</f>
        <v>45434.18695442161</v>
      </c>
      <c r="G90" s="17">
        <f>Panchanga!$C90-TimeZone/24</f>
        <v>45433.009139066096</v>
      </c>
      <c r="H90" s="13" t="str">
        <f>INT(P[[#This Row],[Sun]]/30)&amp;"s"&amp;ROUNDUP(MOD(P[[#This Row],[Sun]],30),2)</f>
        <v>1s6.26</v>
      </c>
      <c r="I90" s="13" t="str">
        <f>INT(P[[#This Row],[Moon]]/30)&amp;"s"&amp;ROUNDUP(MOD(P[[#This Row],[Moon]],30),2)</f>
        <v>6s6.65</v>
      </c>
      <c r="J90" s="14">
        <f t="shared" si="24"/>
        <v>45433.009139066096</v>
      </c>
      <c r="K90" s="10" t="str">
        <f>naks(P[[#This Row],[Moon]])</f>
        <v>Swati</v>
      </c>
      <c r="L90" s="15">
        <f>(C91-P[[#This Row],[SunRise]])/(MOD(360+V91-P[[#This Row],[Moon]],360))*(13.3333333333333-MOD(P[[#This Row],[Moon]],13.333333333333))+P[[#This Row],[SunRise]]</f>
        <v>45433.240448195851</v>
      </c>
      <c r="M90" s="4" t="str">
        <f>IF(Panchanga!$R90&gt;15,"K","S")&amp;ROUNDUP(MOD(Panchanga!$R90,15),0)&amp;" ("&amp;ROUND(Panchanga!$R90,2)&amp;")"</f>
        <v>S13 (12.53)</v>
      </c>
      <c r="N90" s="4">
        <f>IF(AND(Panchanga!$R90&lt;28.5,Panchanga!$R90&gt;0.49999),MOD((Panchanga!$R90-0.5)*2,7),MOD((Panchanga!$R90+30-28.5),30)*2+7)</f>
        <v>3.0645999999999987</v>
      </c>
      <c r="O90" s="4" t="str">
        <f>CHOOSE(ROUNDUP(Panchanga!$N90,0),"Bhava","Baalava","Kaulava","Taitula","Garija","Vanija","Vishti","Shakuni","Chatushapda","Naaga","Kimstugna")</f>
        <v>Taitula</v>
      </c>
      <c r="P90" s="11" t="str">
        <f>CHOOSE(ROUNDUP(Panchanga!$S90,0),"viṣkambha","prīti","āyuṣmāna","saubhāgya","śobhana","atigaṇḍa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("&amp;Panchanga!$S90&amp;")"</f>
        <v>vyatipāta (16.72)</v>
      </c>
      <c r="Q90" s="4">
        <f>IF(AND(Panchanga!$R90&lt;28.5,Panchanga!$R90&gt;0.49999),MOD((Panchanga!$R90-0.5)*2,7),MOD((Panchanga!$R90+30-28.5),30)*2+7)</f>
        <v>3.0645999999999987</v>
      </c>
      <c r="R90" s="4">
        <f>ROUNDUP(MOD(360+P[[#This Row],[Moon]]-P[[#This Row],[Sun]],360)/12,4)</f>
        <v>12.532299999999999</v>
      </c>
      <c r="S90" s="4">
        <f>ROUNDUP(MOD(P[[#This Row],[Sun]]+P[[#This Row],[Moon]],360)/13.333333333,2)</f>
        <v>16.720000000000002</v>
      </c>
      <c r="T90" s="4" t="str">
        <f>SIGN(W91-Panchanga!$W90)*INT(Panchanga!$W90/30+1)&amp;"Ma,"&amp;SIGN(X91-Panchanga!$X90)*INT(Panchanga!$X90/30+1)&amp;"Me,"&amp;SIGN(Y91-Panchanga!$Y90)*INT(Panchanga!$Y90/30+1)&amp;"J, "&amp;SIGN(Z91-Panchanga!$Z90)*INT(Panchanga!$Z90/30+1)&amp;"V,"&amp;SIGN(AA91-Panchanga!$AA90)*INT(Panchanga!$AA90/30+1)&amp;"S,"&amp;INT(Panchanga!$AB90/30+1)&amp;"R"</f>
        <v>12Ma,1Me,2J, 2V,11S,12R</v>
      </c>
      <c r="U90" s="4">
        <f t="shared" si="22"/>
        <v>36.253674495777013</v>
      </c>
      <c r="V90" s="4">
        <f t="shared" si="23"/>
        <v>186.64032824782484</v>
      </c>
      <c r="W90" s="4">
        <f>Planet(Panchanga!$G90,4)</f>
        <v>351.38722903444932</v>
      </c>
      <c r="X90" s="4">
        <f>Planet(Panchanga!$G90,2)</f>
        <v>12.964732296416663</v>
      </c>
      <c r="Y90" s="4">
        <f>Planet(Panchanga!$G90,5)</f>
        <v>34.635546716915051</v>
      </c>
      <c r="Z90" s="4">
        <f>Planet(Panchanga!$G90,3)</f>
        <v>32.305597092292075</v>
      </c>
      <c r="AA90" s="4">
        <f>Planet(Panchanga!$G90,6)</f>
        <v>323.95003058855468</v>
      </c>
      <c r="AB90" s="4">
        <f>Planet(Panchanga!$G90,10)</f>
        <v>349.2136945973615</v>
      </c>
      <c r="AC90" s="4" t="str">
        <f>TEXT(Panchanga!$C90+($C91-Panchanga!$C90)/ABS(IF($R91&lt;1,$R91+30,$R91)-Panchanga!$R90)*(ROUNDUP(Panchanga!$R90,0)-Panchanga!$R90),"hh:mm AM/PM")</f>
        <v>05:36 PM</v>
      </c>
      <c r="AD90" s="4"/>
    </row>
    <row r="91" spans="1:30" x14ac:dyDescent="0.2">
      <c r="A91" s="3">
        <f t="shared" si="25"/>
        <v>45434</v>
      </c>
      <c r="B91" s="3">
        <f t="shared" si="20"/>
        <v>45434.229166666664</v>
      </c>
      <c r="C91" s="6">
        <f t="shared" si="21"/>
        <v>45434.238201168984</v>
      </c>
      <c r="D91" s="6">
        <f>sunset(Lat,Long,B91)+TimeZone/24-0.000277777777777778</f>
        <v>45433.770449786491</v>
      </c>
      <c r="E91" s="6">
        <f>PlanetRiseSet(Lat,Long,B91,1,1)+TimeZone/24+0.00103009259259259</f>
        <v>45433.695558257088</v>
      </c>
      <c r="F91" s="6">
        <f>PlanetRiseSet(Lat,Long,B91+1,1,2)+TimeZone/24+0.00103009259259259</f>
        <v>45435.216532650556</v>
      </c>
      <c r="G91" s="17">
        <f>Panchanga!$C91-TimeZone/24</f>
        <v>45434.00903450232</v>
      </c>
      <c r="H91" s="13" t="str">
        <f>INT(P[[#This Row],[Sun]]/30)&amp;"s"&amp;ROUNDUP(MOD(P[[#This Row],[Sun]],30),2)</f>
        <v>1s7.22</v>
      </c>
      <c r="I91" s="13" t="str">
        <f>INT(P[[#This Row],[Moon]]/30)&amp;"s"&amp;ROUNDUP(MOD(P[[#This Row],[Moon]],30),2)</f>
        <v>6s18.94</v>
      </c>
      <c r="J91" s="14">
        <f t="shared" si="24"/>
        <v>45434.00903450232</v>
      </c>
      <c r="K91" s="10" t="str">
        <f>naks(P[[#This Row],[Moon]])</f>
        <v>Swati</v>
      </c>
      <c r="L91" s="15">
        <f>(C92-P[[#This Row],[SunRise]])/(MOD(360+V92-P[[#This Row],[Moon]],360))*(13.3333333333333-MOD(P[[#This Row],[Moon]],13.333333333333))+P[[#This Row],[SunRise]]</f>
        <v>45434.323349855222</v>
      </c>
      <c r="M91" s="4" t="str">
        <f>IF(Panchanga!$R91&gt;15,"K","S")&amp;ROUNDUP(MOD(Panchanga!$R91,15),0)&amp;" ("&amp;ROUND(Panchanga!$R91,2)&amp;")"</f>
        <v>S14 (13.48)</v>
      </c>
      <c r="N91" s="4">
        <f>IF(AND(Panchanga!$R91&lt;28.5,Panchanga!$R91&gt;0.49999),MOD((Panchanga!$R91-0.5)*2,7),MOD((Panchanga!$R91+30-28.5),30)*2+7)</f>
        <v>4.9529999999999994</v>
      </c>
      <c r="O91" s="4" t="str">
        <f>CHOOSE(ROUNDUP(Panchanga!$N91,0),"Bhava","Baalava","Kaulava","Taitula","Garija","Vanija","Vishti","Shakuni","Chatushapda","Naaga","Kimstugna")</f>
        <v>Garija</v>
      </c>
      <c r="P91" s="11" t="str">
        <f>CHOOSE(ROUNDUP(Panchanga!$S91,0),"viṣkambha","prīti","āyuṣmāna","saubhāgya","śobhana","atigaṇḍa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("&amp;Panchanga!$S91&amp;")"</f>
        <v>varīyas (17.72)</v>
      </c>
      <c r="Q91" s="4">
        <f>IF(AND(Panchanga!$R91&lt;28.5,Panchanga!$R91&gt;0.49999),MOD((Panchanga!$R91-0.5)*2,7),MOD((Panchanga!$R91+30-28.5),30)*2+7)</f>
        <v>4.9529999999999994</v>
      </c>
      <c r="R91" s="4">
        <f>ROUNDUP(MOD(360+P[[#This Row],[Moon]]-P[[#This Row],[Sun]],360)/12,4)</f>
        <v>13.4765</v>
      </c>
      <c r="S91" s="4">
        <f>ROUNDUP(MOD(P[[#This Row],[Sun]]+P[[#This Row],[Moon]],360)/13.333333333,2)</f>
        <v>17.720000000000002</v>
      </c>
      <c r="T91" s="4" t="str">
        <f>SIGN(W92-Panchanga!$W91)*INT(Panchanga!$W91/30+1)&amp;"Ma,"&amp;SIGN(X92-Panchanga!$X91)*INT(Panchanga!$X91/30+1)&amp;"Me,"&amp;SIGN(Y92-Panchanga!$Y91)*INT(Panchanga!$Y91/30+1)&amp;"J, "&amp;SIGN(Z92-Panchanga!$Z91)*INT(Panchanga!$Z91/30+1)&amp;"V,"&amp;SIGN(AA92-Panchanga!$AA91)*INT(Panchanga!$AA91/30+1)&amp;"S,"&amp;INT(Panchanga!$AB91/30+1)&amp;"R"</f>
        <v>12Ma,1Me,2J, 2V,11S,12R</v>
      </c>
      <c r="U91" s="4">
        <f t="shared" si="22"/>
        <v>37.215123089540029</v>
      </c>
      <c r="V91" s="4">
        <f t="shared" si="23"/>
        <v>198.93256556852322</v>
      </c>
      <c r="W91" s="4">
        <f>Planet(Panchanga!$G91,4)</f>
        <v>352.14559928487319</v>
      </c>
      <c r="X91" s="4">
        <f>Planet(Panchanga!$G91,2)</f>
        <v>14.443137520529485</v>
      </c>
      <c r="Y91" s="4">
        <f>Planet(Panchanga!$G91,5)</f>
        <v>34.871241051847583</v>
      </c>
      <c r="Z91" s="4">
        <f>Planet(Panchanga!$G91,3)</f>
        <v>33.534980696784075</v>
      </c>
      <c r="AA91" s="4">
        <f>Planet(Panchanga!$G91,6)</f>
        <v>324.01174619567723</v>
      </c>
      <c r="AB91" s="4">
        <f>Planet(Panchanga!$G91,10)</f>
        <v>349.16070815107247</v>
      </c>
      <c r="AC91" s="4" t="str">
        <f>TEXT(Panchanga!$C91+($C92-Panchanga!$C91)/ABS(IF($R92&lt;1,$R92+30,$R92)-Panchanga!$R91)*(ROUNDUP(Panchanga!$R91,0)-Panchanga!$R91),"hh:mm AM/PM")</f>
        <v>06:44 PM</v>
      </c>
      <c r="AD91" s="4"/>
    </row>
    <row r="92" spans="1:30" x14ac:dyDescent="0.2">
      <c r="A92" s="3">
        <f t="shared" si="25"/>
        <v>45435</v>
      </c>
      <c r="B92" s="3">
        <f t="shared" si="20"/>
        <v>45435.229166666664</v>
      </c>
      <c r="C92" s="6">
        <f t="shared" si="21"/>
        <v>45435.238106688637</v>
      </c>
      <c r="D92" s="6">
        <f>sunset(Lat,Long,B92)+TimeZone/24-0.000277777777777778</f>
        <v>45434.770654831591</v>
      </c>
      <c r="E92" s="6">
        <f>PlanetRiseSet(Lat,Long,B92,1,1)+TimeZone/24+0.00103009259259259</f>
        <v>45434.731150323212</v>
      </c>
      <c r="F92" s="6">
        <f>PlanetRiseSet(Lat,Long,B92+1,1,2)+TimeZone/24+0.00103009259259259</f>
        <v>45436.249688388001</v>
      </c>
      <c r="G92" s="17">
        <f>Panchanga!$C92-TimeZone/24</f>
        <v>45435.008940021973</v>
      </c>
      <c r="H92" s="13" t="str">
        <f>INT(P[[#This Row],[Sun]]/30)&amp;"s"&amp;ROUNDUP(MOD(P[[#This Row],[Sun]],30),2)</f>
        <v>1s8.18</v>
      </c>
      <c r="I92" s="13" t="str">
        <f>INT(P[[#This Row],[Moon]]/30)&amp;"s"&amp;ROUNDUP(MOD(P[[#This Row],[Moon]],30),2)</f>
        <v>7s1.47</v>
      </c>
      <c r="J92" s="14">
        <f t="shared" si="24"/>
        <v>45435.008940021973</v>
      </c>
      <c r="K92" s="10" t="str">
        <f>naks(P[[#This Row],[Moon]])</f>
        <v>Visakha</v>
      </c>
      <c r="L92" s="15">
        <f>(C93-P[[#This Row],[SunRise]])/(MOD(360+V93-P[[#This Row],[Moon]],360))*(13.3333333333333-MOD(P[[#This Row],[Moon]],13.333333333333))+P[[#This Row],[SunRise]]</f>
        <v>45435.383943203662</v>
      </c>
      <c r="M92" s="4" t="str">
        <f>IF(Panchanga!$R92&gt;15,"K","S")&amp;ROUNDUP(MOD(Panchanga!$R92,15),0)&amp;" ("&amp;ROUND(Panchanga!$R92,2)&amp;")"</f>
        <v>S15 (14.44)</v>
      </c>
      <c r="N92" s="4">
        <f>IF(AND(Panchanga!$R92&lt;28.5,Panchanga!$R92&gt;0.49999),MOD((Panchanga!$R92-0.5)*2,7),MOD((Panchanga!$R92+30-28.5),30)*2+7)</f>
        <v>6.8819999999999979</v>
      </c>
      <c r="O92" s="4" t="str">
        <f>CHOOSE(ROUNDUP(Panchanga!$N92,0),"Bhava","Baalava","Kaulava","Taitula","Garija","Vanija","Vishti","Shakuni","Chatushapda","Naaga","Kimstugna")</f>
        <v>Vishti</v>
      </c>
      <c r="P92" s="11" t="str">
        <f>CHOOSE(ROUNDUP(Panchanga!$S92,0),"viṣkambha","prīti","āyuṣmāna","saubhāgya","śobhana","atigaṇḍa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("&amp;Panchanga!$S92&amp;")"</f>
        <v>parigha (18.73)</v>
      </c>
      <c r="Q92" s="4">
        <f>IF(AND(Panchanga!$R92&lt;28.5,Panchanga!$R92&gt;0.49999),MOD((Panchanga!$R92-0.5)*2,7),MOD((Panchanga!$R92+30-28.5),30)*2+7)</f>
        <v>6.8819999999999979</v>
      </c>
      <c r="R92" s="4">
        <f>ROUNDUP(MOD(360+P[[#This Row],[Moon]]-P[[#This Row],[Sun]],360)/12,4)</f>
        <v>14.440999999999999</v>
      </c>
      <c r="S92" s="4">
        <f>ROUNDUP(MOD(P[[#This Row],[Sun]]+P[[#This Row],[Moon]],360)/13.333333333,2)</f>
        <v>18.73</v>
      </c>
      <c r="T92" s="4" t="str">
        <f>SIGN(W93-Panchanga!$W92)*INT(Panchanga!$W92/30+1)&amp;"Ma,"&amp;SIGN(X93-Panchanga!$X92)*INT(Panchanga!$X92/30+1)&amp;"Me,"&amp;SIGN(Y93-Panchanga!$Y92)*INT(Panchanga!$Y92/30+1)&amp;"J, "&amp;SIGN(Z93-Panchanga!$Z92)*INT(Panchanga!$Z92/30+1)&amp;"V,"&amp;SIGN(AA93-Panchanga!$AA92)*INT(Panchanga!$AA92/30+1)&amp;"S,"&amp;INT(Panchanga!$AB92/30+1)&amp;"R"</f>
        <v>12Ma,1Me,2J, 2V,11S,12R</v>
      </c>
      <c r="U92" s="4">
        <f t="shared" si="22"/>
        <v>38.176192435895153</v>
      </c>
      <c r="V92" s="4">
        <f t="shared" si="23"/>
        <v>211.46750447477928</v>
      </c>
      <c r="W92" s="4">
        <f>Planet(Panchanga!$G92,4)</f>
        <v>352.90327656505684</v>
      </c>
      <c r="X92" s="4">
        <f>Planet(Panchanga!$G92,2)</f>
        <v>15.960767809687722</v>
      </c>
      <c r="Y92" s="4">
        <f>Planet(Panchanga!$G92,5)</f>
        <v>35.106832946715585</v>
      </c>
      <c r="Z92" s="4">
        <f>Planet(Panchanga!$G92,3)</f>
        <v>34.764284695415526</v>
      </c>
      <c r="AA92" s="4">
        <f>Planet(Panchanga!$G92,6)</f>
        <v>324.07207363161211</v>
      </c>
      <c r="AB92" s="4">
        <f>Planet(Panchanga!$G92,10)</f>
        <v>349.10772117050863</v>
      </c>
      <c r="AC92" s="4" t="str">
        <f>TEXT(Panchanga!$C92+($C93-Panchanga!$C92)/ABS(IF($R93&lt;1,$R93+30,$R93)-Panchanga!$R92)*(ROUNDUP(Panchanga!$R92,0)-Panchanga!$R92),"hh:mm AM/PM")</f>
        <v>07:19 PM</v>
      </c>
      <c r="AD92" s="4"/>
    </row>
    <row r="93" spans="1:30" x14ac:dyDescent="0.2">
      <c r="A93" s="3">
        <f t="shared" si="25"/>
        <v>45436</v>
      </c>
      <c r="B93" s="3">
        <f t="shared" si="20"/>
        <v>45436.229166666664</v>
      </c>
      <c r="C93" s="6">
        <f t="shared" si="21"/>
        <v>45436.23802230243</v>
      </c>
      <c r="D93" s="6">
        <f>sunset(Lat,Long,B93)+TimeZone/24-0.000277777777777778</f>
        <v>45435.770861638288</v>
      </c>
      <c r="E93" s="6">
        <f>PlanetRiseSet(Lat,Long,B93,1,1)+TimeZone/24+0.00103009259259259</f>
        <v>45435.769134479728</v>
      </c>
      <c r="F93" s="6">
        <f>PlanetRiseSet(Lat,Long,B93+1,1,2)+TimeZone/24+0.00103009259259259</f>
        <v>45437.28664226659</v>
      </c>
      <c r="G93" s="17">
        <f>Panchanga!$C93-TimeZone/24</f>
        <v>45436.008855635766</v>
      </c>
      <c r="H93" s="13" t="str">
        <f>INT(P[[#This Row],[Sun]]/30)&amp;"s"&amp;ROUNDUP(MOD(P[[#This Row],[Sun]],30),2)</f>
        <v>1s9.14</v>
      </c>
      <c r="I93" s="13" t="str">
        <f>INT(P[[#This Row],[Moon]]/30)&amp;"s"&amp;ROUNDUP(MOD(P[[#This Row],[Moon]],30),2)</f>
        <v>7s14.27</v>
      </c>
      <c r="J93" s="14">
        <f t="shared" si="24"/>
        <v>45436.008855635766</v>
      </c>
      <c r="K93" s="10" t="str">
        <f>naks(P[[#This Row],[Moon]])</f>
        <v>Anuradha</v>
      </c>
      <c r="L93" s="15">
        <f>(C94-P[[#This Row],[SunRise]])/(MOD(360+V94-P[[#This Row],[Moon]],360))*(13.3333333333333-MOD(P[[#This Row],[Moon]],13.333333333333))+P[[#This Row],[SunRise]]</f>
        <v>45436.422410069892</v>
      </c>
      <c r="M93" s="4" t="str">
        <f>IF(Panchanga!$R93&gt;15,"K","S")&amp;ROUNDUP(MOD(Panchanga!$R93,15),0)&amp;" ("&amp;ROUND(Panchanga!$R93,2)&amp;")"</f>
        <v>K1 (15.43)</v>
      </c>
      <c r="N93" s="4">
        <f>IF(AND(Panchanga!$R93&lt;28.5,Panchanga!$R93&gt;0.49999),MOD((Panchanga!$R93-0.5)*2,7),MOD((Panchanga!$R93+30-28.5),30)*2+7)</f>
        <v>1.8539999999999992</v>
      </c>
      <c r="O93" s="4" t="str">
        <f>CHOOSE(ROUNDUP(Panchanga!$N93,0),"Bhava","Baalava","Kaulava","Taitula","Garija","Vanija","Vishti","Shakuni","Chatushapda","Naaga","Kimstugna")</f>
        <v>Baalava</v>
      </c>
      <c r="P93" s="11" t="str">
        <f>CHOOSE(ROUNDUP(Panchanga!$S93,0),"viṣkambha","prīti","āyuṣmāna","saubhāgya","śobhana","atigaṇḍa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("&amp;Panchanga!$S93&amp;")"</f>
        <v>śiva (19.76)</v>
      </c>
      <c r="Q93" s="4">
        <f>IF(AND(Panchanga!$R93&lt;28.5,Panchanga!$R93&gt;0.49999),MOD((Panchanga!$R93-0.5)*2,7),MOD((Panchanga!$R93+30-28.5),30)*2+7)</f>
        <v>1.8539999999999992</v>
      </c>
      <c r="R93" s="4">
        <f>ROUNDUP(MOD(360+P[[#This Row],[Moon]]-P[[#This Row],[Sun]],360)/12,4)</f>
        <v>15.427</v>
      </c>
      <c r="S93" s="4">
        <f>ROUNDUP(MOD(P[[#This Row],[Sun]]+P[[#This Row],[Moon]],360)/13.333333333,2)</f>
        <v>19.760000000000002</v>
      </c>
      <c r="T93" s="4" t="str">
        <f>SIGN(W94-Panchanga!$W93)*INT(Panchanga!$W93/30+1)&amp;"Ma,"&amp;SIGN(X94-Panchanga!$X93)*INT(Panchanga!$X93/30+1)&amp;"Me,"&amp;SIGN(Y94-Panchanga!$Y93)*INT(Panchanga!$Y93/30+1)&amp;"J, "&amp;SIGN(Z94-Panchanga!$Z93)*INT(Panchanga!$Z93/30+1)&amp;"V,"&amp;SIGN(AA94-Panchanga!$AA93)*INT(Panchanga!$AA93/30+1)&amp;"S,"&amp;INT(Panchanga!$AB93/30+1)&amp;"R"</f>
        <v>12Ma,1Me,2J, 2V,11S,12R</v>
      </c>
      <c r="U93" s="4">
        <f t="shared" si="22"/>
        <v>39.136904431667617</v>
      </c>
      <c r="V93" s="4">
        <f t="shared" si="23"/>
        <v>224.2604007398343</v>
      </c>
      <c r="W93" s="4">
        <f>Planet(Panchanga!$G93,4)</f>
        <v>353.66025618078748</v>
      </c>
      <c r="X93" s="4">
        <f>Planet(Panchanga!$G93,2)</f>
        <v>17.517386463341129</v>
      </c>
      <c r="Y93" s="4">
        <f>Planet(Panchanga!$G93,5)</f>
        <v>35.342308389301429</v>
      </c>
      <c r="Z93" s="4">
        <f>Planet(Panchanga!$G93,3)</f>
        <v>35.993520481459399</v>
      </c>
      <c r="AA93" s="4">
        <f>Planet(Panchanga!$G93,6)</f>
        <v>324.13100132851548</v>
      </c>
      <c r="AB93" s="4">
        <f>Planet(Panchanga!$G93,10)</f>
        <v>349.05473365492446</v>
      </c>
      <c r="AC93" s="4" t="str">
        <f>TEXT(Panchanga!$C93+($C94-Panchanga!$C93)/ABS(IF($R94&lt;1,$R94+30,$R94)-Panchanga!$R93)*(ROUNDUP(Panchanga!$R93,0)-Panchanga!$R93),"hh:mm AM/PM")</f>
        <v>07:21 PM</v>
      </c>
      <c r="AD93" s="4"/>
    </row>
    <row r="94" spans="1:30" x14ac:dyDescent="0.2">
      <c r="A94" s="3">
        <f t="shared" si="25"/>
        <v>45437</v>
      </c>
      <c r="B94" s="3">
        <f t="shared" si="20"/>
        <v>45437.229166666664</v>
      </c>
      <c r="C94" s="6">
        <f t="shared" si="21"/>
        <v>45437.237948015019</v>
      </c>
      <c r="D94" s="6">
        <f>sunset(Lat,Long,B94)+TimeZone/24-0.000277777777777778</f>
        <v>45436.771070056639</v>
      </c>
      <c r="E94" s="6">
        <f>PlanetRiseSet(Lat,Long,B94,1,1)+TimeZone/24+0.00103009259259259</f>
        <v>45436.809193115834</v>
      </c>
      <c r="F94" s="6">
        <f>PlanetRiseSet(Lat,Long,B94+1,1,2)+TimeZone/24+0.00103009259259259</f>
        <v>45438.326863514412</v>
      </c>
      <c r="G94" s="17">
        <f>Panchanga!$C94-TimeZone/24</f>
        <v>45437.008781348355</v>
      </c>
      <c r="H94" s="13" t="str">
        <f>INT(P[[#This Row],[Sun]]/30)&amp;"s"&amp;ROUNDUP(MOD(P[[#This Row],[Sun]],30),2)</f>
        <v>1s10.1</v>
      </c>
      <c r="I94" s="13" t="str">
        <f>INT(P[[#This Row],[Moon]]/30)&amp;"s"&amp;ROUNDUP(MOD(P[[#This Row],[Moon]],30),2)</f>
        <v>7s27.31</v>
      </c>
      <c r="J94" s="14">
        <f t="shared" si="24"/>
        <v>45437.008781348355</v>
      </c>
      <c r="K94" s="10" t="str">
        <f>naks(P[[#This Row],[Moon]])</f>
        <v>Jyestha</v>
      </c>
      <c r="L94" s="15">
        <f>(C95-P[[#This Row],[SunRise]])/(MOD(360+V95-P[[#This Row],[Moon]],360))*(13.3333333333333-MOD(P[[#This Row],[Moon]],13.333333333333))+P[[#This Row],[SunRise]]</f>
        <v>45437.440397632599</v>
      </c>
      <c r="M94" s="4" t="str">
        <f>IF(Panchanga!$R94&gt;15,"K","S")&amp;ROUNDUP(MOD(Panchanga!$R94,15),0)&amp;" ("&amp;ROUND(Panchanga!$R94,2)&amp;")"</f>
        <v>K2 (16.43)</v>
      </c>
      <c r="N94" s="4">
        <f>IF(AND(Panchanga!$R94&lt;28.5,Panchanga!$R94&gt;0.49999),MOD((Panchanga!$R94-0.5)*2,7),MOD((Panchanga!$R94+30-28.5),30)*2+7)</f>
        <v>3.8688000000000002</v>
      </c>
      <c r="O94" s="4" t="str">
        <f>CHOOSE(ROUNDUP(Panchanga!$N94,0),"Bhava","Baalava","Kaulava","Taitula","Garija","Vanija","Vishti","Shakuni","Chatushapda","Naaga","Kimstugna")</f>
        <v>Taitula</v>
      </c>
      <c r="P94" s="11" t="str">
        <f>CHOOSE(ROUNDUP(Panchanga!$S94,0),"viṣkambha","prīti","āyuṣmāna","saubhāgya","śobhana","atigaṇḍa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("&amp;Panchanga!$S94&amp;")"</f>
        <v>siddha (20.81)</v>
      </c>
      <c r="Q94" s="4">
        <f>IF(AND(Panchanga!$R94&lt;28.5,Panchanga!$R94&gt;0.49999),MOD((Panchanga!$R94-0.5)*2,7),MOD((Panchanga!$R94+30-28.5),30)*2+7)</f>
        <v>3.8688000000000002</v>
      </c>
      <c r="R94" s="4">
        <f>ROUNDUP(MOD(360+P[[#This Row],[Moon]]-P[[#This Row],[Sun]],360)/12,4)</f>
        <v>16.4344</v>
      </c>
      <c r="S94" s="4">
        <f>ROUNDUP(MOD(P[[#This Row],[Sun]]+P[[#This Row],[Moon]],360)/13.333333333,2)</f>
        <v>20.810000000000002</v>
      </c>
      <c r="T94" s="4" t="str">
        <f>SIGN(W95-Panchanga!$W94)*INT(Panchanga!$W94/30+1)&amp;"Ma,"&amp;SIGN(X95-Panchanga!$X94)*INT(Panchanga!$X94/30+1)&amp;"Me,"&amp;SIGN(Y95-Panchanga!$Y94)*INT(Panchanga!$Y94/30+1)&amp;"J, "&amp;SIGN(Z95-Panchanga!$Z94)*INT(Panchanga!$Z94/30+1)&amp;"V,"&amp;SIGN(AA95-Panchanga!$AA94)*INT(Panchanga!$AA94/30+1)&amp;"S,"&amp;INT(Panchanga!$AB94/30+1)&amp;"R"</f>
        <v>12Ma,1Me,2J, 2V,11S,12R</v>
      </c>
      <c r="U94" s="4">
        <f t="shared" si="22"/>
        <v>40.097282353439304</v>
      </c>
      <c r="V94" s="4">
        <f t="shared" si="23"/>
        <v>237.3094614487849</v>
      </c>
      <c r="W94" s="4">
        <f>Planet(Panchanga!$G94,4)</f>
        <v>354.41653279385082</v>
      </c>
      <c r="X94" s="4">
        <f>Planet(Panchanga!$G94,2)</f>
        <v>19.112823683740579</v>
      </c>
      <c r="Y94" s="4">
        <f>Planet(Panchanga!$G94,5)</f>
        <v>35.577652848734772</v>
      </c>
      <c r="Z94" s="4">
        <f>Planet(Panchanga!$G94,3)</f>
        <v>37.222700068109432</v>
      </c>
      <c r="AA94" s="4">
        <f>Planet(Panchanga!$G94,6)</f>
        <v>324.18851757259085</v>
      </c>
      <c r="AB94" s="4">
        <f>Planet(Panchanga!$G94,10)</f>
        <v>349.00174560430332</v>
      </c>
      <c r="AC94" s="4" t="str">
        <f>TEXT(Panchanga!$C94+($C95-Panchanga!$C94)/ABS(IF($R95&lt;1,$R95+30,$R95)-Panchanga!$R94)*(ROUNDUP(Panchanga!$R94,0)-Panchanga!$R94),"hh:mm AM/PM")</f>
        <v>06:55 PM</v>
      </c>
      <c r="AD94" s="4"/>
    </row>
    <row r="95" spans="1:30" x14ac:dyDescent="0.2">
      <c r="A95" s="3">
        <f t="shared" si="25"/>
        <v>45438</v>
      </c>
      <c r="B95" s="3">
        <f t="shared" si="20"/>
        <v>45438.229166666664</v>
      </c>
      <c r="C95" s="6">
        <f t="shared" si="21"/>
        <v>45438.237883823611</v>
      </c>
      <c r="D95" s="6">
        <f>sunset(Lat,Long,B95)+TimeZone/24-0.000277777777777778</f>
        <v>45437.771279928784</v>
      </c>
      <c r="E95" s="6">
        <f>PlanetRiseSet(Lat,Long,B95,1,1)+TimeZone/24+0.00103009259259259</f>
        <v>45437.85027679304</v>
      </c>
      <c r="F95" s="6">
        <f>PlanetRiseSet(Lat,Long,B95+1,1,2)+TimeZone/24+0.00103009259259259</f>
        <v>45439.369035378717</v>
      </c>
      <c r="G95" s="17">
        <f>Panchanga!$C95-TimeZone/24</f>
        <v>45438.008717156947</v>
      </c>
      <c r="H95" s="13" t="str">
        <f>INT(P[[#This Row],[Sun]]/30)&amp;"s"&amp;ROUNDUP(MOD(P[[#This Row],[Sun]],30),2)</f>
        <v>1s11.06</v>
      </c>
      <c r="I95" s="13" t="str">
        <f>INT(P[[#This Row],[Moon]]/30)&amp;"s"&amp;ROUNDUP(MOD(P[[#This Row],[Moon]],30),2)</f>
        <v>8s10.6</v>
      </c>
      <c r="J95" s="14">
        <f t="shared" si="24"/>
        <v>45438.008717156947</v>
      </c>
      <c r="K95" s="10" t="str">
        <f>naks(P[[#This Row],[Moon]])</f>
        <v>Moola</v>
      </c>
      <c r="L95" s="15">
        <f>(C96-P[[#This Row],[SunRise]])/(MOD(360+V96-P[[#This Row],[Moon]],360))*(13.3333333333333-MOD(P[[#This Row],[Moon]],13.333333333333))+P[[#This Row],[SunRise]]</f>
        <v>45438.440404743975</v>
      </c>
      <c r="M95" s="4" t="str">
        <f>IF(Panchanga!$R95&gt;15,"K","S")&amp;ROUNDUP(MOD(Panchanga!$R95,15),0)&amp;" ("&amp;ROUND(Panchanga!$R95,2)&amp;")"</f>
        <v>K3 (17.46)</v>
      </c>
      <c r="N95" s="4">
        <f>IF(AND(Panchanga!$R95&lt;28.5,Panchanga!$R95&gt;0.49999),MOD((Panchanga!$R95-0.5)*2,7),MOD((Panchanga!$R95+30-28.5),30)*2+7)</f>
        <v>5.9236000000000004</v>
      </c>
      <c r="O95" s="4" t="str">
        <f>CHOOSE(ROUNDUP(Panchanga!$N95,0),"Bhava","Baalava","Kaulava","Taitula","Garija","Vanija","Vishti","Shakuni","Chatushapda","Naaga","Kimstugna")</f>
        <v>Vanija</v>
      </c>
      <c r="P95" s="11" t="str">
        <f>CHOOSE(ROUNDUP(Panchanga!$S95,0),"viṣkambha","prīti","āyuṣmāna","saubhāgya","śobhana","atigaṇḍa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("&amp;Panchanga!$S95&amp;")"</f>
        <v>sādhya (21.88)</v>
      </c>
      <c r="Q95" s="4">
        <f>IF(AND(Panchanga!$R95&lt;28.5,Panchanga!$R95&gt;0.49999),MOD((Panchanga!$R95-0.5)*2,7),MOD((Panchanga!$R95+30-28.5),30)*2+7)</f>
        <v>5.9236000000000004</v>
      </c>
      <c r="R95" s="4">
        <f>ROUNDUP(MOD(360+P[[#This Row],[Moon]]-P[[#This Row],[Sun]],360)/12,4)</f>
        <v>17.4618</v>
      </c>
      <c r="S95" s="4">
        <f>ROUNDUP(MOD(P[[#This Row],[Sun]]+P[[#This Row],[Moon]],360)/13.333333333,2)</f>
        <v>21.880000000000003</v>
      </c>
      <c r="T95" s="4" t="str">
        <f>SIGN(W96-Panchanga!$W95)*INT(Panchanga!$W95/30+1)&amp;"Ma,"&amp;SIGN(X96-Panchanga!$X95)*INT(Panchanga!$X95/30+1)&amp;"Me,"&amp;SIGN(Y96-Panchanga!$Y95)*INT(Panchanga!$Y95/30+1)&amp;"J, "&amp;SIGN(Z96-Panchanga!$Z95)*INT(Panchanga!$Z95/30+1)&amp;"V,"&amp;SIGN(AA96-Panchanga!$AA95)*INT(Panchanga!$AA95/30+1)&amp;"S,"&amp;INT(Panchanga!$AB95/30+1)&amp;"R"</f>
        <v>12Ma,1Me,2J, 2V,11S,12R</v>
      </c>
      <c r="U95" s="4">
        <f t="shared" si="22"/>
        <v>41.057350116143525</v>
      </c>
      <c r="V95" s="4">
        <f t="shared" si="23"/>
        <v>250.59852503846048</v>
      </c>
      <c r="W95" s="4">
        <f>Planet(Panchanga!$G95,4)</f>
        <v>355.17209992185963</v>
      </c>
      <c r="X95" s="4">
        <f>Planet(Panchanga!$G95,2)</f>
        <v>20.746960577968022</v>
      </c>
      <c r="Y95" s="4">
        <f>Planet(Panchanga!$G95,5)</f>
        <v>35.812851350751401</v>
      </c>
      <c r="Z95" s="4">
        <f>Planet(Panchanga!$G95,3)</f>
        <v>38.451835674792591</v>
      </c>
      <c r="AA95" s="4">
        <f>Planet(Panchanga!$G95,6)</f>
        <v>324.24461041776937</v>
      </c>
      <c r="AB95" s="4">
        <f>Planet(Panchanga!$G95,10)</f>
        <v>348.94875701862878</v>
      </c>
      <c r="AC95" s="4" t="str">
        <f>TEXT(Panchanga!$C95+($C96-Panchanga!$C95)/ABS(IF($R96&lt;1,$R96+30,$R96)-Panchanga!$R95)*(ROUNDUP(Panchanga!$R95,0)-Panchanga!$R95),"hh:mm AM/PM")</f>
        <v>06:03 PM</v>
      </c>
      <c r="AD95" s="4"/>
    </row>
    <row r="96" spans="1:30" x14ac:dyDescent="0.2">
      <c r="A96" s="3">
        <f t="shared" si="25"/>
        <v>45439</v>
      </c>
      <c r="B96" s="3">
        <f t="shared" si="20"/>
        <v>45439.229166666664</v>
      </c>
      <c r="C96" s="6">
        <f t="shared" si="21"/>
        <v>45439.237829715632</v>
      </c>
      <c r="D96" s="6">
        <f>sunset(Lat,Long,B96)+TimeZone/24-0.000277777777777778</f>
        <v>45438.771491088948</v>
      </c>
      <c r="E96" s="6">
        <f>PlanetRiseSet(Lat,Long,B96,1,1)+TimeZone/24+0.00103009259259259</f>
        <v>45438.890798706248</v>
      </c>
      <c r="F96" s="6">
        <f>PlanetRiseSet(Lat,Long,B96+1,1,2)+TimeZone/24+0.00103009259259259</f>
        <v>45440.411515509397</v>
      </c>
      <c r="G96" s="17">
        <f>Panchanga!$C96-TimeZone/24</f>
        <v>45439.008663048968</v>
      </c>
      <c r="H96" s="13" t="str">
        <f>INT(P[[#This Row],[Sun]]/30)&amp;"s"&amp;ROUNDUP(MOD(P[[#This Row],[Sun]],30),2)</f>
        <v>1s12.02</v>
      </c>
      <c r="I96" s="13" t="str">
        <f>INT(P[[#This Row],[Moon]]/30)&amp;"s"&amp;ROUNDUP(MOD(P[[#This Row],[Moon]],30),2)</f>
        <v>8s24.11</v>
      </c>
      <c r="J96" s="14">
        <f t="shared" si="24"/>
        <v>45439.008663048968</v>
      </c>
      <c r="K96" s="10" t="str">
        <f>naks(P[[#This Row],[Moon]])</f>
        <v>Purva Asadha</v>
      </c>
      <c r="L96" s="15">
        <f>(C97-P[[#This Row],[SunRise]])/(MOD(360+V97-P[[#This Row],[Moon]],360))*(13.3333333333333-MOD(P[[#This Row],[Moon]],13.333333333333))+P[[#This Row],[SunRise]]</f>
        <v>45439.425227368294</v>
      </c>
      <c r="M96" s="4" t="str">
        <f>IF(Panchanga!$R96&gt;15,"K","S")&amp;ROUNDUP(MOD(Panchanga!$R96,15),0)&amp;" ("&amp;ROUND(Panchanga!$R96,2)&amp;")"</f>
        <v>K4 (18.51)</v>
      </c>
      <c r="N96" s="4">
        <f>IF(AND(Panchanga!$R96&lt;28.5,Panchanga!$R96&gt;0.49999),MOD((Panchanga!$R96-0.5)*2,7),MOD((Panchanga!$R96+30-28.5),30)*2+7)</f>
        <v>1.0142000000000024</v>
      </c>
      <c r="O96" s="4" t="str">
        <f>CHOOSE(ROUNDUP(Panchanga!$N96,0),"Bhava","Baalava","Kaulava","Taitula","Garija","Vanija","Vishti","Shakuni","Chatushapda","Naaga","Kimstugna")</f>
        <v>Baalava</v>
      </c>
      <c r="P96" s="11" t="str">
        <f>CHOOSE(ROUNDUP(Panchanga!$S96,0),"viṣkambha","prīti","āyuṣmāna","saubhāgya","śobhana","atigaṇḍa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("&amp;Panchanga!$S96&amp;")"</f>
        <v>śubha (22.96)</v>
      </c>
      <c r="Q96" s="4">
        <f>IF(AND(Panchanga!$R96&lt;28.5,Panchanga!$R96&gt;0.49999),MOD((Panchanga!$R96-0.5)*2,7),MOD((Panchanga!$R96+30-28.5),30)*2+7)</f>
        <v>1.0142000000000024</v>
      </c>
      <c r="R96" s="4">
        <f>ROUNDUP(MOD(360+P[[#This Row],[Moon]]-P[[#This Row],[Sun]],360)/12,4)</f>
        <v>18.507100000000001</v>
      </c>
      <c r="S96" s="4">
        <f>ROUNDUP(MOD(P[[#This Row],[Sun]]+P[[#This Row],[Moon]],360)/13.333333333,2)</f>
        <v>22.96</v>
      </c>
      <c r="T96" s="4" t="str">
        <f>SIGN(W97-Panchanga!$W96)*INT(Panchanga!$W96/30+1)&amp;"Ma,"&amp;SIGN(X97-Panchanga!$X96)*INT(Panchanga!$X96/30+1)&amp;"Me,"&amp;SIGN(Y97-Panchanga!$Y96)*INT(Panchanga!$Y96/30+1)&amp;"J, "&amp;SIGN(Z97-Panchanga!$Z96)*INT(Panchanga!$Z96/30+1)&amp;"V,"&amp;SIGN(AA97-Panchanga!$AA96)*INT(Panchanga!$AA96/30+1)&amp;"S,"&amp;INT(Panchanga!$AB96/30+1)&amp;"R"</f>
        <v>12Ma,1Me,2J, 2V,11S,12R</v>
      </c>
      <c r="U96" s="4">
        <f t="shared" si="22"/>
        <v>42.017131387491986</v>
      </c>
      <c r="V96" s="4">
        <f t="shared" si="23"/>
        <v>264.10162543414481</v>
      </c>
      <c r="W96" s="4">
        <f>Planet(Panchanga!$G96,4)</f>
        <v>355.9269494806278</v>
      </c>
      <c r="X96" s="4">
        <f>Planet(Panchanga!$G96,2)</f>
        <v>22.419710488919428</v>
      </c>
      <c r="Y96" s="4">
        <f>Planet(Panchanga!$G96,5)</f>
        <v>36.047888525184248</v>
      </c>
      <c r="Z96" s="4">
        <f>Planet(Panchanga!$G96,3)</f>
        <v>39.680939233971124</v>
      </c>
      <c r="AA96" s="4">
        <f>Planet(Panchanga!$G96,6)</f>
        <v>324.29926763884868</v>
      </c>
      <c r="AB96" s="4">
        <f>Planet(Panchanga!$G96,10)</f>
        <v>348.89576789862974</v>
      </c>
      <c r="AC96" s="4" t="str">
        <f>TEXT(Panchanga!$C96+($C97-Panchanga!$C96)/ABS(IF($R97&lt;1,$R97+30,$R97)-Panchanga!$R96)*(ROUNDUP(Panchanga!$R96,0)-Panchanga!$R96),"hh:mm AM/PM")</f>
        <v>04:51 PM</v>
      </c>
      <c r="AD96" s="4"/>
    </row>
    <row r="97" spans="1:30" x14ac:dyDescent="0.2">
      <c r="A97" s="3">
        <f t="shared" si="25"/>
        <v>45440</v>
      </c>
      <c r="B97" s="3">
        <f t="shared" si="20"/>
        <v>45440.229166666664</v>
      </c>
      <c r="C97" s="6">
        <f t="shared" si="21"/>
        <v>45440.237785668265</v>
      </c>
      <c r="D97" s="6">
        <f>sunset(Lat,Long,B97)+TimeZone/24-0.000277777777777778</f>
        <v>45439.771703361112</v>
      </c>
      <c r="E97" s="6">
        <f>PlanetRiseSet(Lat,Long,B97,1,1)+TimeZone/24+0.00103009259259259</f>
        <v>45439.929236465287</v>
      </c>
      <c r="F97" s="6">
        <f>PlanetRiseSet(Lat,Long,B97+1,1,2)+TimeZone/24+0.00103009259259259</f>
        <v>45441.45302669533</v>
      </c>
      <c r="G97" s="17">
        <f>Panchanga!$C97-TimeZone/24</f>
        <v>45440.008619001601</v>
      </c>
      <c r="H97" s="13" t="str">
        <f>INT(P[[#This Row],[Sun]]/30)&amp;"s"&amp;ROUNDUP(MOD(P[[#This Row],[Sun]],30),2)</f>
        <v>1s12.98</v>
      </c>
      <c r="I97" s="13" t="str">
        <f>INT(P[[#This Row],[Moon]]/30)&amp;"s"&amp;ROUNDUP(MOD(P[[#This Row],[Moon]],30),2)</f>
        <v>9s7.79</v>
      </c>
      <c r="J97" s="14">
        <f t="shared" si="24"/>
        <v>45440.008619001601</v>
      </c>
      <c r="K97" s="10" t="str">
        <f>naks(P[[#This Row],[Moon]])</f>
        <v>Uttara Asadha</v>
      </c>
      <c r="L97" s="15">
        <f>(C98-P[[#This Row],[SunRise]])/(MOD(360+V98-P[[#This Row],[Moon]],360))*(13.3333333333333-MOD(P[[#This Row],[Moon]],13.333333333333))+P[[#This Row],[SunRise]]</f>
        <v>45440.397528235415</v>
      </c>
      <c r="M97" s="4" t="str">
        <f>IF(Panchanga!$R97&gt;15,"K","S")&amp;ROUNDUP(MOD(Panchanga!$R97,15),0)&amp;" ("&amp;ROUND(Panchanga!$R97,2)&amp;")"</f>
        <v>K5 (19.57)</v>
      </c>
      <c r="N97" s="4">
        <f>IF(AND(Panchanga!$R97&lt;28.5,Panchanga!$R97&gt;0.49999),MOD((Panchanga!$R97-0.5)*2,7),MOD((Panchanga!$R97+30-28.5),30)*2+7)</f>
        <v>3.1353999999999971</v>
      </c>
      <c r="O97" s="4" t="str">
        <f>CHOOSE(ROUNDUP(Panchanga!$N97,0),"Bhava","Baalava","Kaulava","Taitula","Garija","Vanija","Vishti","Shakuni","Chatushapda","Naaga","Kimstugna")</f>
        <v>Taitula</v>
      </c>
      <c r="P97" s="11" t="str">
        <f>CHOOSE(ROUNDUP(Panchanga!$S97,0),"viṣkambha","prīti","āyuṣmāna","saubhāgya","śobhana","atigaṇḍa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("&amp;Panchanga!$S97&amp;")"</f>
        <v>brahma (24.06)</v>
      </c>
      <c r="Q97" s="4">
        <f>IF(AND(Panchanga!$R97&lt;28.5,Panchanga!$R97&gt;0.49999),MOD((Panchanga!$R97-0.5)*2,7),MOD((Panchanga!$R97+30-28.5),30)*2+7)</f>
        <v>3.1353999999999971</v>
      </c>
      <c r="R97" s="4">
        <f>ROUNDUP(MOD(360+P[[#This Row],[Moon]]-P[[#This Row],[Sun]],360)/12,4)</f>
        <v>19.567699999999999</v>
      </c>
      <c r="S97" s="4">
        <f>ROUNDUP(MOD(P[[#This Row],[Sun]]+P[[#This Row],[Moon]],360)/13.333333333,2)</f>
        <v>24.060000000000002</v>
      </c>
      <c r="T97" s="4" t="str">
        <f>SIGN(W98-Panchanga!$W97)*INT(Panchanga!$W97/30+1)&amp;"Ma,"&amp;SIGN(X98-Panchanga!$X97)*INT(Panchanga!$X97/30+1)&amp;"Me,"&amp;SIGN(Y98-Panchanga!$Y97)*INT(Panchanga!$Y97/30+1)&amp;"J, "&amp;SIGN(Z98-Panchanga!$Z97)*INT(Panchanga!$Z97/30+1)&amp;"V,"&amp;SIGN(AA98-Panchanga!$AA97)*INT(Panchanga!$AA97/30+1)&amp;"S,"&amp;INT(Panchanga!$AB97/30+1)&amp;"R"</f>
        <v>12Ma,1Me,2J, 2V,11S,12R</v>
      </c>
      <c r="U97" s="4">
        <f t="shared" si="22"/>
        <v>42.976648687386501</v>
      </c>
      <c r="V97" s="4">
        <f t="shared" si="23"/>
        <v>277.78871389423068</v>
      </c>
      <c r="W97" s="4">
        <f>Planet(Panchanga!$G97,4)</f>
        <v>356.68107142319155</v>
      </c>
      <c r="X97" s="4">
        <f>Planet(Panchanga!$G97,2)</f>
        <v>24.130997311391752</v>
      </c>
      <c r="Y97" s="4">
        <f>Planet(Panchanga!$G97,5)</f>
        <v>36.282748534310613</v>
      </c>
      <c r="Z97" s="4">
        <f>Planet(Panchanga!$G97,3)</f>
        <v>40.910021891274603</v>
      </c>
      <c r="AA97" s="4">
        <f>Planet(Panchanga!$G97,6)</f>
        <v>324.35247670887009</v>
      </c>
      <c r="AB97" s="4">
        <f>Planet(Panchanga!$G97,10)</f>
        <v>348.84277824548258</v>
      </c>
      <c r="AC97" s="4" t="str">
        <f>TEXT(Panchanga!$C97+($C98-Panchanga!$C97)/ABS(IF($R98&lt;1,$R98+30,$R98)-Panchanga!$R97)*(ROUNDUP(Panchanga!$R97,0)-Panchanga!$R97),"hh:mm AM/PM")</f>
        <v>03:22 PM</v>
      </c>
      <c r="AD97" s="4"/>
    </row>
    <row r="98" spans="1:30" x14ac:dyDescent="0.2">
      <c r="A98" s="3">
        <f t="shared" si="25"/>
        <v>45441</v>
      </c>
      <c r="B98" s="3">
        <f t="shared" si="20"/>
        <v>45441.229166666664</v>
      </c>
      <c r="C98" s="6">
        <f t="shared" si="21"/>
        <v>45441.237751644723</v>
      </c>
      <c r="D98" s="6">
        <f>sunset(Lat,Long,B98)+TimeZone/24-0.000277777777777778</f>
        <v>45440.77191655575</v>
      </c>
      <c r="E98" s="6">
        <f>PlanetRiseSet(Lat,Long,B98,1,1)+TimeZone/24+0.00103009259259259</f>
        <v>45440.964737271112</v>
      </c>
      <c r="F98" s="6">
        <f>PlanetRiseSet(Lat,Long,B98+1,1,2)+TimeZone/24+0.00103009259259259</f>
        <v>45442.493054766826</v>
      </c>
      <c r="G98" s="17">
        <f>Panchanga!$C98-TimeZone/24</f>
        <v>45441.008584978059</v>
      </c>
      <c r="H98" s="13" t="str">
        <f>INT(P[[#This Row],[Sun]]/30)&amp;"s"&amp;ROUNDUP(MOD(P[[#This Row],[Sun]],30),2)</f>
        <v>1s13.94</v>
      </c>
      <c r="I98" s="13" t="str">
        <f>INT(P[[#This Row],[Moon]]/30)&amp;"s"&amp;ROUNDUP(MOD(P[[#This Row],[Moon]],30),2)</f>
        <v>9s21.64</v>
      </c>
      <c r="J98" s="14">
        <f t="shared" si="24"/>
        <v>45441.008584978059</v>
      </c>
      <c r="K98" s="10" t="str">
        <f>naks(P[[#This Row],[Moon]])</f>
        <v>Sravana</v>
      </c>
      <c r="L98" s="15">
        <f>(C99-P[[#This Row],[SunRise]])/(MOD(360+V99-P[[#This Row],[Moon]],360))*(13.3333333333333-MOD(P[[#This Row],[Moon]],13.333333333333))+P[[#This Row],[SunRise]]</f>
        <v>45441.359571197834</v>
      </c>
      <c r="M98" s="4" t="str">
        <f>IF(Panchanga!$R98&gt;15,"K","S")&amp;ROUNDUP(MOD(Panchanga!$R98,15),0)&amp;" ("&amp;ROUND(Panchanga!$R98,2)&amp;")"</f>
        <v>K6 (20.64)</v>
      </c>
      <c r="N98" s="4">
        <f>IF(AND(Panchanga!$R98&lt;28.5,Panchanga!$R98&gt;0.49999),MOD((Panchanga!$R98-0.5)*2,7),MOD((Panchanga!$R98+30-28.5),30)*2+7)</f>
        <v>5.2826000000000022</v>
      </c>
      <c r="O98" s="4" t="str">
        <f>CHOOSE(ROUNDUP(Panchanga!$N98,0),"Bhava","Baalava","Kaulava","Taitula","Garija","Vanija","Vishti","Shakuni","Chatushapda","Naaga","Kimstugna")</f>
        <v>Vanija</v>
      </c>
      <c r="P98" s="11" t="str">
        <f>CHOOSE(ROUNDUP(Panchanga!$S98,0),"viṣkambha","prīti","āyuṣmāna","saubhāgya","śobhana","atigaṇḍa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("&amp;Panchanga!$S98&amp;")"</f>
        <v>mahendra (25.17)</v>
      </c>
      <c r="Q98" s="4">
        <f>IF(AND(Panchanga!$R98&lt;28.5,Panchanga!$R98&gt;0.49999),MOD((Panchanga!$R98-0.5)*2,7),MOD((Panchanga!$R98+30-28.5),30)*2+7)</f>
        <v>5.2826000000000022</v>
      </c>
      <c r="R98" s="4">
        <f>ROUNDUP(MOD(360+P[[#This Row],[Moon]]-P[[#This Row],[Sun]],360)/12,4)</f>
        <v>20.641300000000001</v>
      </c>
      <c r="S98" s="4">
        <f>ROUNDUP(MOD(P[[#This Row],[Sun]]+P[[#This Row],[Moon]],360)/13.333333333,2)</f>
        <v>25.17</v>
      </c>
      <c r="T98" s="4" t="str">
        <f>SIGN(W99-Panchanga!$W98)*INT(Panchanga!$W98/30+1)&amp;"Ma,"&amp;SIGN(X99-Panchanga!$X98)*INT(Panchanga!$X98/30+1)&amp;"Me,"&amp;SIGN(Y99-Panchanga!$Y98)*INT(Panchanga!$Y98/30+1)&amp;"J, "&amp;SIGN(Z99-Panchanga!$Z98)*INT(Panchanga!$Z98/30+1)&amp;"V,"&amp;SIGN(AA99-Panchanga!$AA98)*INT(Panchanga!$AA98/30+1)&amp;"S,"&amp;INT(Panchanga!$AB98/30+1)&amp;"R"</f>
        <v>12Ma,1Me,2J, 2V,11S,12R</v>
      </c>
      <c r="U98" s="4">
        <f t="shared" si="22"/>
        <v>43.935922525658185</v>
      </c>
      <c r="V98" s="4">
        <f t="shared" si="23"/>
        <v>291.63105353777831</v>
      </c>
      <c r="W98" s="4">
        <f>Planet(Panchanga!$G98,4)</f>
        <v>357.434453475194</v>
      </c>
      <c r="X98" s="4">
        <f>Planet(Panchanga!$G98,2)</f>
        <v>25.880730358987403</v>
      </c>
      <c r="Y98" s="4">
        <f>Planet(Panchanga!$G98,5)</f>
        <v>36.51741495058068</v>
      </c>
      <c r="Z98" s="4">
        <f>Planet(Panchanga!$G98,3)</f>
        <v>42.139093507223301</v>
      </c>
      <c r="AA98" s="4">
        <f>Planet(Panchanga!$G98,6)</f>
        <v>324.40422481654997</v>
      </c>
      <c r="AB98" s="4">
        <f>Planet(Panchanga!$G98,10)</f>
        <v>348.78978806115913</v>
      </c>
      <c r="AC98" s="4" t="str">
        <f>TEXT(Panchanga!$C98+($C99-Panchanga!$C98)/ABS(IF($R99&lt;1,$R99+30,$R99)-Panchanga!$R98)*(ROUNDUP(Panchanga!$R98,0)-Panchanga!$R98),"hh:mm AM/PM")</f>
        <v>01:38 PM</v>
      </c>
      <c r="AD98" s="4"/>
    </row>
    <row r="99" spans="1:30" x14ac:dyDescent="0.2">
      <c r="A99" s="3">
        <f t="shared" si="25"/>
        <v>45442</v>
      </c>
      <c r="B99" s="3">
        <f t="shared" si="20"/>
        <v>45442.229166666664</v>
      </c>
      <c r="C99" s="6">
        <f t="shared" si="21"/>
        <v>45442.237727593783</v>
      </c>
      <c r="D99" s="6">
        <f>sunset(Lat,Long,B99)+TimeZone/24-0.000277777777777778</f>
        <v>45441.772130468904</v>
      </c>
      <c r="E99" s="6">
        <f>PlanetRiseSet(Lat,Long,B99,1,1)+TimeZone/24+0.00103009259259259</f>
        <v>45441.997290066596</v>
      </c>
      <c r="F99" s="6">
        <f>PlanetRiseSet(Lat,Long,B99+1,1,2)+TimeZone/24+0.00103009259259259</f>
        <v>45442.493054838073</v>
      </c>
      <c r="G99" s="17">
        <f>Panchanga!$C99-TimeZone/24</f>
        <v>45442.008560927119</v>
      </c>
      <c r="H99" s="13" t="str">
        <f>INT(P[[#This Row],[Sun]]/30)&amp;"s"&amp;ROUNDUP(MOD(P[[#This Row],[Sun]],30),2)</f>
        <v>1s14.9</v>
      </c>
      <c r="I99" s="13" t="str">
        <f>INT(P[[#This Row],[Moon]]/30)&amp;"s"&amp;ROUNDUP(MOD(P[[#This Row],[Moon]],30),2)</f>
        <v>10s5.61</v>
      </c>
      <c r="J99" s="14">
        <f t="shared" si="24"/>
        <v>45442.008560927119</v>
      </c>
      <c r="K99" s="10" t="str">
        <f>naks(P[[#This Row],[Moon]])</f>
        <v>Dhanistha</v>
      </c>
      <c r="L99" s="15">
        <f>(C100-P[[#This Row],[SunRise]])/(MOD(360+V100-P[[#This Row],[Moon]],360))*(13.3333333333333-MOD(P[[#This Row],[Moon]],13.333333333333))+P[[#This Row],[SunRise]]</f>
        <v>45442.313138029742</v>
      </c>
      <c r="M99" s="4" t="str">
        <f>IF(Panchanga!$R99&gt;15,"K","S")&amp;ROUNDUP(MOD(Panchanga!$R99,15),0)&amp;" ("&amp;ROUND(Panchanga!$R99,2)&amp;")"</f>
        <v>K7 (21.73)</v>
      </c>
      <c r="N99" s="4">
        <f>IF(AND(Panchanga!$R99&lt;28.5,Panchanga!$R99&gt;0.49999),MOD((Panchanga!$R99-0.5)*2,7),MOD((Panchanga!$R99+30-28.5),30)*2+7)</f>
        <v>0.45159999999999911</v>
      </c>
      <c r="O99" s="4" t="str">
        <f>CHOOSE(ROUNDUP(Panchanga!$N99,0),"Bhava","Baalava","Kaulava","Taitula","Garija","Vanija","Vishti","Shakuni","Chatushapda","Naaga","Kimstugna")</f>
        <v>Bhava</v>
      </c>
      <c r="P99" s="11" t="str">
        <f>CHOOSE(ROUNDUP(Panchanga!$S99,0),"viṣkambha","prīti","āyuṣmāna","saubhāgya","śobhana","atigaṇḍa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("&amp;Panchanga!$S99&amp;")"</f>
        <v>vaidhṛti (26.29)</v>
      </c>
      <c r="Q99" s="4">
        <f>IF(AND(Panchanga!$R99&lt;28.5,Panchanga!$R99&gt;0.49999),MOD((Panchanga!$R99-0.5)*2,7),MOD((Panchanga!$R99+30-28.5),30)*2+7)</f>
        <v>0.45159999999999911</v>
      </c>
      <c r="R99" s="4">
        <f>ROUNDUP(MOD(360+P[[#This Row],[Moon]]-P[[#This Row],[Sun]],360)/12,4)</f>
        <v>21.7258</v>
      </c>
      <c r="S99" s="4">
        <f>ROUNDUP(MOD(P[[#This Row],[Sun]]+P[[#This Row],[Moon]],360)/13.333333333,2)</f>
        <v>26.290000000000003</v>
      </c>
      <c r="T99" s="4" t="str">
        <f>SIGN(W100-Panchanga!$W99)*INT(Panchanga!$W99/30+1)&amp;"Ma,"&amp;SIGN(X100-Panchanga!$X99)*INT(Panchanga!$X99/30+1)&amp;"Me,"&amp;SIGN(Y100-Panchanga!$Y99)*INT(Panchanga!$Y99/30+1)&amp;"J, "&amp;SIGN(Z100-Panchanga!$Z99)*INT(Panchanga!$Z99/30+1)&amp;"V,"&amp;SIGN(AA100-Panchanga!$AA99)*INT(Panchanga!$AA99/30+1)&amp;"S,"&amp;INT(Panchanga!$AB99/30+1)&amp;"R"</f>
        <v>12Ma,1Me,2J, 2V,11S,12R</v>
      </c>
      <c r="U99" s="4">
        <f t="shared" si="22"/>
        <v>44.894970585806497</v>
      </c>
      <c r="V99" s="4">
        <f t="shared" si="23"/>
        <v>305.60449877385054</v>
      </c>
      <c r="W99" s="4">
        <f>Planet(Panchanga!$G99,4)</f>
        <v>358.18708096091268</v>
      </c>
      <c r="X99" s="4">
        <f>Planet(Panchanga!$G99,2)</f>
        <v>27.668775360301254</v>
      </c>
      <c r="Y99" s="4">
        <f>Planet(Panchanga!$G99,5)</f>
        <v>36.751870621626821</v>
      </c>
      <c r="Z99" s="4">
        <f>Planet(Panchanga!$G99,3)</f>
        <v>43.36816214670062</v>
      </c>
      <c r="AA99" s="4">
        <f>Planet(Panchanga!$G99,6)</f>
        <v>324.45449890692828</v>
      </c>
      <c r="AB99" s="4">
        <f>Planet(Panchanga!$G99,10)</f>
        <v>348.73679734837657</v>
      </c>
      <c r="AC99" s="4" t="str">
        <f>TEXT(Panchanga!$C99+($C100-Panchanga!$C99)/ABS(IF($R100&lt;1,$R100+30,$R100)-Panchanga!$R99)*(ROUNDUP(Panchanga!$R99,0)-Panchanga!$R99),"hh:mm AM/PM")</f>
        <v>11:43 AM</v>
      </c>
      <c r="AD99" s="4"/>
    </row>
    <row r="100" spans="1:30" x14ac:dyDescent="0.2">
      <c r="A100" s="3">
        <f t="shared" si="25"/>
        <v>45443</v>
      </c>
      <c r="B100" s="3">
        <f t="shared" si="20"/>
        <v>45443.229166666664</v>
      </c>
      <c r="C100" s="6">
        <f t="shared" si="21"/>
        <v>45443.237713445131</v>
      </c>
      <c r="D100" s="6">
        <f>sunset(Lat,Long,B100)+TimeZone/24-0.000277777777777778</f>
        <v>45442.772344881712</v>
      </c>
      <c r="E100" s="6">
        <f>PlanetRiseSet(Lat,Long,B100,1,1)+TimeZone/24+0.00103009259259259</f>
        <v>45443.027506829858</v>
      </c>
      <c r="F100" s="6">
        <f>PlanetRiseSet(Lat,Long,B100+1,1,2)+TimeZone/24+0.00103009259259259</f>
        <v>45443.531803794358</v>
      </c>
      <c r="G100" s="17">
        <f>Panchanga!$C100-TimeZone/24</f>
        <v>45443.008546778467</v>
      </c>
      <c r="H100" s="13" t="str">
        <f>INT(P[[#This Row],[Sun]]/30)&amp;"s"&amp;ROUNDUP(MOD(P[[#This Row],[Sun]],30),2)</f>
        <v>1s15.86</v>
      </c>
      <c r="I100" s="13" t="str">
        <f>INT(P[[#This Row],[Moon]]/30)&amp;"s"&amp;ROUNDUP(MOD(P[[#This Row],[Moon]],30),2)</f>
        <v>10s19.69</v>
      </c>
      <c r="J100" s="14">
        <f t="shared" si="24"/>
        <v>45443.008546778467</v>
      </c>
      <c r="K100" s="10" t="str">
        <f>naks(P[[#This Row],[Moon]])</f>
        <v>Satabhisaj</v>
      </c>
      <c r="L100" s="15">
        <f>(C101-P[[#This Row],[SunRise]])/(MOD(360+V101-P[[#This Row],[Moon]],360))*(13.3333333333333-MOD(P[[#This Row],[Moon]],13.333333333333))+P[[#This Row],[SunRise]]</f>
        <v>45443.259616410505</v>
      </c>
      <c r="M100" s="4" t="str">
        <f>IF(Panchanga!$R100&gt;15,"K","S")&amp;ROUNDUP(MOD(Panchanga!$R100,15),0)&amp;" ("&amp;ROUND(Panchanga!$R100,2)&amp;")"</f>
        <v>K8 (22.82)</v>
      </c>
      <c r="N100" s="4">
        <f>IF(AND(Panchanga!$R100&lt;28.5,Panchanga!$R100&gt;0.49999),MOD((Panchanga!$R100-0.5)*2,7),MOD((Panchanga!$R100+30-28.5),30)*2+7)</f>
        <v>2.639400000000002</v>
      </c>
      <c r="O100" s="4" t="str">
        <f>CHOOSE(ROUNDUP(Panchanga!$N100,0),"Bhava","Baalava","Kaulava","Taitula","Garija","Vanija","Vishti","Shakuni","Chatushapda","Naaga","Kimstugna")</f>
        <v>Kaulava</v>
      </c>
      <c r="P100" s="11" t="str">
        <f>CHOOSE(ROUNDUP(Panchanga!$S100,0),"viṣkambha","prīti","āyuṣmāna","saubhāgya","śobhana","atigaṇḍa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("&amp;Panchanga!$S100&amp;")"</f>
        <v>viṣkambha (0.42)</v>
      </c>
      <c r="Q100" s="4">
        <f>IF(AND(Panchanga!$R100&lt;28.5,Panchanga!$R100&gt;0.49999),MOD((Panchanga!$R100-0.5)*2,7),MOD((Panchanga!$R100+30-28.5),30)*2+7)</f>
        <v>2.639400000000002</v>
      </c>
      <c r="R100" s="4">
        <f>ROUNDUP(MOD(360+P[[#This Row],[Moon]]-P[[#This Row],[Sun]],360)/12,4)</f>
        <v>22.819700000000001</v>
      </c>
      <c r="S100" s="4">
        <f>ROUNDUP(MOD(P[[#This Row],[Sun]]+P[[#This Row],[Moon]],360)/13.333333333,2)</f>
        <v>0.42</v>
      </c>
      <c r="T100" s="4" t="str">
        <f>SIGN(W101-Panchanga!$W100)*INT(Panchanga!$W100/30+1)&amp;"Ma,"&amp;SIGN(X101-Panchanga!$X100)*INT(Panchanga!$X100/30+1)&amp;"Me,"&amp;SIGN(Y101-Panchanga!$Y100)*INT(Panchanga!$Y100/30+1)&amp;"J, "&amp;SIGN(Z101-Panchanga!$Z100)*INT(Panchanga!$Z100/30+1)&amp;"V,"&amp;SIGN(AA101-Panchanga!$AA100)*INT(Panchanga!$AA100/30+1)&amp;"S,"&amp;INT(Panchanga!$AB100/30+1)&amp;"R"</f>
        <v>12Ma,1Me,2J, 2V,11S,12R</v>
      </c>
      <c r="U100" s="4">
        <f t="shared" si="22"/>
        <v>45.853806920756305</v>
      </c>
      <c r="V100" s="4">
        <f t="shared" si="23"/>
        <v>319.68945732203383</v>
      </c>
      <c r="W100" s="4">
        <f>Planet(Panchanga!$G100,4)</f>
        <v>358.93893671455817</v>
      </c>
      <c r="X100" s="4">
        <f>Planet(Panchanga!$G100,2)</f>
        <v>29.494921185463667</v>
      </c>
      <c r="Y100" s="4">
        <f>Planet(Panchanga!$G100,5)</f>
        <v>36.986097533653208</v>
      </c>
      <c r="Z100" s="4">
        <f>Planet(Panchanga!$G100,3)</f>
        <v>44.597233456048073</v>
      </c>
      <c r="AA100" s="4">
        <f>Planet(Panchanga!$G100,6)</f>
        <v>324.50328575543853</v>
      </c>
      <c r="AB100" s="4">
        <f>Planet(Panchanga!$G100,10)</f>
        <v>348.68380611086275</v>
      </c>
      <c r="AC100" s="4" t="str">
        <f>TEXT(Panchanga!$C100+($C101-Panchanga!$C100)/ABS(IF($R101&lt;1,$R101+30,$R101)-Panchanga!$R100)*(ROUNDUP(Panchanga!$R100,0)-Panchanga!$R100),"hh:mm AM/PM")</f>
        <v>09:38 AM</v>
      </c>
      <c r="AD100" s="4"/>
    </row>
    <row r="101" spans="1:30" x14ac:dyDescent="0.2">
      <c r="A101" s="3">
        <f t="shared" si="25"/>
        <v>45444</v>
      </c>
      <c r="B101" s="3">
        <f t="shared" si="20"/>
        <v>45444.229166666664</v>
      </c>
      <c r="C101" s="6">
        <f t="shared" si="21"/>
        <v>45444.23770910703</v>
      </c>
      <c r="D101" s="6">
        <f>sunset(Lat,Long,B101)+TimeZone/24-0.000277777777777778</f>
        <v>45443.772559557619</v>
      </c>
      <c r="E101" s="6">
        <f>PlanetRiseSet(Lat,Long,B101,1,1)+TimeZone/24+0.00103009259259259</f>
        <v>45444.05632322716</v>
      </c>
      <c r="F101" s="6">
        <f>PlanetRiseSet(Lat,Long,B101+1,1,2)+TimeZone/24+0.00103009259259259</f>
        <v>45444.569937602304</v>
      </c>
      <c r="G101" s="17">
        <f>Panchanga!$C101-TimeZone/24</f>
        <v>45444.008542440366</v>
      </c>
      <c r="H101" s="13" t="str">
        <f>INT(P[[#This Row],[Sun]]/30)&amp;"s"&amp;ROUNDUP(MOD(P[[#This Row],[Sun]],30),2)</f>
        <v>1s16.82</v>
      </c>
      <c r="I101" s="13" t="str">
        <f>INT(P[[#This Row],[Moon]]/30)&amp;"s"&amp;ROUNDUP(MOD(P[[#This Row],[Moon]],30),2)</f>
        <v>11s3.87</v>
      </c>
      <c r="J101" s="14">
        <f t="shared" si="24"/>
        <v>45444.008542440366</v>
      </c>
      <c r="K101" s="10" t="str">
        <f>naks(P[[#This Row],[Moon]])</f>
        <v>Uttara Bhadrapada</v>
      </c>
      <c r="L101" s="15">
        <f>(C102-P[[#This Row],[SunRise]])/(MOD(360+V102-P[[#This Row],[Moon]],360))*(13.3333333333333-MOD(P[[#This Row],[Moon]],13.333333333333))+P[[#This Row],[SunRise]]</f>
        <v>45445.136012826471</v>
      </c>
      <c r="M101" s="4" t="str">
        <f>IF(Panchanga!$R101&gt;15,"K","S")&amp;ROUNDUP(MOD(Panchanga!$R101,15),0)&amp;" ("&amp;ROUND(Panchanga!$R101,2)&amp;")"</f>
        <v>K9 (23.92)</v>
      </c>
      <c r="N101" s="4">
        <f>IF(AND(Panchanga!$R101&lt;28.5,Panchanga!$R101&gt;0.49999),MOD((Panchanga!$R101-0.5)*2,7),MOD((Panchanga!$R101+30-28.5),30)*2+7)</f>
        <v>4.8425999999999974</v>
      </c>
      <c r="O101" s="4" t="str">
        <f>CHOOSE(ROUNDUP(Panchanga!$N101,0),"Bhava","Baalava","Kaulava","Taitula","Garija","Vanija","Vishti","Shakuni","Chatushapda","Naaga","Kimstugna")</f>
        <v>Garija</v>
      </c>
      <c r="P101" s="11" t="str">
        <f>CHOOSE(ROUNDUP(Panchanga!$S101,0),"viṣkambha","prīti","āyuṣmāna","saubhāgya","śobhana","atigaṇḍa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("&amp;Panchanga!$S101&amp;")"</f>
        <v>prīti (1.56)</v>
      </c>
      <c r="Q101" s="4">
        <f>IF(AND(Panchanga!$R101&lt;28.5,Panchanga!$R101&gt;0.49999),MOD((Panchanga!$R101-0.5)*2,7),MOD((Panchanga!$R101+30-28.5),30)*2+7)</f>
        <v>4.8425999999999974</v>
      </c>
      <c r="R101" s="4">
        <f>ROUNDUP(MOD(360+P[[#This Row],[Moon]]-P[[#This Row],[Sun]],360)/12,4)</f>
        <v>23.921299999999999</v>
      </c>
      <c r="S101" s="4">
        <f>ROUNDUP(MOD(P[[#This Row],[Sun]]+P[[#This Row],[Moon]],360)/13.333333333,2)</f>
        <v>1.56</v>
      </c>
      <c r="T101" s="4" t="str">
        <f>SIGN(W102-Panchanga!$W101)*INT(Panchanga!$W101/30+1)&amp;"Ma,"&amp;SIGN(X102-Panchanga!$X101)*INT(Panchanga!$X101/30+1)&amp;"Me,"&amp;SIGN(Y102-Panchanga!$Y101)*INT(Panchanga!$Y101/30+1)&amp;"J, "&amp;SIGN(Z102-Panchanga!$Z101)*INT(Panchanga!$Z101/30+1)&amp;"V,"&amp;SIGN(AA102-Panchanga!$AA101)*INT(Panchanga!$AA101/30+1)&amp;"S,"&amp;INT(Panchanga!$AB101/30+1)&amp;"R"</f>
        <v>-12Ma,2Me,2J, 2V,11S,12R</v>
      </c>
      <c r="U101" s="4">
        <f t="shared" si="22"/>
        <v>46.812441218176843</v>
      </c>
      <c r="V101" s="4">
        <f t="shared" si="23"/>
        <v>333.86750698299846</v>
      </c>
      <c r="W101" s="4">
        <f>Planet(Panchanga!$G101,4)</f>
        <v>359.69000113640141</v>
      </c>
      <c r="X101" s="4">
        <f>Planet(Panchanga!$G101,2)</f>
        <v>31.358842175373983</v>
      </c>
      <c r="Y101" s="4">
        <f>Planet(Panchanga!$G101,5)</f>
        <v>37.220076696242884</v>
      </c>
      <c r="Z101" s="4">
        <f>Planet(Panchanga!$G101,3)</f>
        <v>45.826309770166745</v>
      </c>
      <c r="AA101" s="4">
        <f>Planet(Panchanga!$G101,6)</f>
        <v>324.5505720806496</v>
      </c>
      <c r="AB101" s="4">
        <f>Planet(Panchanga!$G101,10)</f>
        <v>348.63081435342286</v>
      </c>
      <c r="AC101" s="4" t="str">
        <f>TEXT(Panchanga!$C101+($C102-Panchanga!$C101)/ABS(IF($R102&lt;1,$R102+30,$R102)-Panchanga!$R101)*(ROUNDUP(Panchanga!$R101,0)-Panchanga!$R101),"hh:mm AM/PM")</f>
        <v>07:24 AM</v>
      </c>
      <c r="AD101" s="4"/>
    </row>
    <row r="102" spans="1:30" x14ac:dyDescent="0.2">
      <c r="A102" s="3">
        <f t="shared" si="25"/>
        <v>45445</v>
      </c>
      <c r="B102" s="3">
        <f t="shared" si="20"/>
        <v>45445.229166666664</v>
      </c>
      <c r="C102" s="6">
        <f t="shared" si="21"/>
        <v>45445.237714463066</v>
      </c>
      <c r="D102" s="6">
        <f>sunset(Lat,Long,B102)+TimeZone/24-0.000277777777777778</f>
        <v>45444.772774241443</v>
      </c>
      <c r="E102" s="6">
        <f>PlanetRiseSet(Lat,Long,B102,1,1)+TimeZone/24+0.00103009259259259</f>
        <v>45445.084799951095</v>
      </c>
      <c r="F102" s="6">
        <f>PlanetRiseSet(Lat,Long,B102+1,1,2)+TimeZone/24+0.00103009259259259</f>
        <v>45445.608318866383</v>
      </c>
      <c r="G102" s="17">
        <f>Panchanga!$C102-TimeZone/24</f>
        <v>45445.008547796402</v>
      </c>
      <c r="H102" s="13" t="str">
        <f>INT(P[[#This Row],[Sun]]/30)&amp;"s"&amp;ROUNDUP(MOD(P[[#This Row],[Sun]],30),2)</f>
        <v>1s17.78</v>
      </c>
      <c r="I102" s="13" t="str">
        <f>INT(P[[#This Row],[Moon]]/30)&amp;"s"&amp;ROUNDUP(MOD(P[[#This Row],[Moon]],30),2)</f>
        <v>11s18.12</v>
      </c>
      <c r="J102" s="14">
        <f t="shared" si="24"/>
        <v>45445.008547796402</v>
      </c>
      <c r="K102" s="10" t="str">
        <f>naks(P[[#This Row],[Moon]])</f>
        <v>Revati</v>
      </c>
      <c r="L102" s="15">
        <f>(C103-P[[#This Row],[SunRise]])/(MOD(360+V103-P[[#This Row],[Moon]],360))*(13.3333333333333-MOD(P[[#This Row],[Moon]],13.333333333333))+P[[#This Row],[SunRise]]</f>
        <v>45446.069680195527</v>
      </c>
      <c r="M102" s="4" t="str">
        <f>IF(Panchanga!$R102&gt;15,"K","S")&amp;ROUNDUP(MOD(Panchanga!$R102,15),0)&amp;" ("&amp;ROUND(Panchanga!$R102,2)&amp;")"</f>
        <v>K11 (25.03)</v>
      </c>
      <c r="N102" s="4">
        <f>IF(AND(Panchanga!$R102&lt;28.5,Panchanga!$R102&gt;0.49999),MOD((Panchanga!$R102-0.5)*2,7),MOD((Panchanga!$R102+30-28.5),30)*2+7)</f>
        <v>5.7600000000000762E-2</v>
      </c>
      <c r="O102" s="4" t="str">
        <f>CHOOSE(ROUNDUP(Panchanga!$N102,0),"Bhava","Baalava","Kaulava","Taitula","Garija","Vanija","Vishti","Shakuni","Chatushapda","Naaga","Kimstugna")</f>
        <v>Bhava</v>
      </c>
      <c r="P102" s="11" t="str">
        <f>CHOOSE(ROUNDUP(Panchanga!$S102,0),"viṣkambha","prīti","āyuṣmāna","saubhāgya","śobhana","atigaṇḍa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("&amp;Panchanga!$S102&amp;")"</f>
        <v>āyuṣmāna (2.7)</v>
      </c>
      <c r="Q102" s="4">
        <f>IF(AND(Panchanga!$R102&lt;28.5,Panchanga!$R102&gt;0.49999),MOD((Panchanga!$R102-0.5)*2,7),MOD((Panchanga!$R102+30-28.5),30)*2+7)</f>
        <v>5.7600000000000762E-2</v>
      </c>
      <c r="R102" s="4">
        <f>ROUNDUP(MOD(360+P[[#This Row],[Moon]]-P[[#This Row],[Sun]],360)/12,4)</f>
        <v>25.0288</v>
      </c>
      <c r="S102" s="4">
        <f>ROUNDUP(MOD(P[[#This Row],[Sun]]+P[[#This Row],[Moon]],360)/13.333333333,2)</f>
        <v>2.6999999999999997</v>
      </c>
      <c r="T102" s="4" t="str">
        <f>SIGN(W103-Panchanga!$W102)*INT(Panchanga!$W102/30+1)&amp;"Ma,"&amp;SIGN(X103-Panchanga!$X102)*INT(Panchanga!$X102/30+1)&amp;"Me,"&amp;SIGN(Y103-Panchanga!$Y102)*INT(Panchanga!$Y102/30+1)&amp;"J, "&amp;SIGN(Z103-Panchanga!$Z102)*INT(Panchanga!$Z102/30+1)&amp;"V,"&amp;SIGN(AA103-Panchanga!$AA102)*INT(Panchanga!$AA102/30+1)&amp;"S,"&amp;INT(Panchanga!$AB102/30+1)&amp;"R"</f>
        <v>1Ma,2Me,2J, 2V,11S,12R</v>
      </c>
      <c r="U102" s="4">
        <f t="shared" si="22"/>
        <v>47.770878269071012</v>
      </c>
      <c r="V102" s="4">
        <f t="shared" si="23"/>
        <v>348.11572610910815</v>
      </c>
      <c r="W102" s="4">
        <f>Planet(Panchanga!$G102,4)</f>
        <v>0.44025246446658006</v>
      </c>
      <c r="X102" s="4">
        <f>Planet(Panchanga!$G102,2)</f>
        <v>33.260056269367787</v>
      </c>
      <c r="Y102" s="4">
        <f>Planet(Panchanga!$G102,5)</f>
        <v>37.453788077665536</v>
      </c>
      <c r="Z102" s="4">
        <f>Planet(Panchanga!$G102,3)</f>
        <v>47.055388242105359</v>
      </c>
      <c r="AA102" s="4">
        <f>Planet(Panchanga!$G102,6)</f>
        <v>324.59634470059564</v>
      </c>
      <c r="AB102" s="4">
        <f>Planet(Panchanga!$G102,10)</f>
        <v>348.57782208231976</v>
      </c>
      <c r="AC102" s="4" t="str">
        <f>TEXT(Panchanga!$C102+($C103-Panchanga!$C102)/ABS(IF($R103&lt;1,$R103+30,$R103)-Panchanga!$R102)*(ROUNDUP(Panchanga!$R102,0)-Panchanga!$R102),"hh:mm AM/PM")</f>
        <v>02:41 AM</v>
      </c>
      <c r="AD102" s="4"/>
    </row>
    <row r="103" spans="1:30" x14ac:dyDescent="0.2">
      <c r="A103" s="3">
        <f t="shared" si="25"/>
        <v>45446</v>
      </c>
      <c r="B103" s="3">
        <f t="shared" si="20"/>
        <v>45446.229166666664</v>
      </c>
      <c r="C103" s="6">
        <f t="shared" si="21"/>
        <v>45446.23772936935</v>
      </c>
      <c r="D103" s="6">
        <f>sunset(Lat,Long,B103)+TimeZone/24-0.000277777777777778</f>
        <v>45445.772988657976</v>
      </c>
      <c r="E103" s="6">
        <f>PlanetRiseSet(Lat,Long,B103,1,1)+TimeZone/24+0.00103009259259259</f>
        <v>45446.114025325667</v>
      </c>
      <c r="F103" s="6">
        <f>PlanetRiseSet(Lat,Long,B103+1,1,2)+TimeZone/24+0.00103009259259259</f>
        <v>45446.647783209723</v>
      </c>
      <c r="G103" s="17">
        <f>Panchanga!$C103-TimeZone/24</f>
        <v>45446.008562702686</v>
      </c>
      <c r="H103" s="13" t="str">
        <f>INT(P[[#This Row],[Sun]]/30)&amp;"s"&amp;ROUNDUP(MOD(P[[#This Row],[Sun]],30),2)</f>
        <v>1s18.73</v>
      </c>
      <c r="I103" s="13" t="str">
        <f>INT(P[[#This Row],[Moon]]/30)&amp;"s"&amp;ROUNDUP(MOD(P[[#This Row],[Moon]],30),2)</f>
        <v>0s2.41</v>
      </c>
      <c r="J103" s="14">
        <f t="shared" si="24"/>
        <v>45446.008562702686</v>
      </c>
      <c r="K103" s="10" t="str">
        <f>naks(P[[#This Row],[Moon]])</f>
        <v>Aswini</v>
      </c>
      <c r="L103" s="15">
        <f>(C104-P[[#This Row],[SunRise]])/(MOD(360+V104-P[[#This Row],[Moon]],360))*(13.3333333333333-MOD(P[[#This Row],[Moon]],13.333333333333))+P[[#This Row],[SunRise]]</f>
        <v>45447.003748360643</v>
      </c>
      <c r="M103" s="4" t="str">
        <f>IF(Panchanga!$R103&gt;15,"K","S")&amp;ROUNDUP(MOD(Panchanga!$R103,15),0)&amp;" ("&amp;ROUND(Panchanga!$R103,2)&amp;")"</f>
        <v>K12 (26.14)</v>
      </c>
      <c r="N103" s="4">
        <f>IF(AND(Panchanga!$R103&lt;28.5,Panchanga!$R103&gt;0.49999),MOD((Panchanga!$R103-0.5)*2,7),MOD((Panchanga!$R103+30-28.5),30)*2+7)</f>
        <v>2.2785999999999973</v>
      </c>
      <c r="O103" s="4" t="str">
        <f>CHOOSE(ROUNDUP(Panchanga!$N103,0),"Bhava","Baalava","Kaulava","Taitula","Garija","Vanija","Vishti","Shakuni","Chatushapda","Naaga","Kimstugna")</f>
        <v>Kaulava</v>
      </c>
      <c r="P103" s="11" t="str">
        <f>CHOOSE(ROUNDUP(Panchanga!$S103,0),"viṣkambha","prīti","āyuṣmāna","saubhāgya","śobhana","atigaṇḍa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("&amp;Panchanga!$S103&amp;")"</f>
        <v>saubhāgya (3.84)</v>
      </c>
      <c r="Q103" s="4">
        <f>IF(AND(Panchanga!$R103&lt;28.5,Panchanga!$R103&gt;0.49999),MOD((Panchanga!$R103-0.5)*2,7),MOD((Panchanga!$R103+30-28.5),30)*2+7)</f>
        <v>2.2785999999999973</v>
      </c>
      <c r="R103" s="4">
        <f>ROUNDUP(MOD(360+P[[#This Row],[Moon]]-P[[#This Row],[Sun]],360)/12,4)</f>
        <v>26.139299999999999</v>
      </c>
      <c r="S103" s="4">
        <f>ROUNDUP(MOD(P[[#This Row],[Sun]]+P[[#This Row],[Moon]],360)/13.333333333,2)</f>
        <v>3.84</v>
      </c>
      <c r="T103" s="4" t="str">
        <f>SIGN(W104-Panchanga!$W103)*INT(Panchanga!$W103/30+1)&amp;"Ma,"&amp;SIGN(X104-Panchanga!$X103)*INT(Panchanga!$X103/30+1)&amp;"Me,"&amp;SIGN(Y104-Panchanga!$Y103)*INT(Panchanga!$Y103/30+1)&amp;"J, "&amp;SIGN(Z104-Panchanga!$Z103)*INT(Panchanga!$Z103/30+1)&amp;"V,"&amp;SIGN(AA104-Panchanga!$AA103)*INT(Panchanga!$AA103/30+1)&amp;"S,"&amp;INT(Panchanga!$AB103/30+1)&amp;"R"</f>
        <v>1Ma,2Me,2J, 2V,11S,12R</v>
      </c>
      <c r="U103" s="4">
        <f t="shared" si="22"/>
        <v>48.729117843819843</v>
      </c>
      <c r="V103" s="4">
        <f t="shared" si="23"/>
        <v>2.4005104187707822</v>
      </c>
      <c r="W103" s="4">
        <f>Planet(Panchanga!$G103,4)</f>
        <v>1.1896673209855184</v>
      </c>
      <c r="X103" s="4">
        <f>Planet(Panchanga!$G103,2)</f>
        <v>35.197879649238601</v>
      </c>
      <c r="Y103" s="4">
        <f>Planet(Panchanga!$G103,5)</f>
        <v>37.687210633446298</v>
      </c>
      <c r="Z103" s="4">
        <f>Planet(Panchanga!$G103,3)</f>
        <v>48.284453937204354</v>
      </c>
      <c r="AA103" s="4">
        <f>Planet(Panchanga!$G103,6)</f>
        <v>324.64059073064465</v>
      </c>
      <c r="AB103" s="4">
        <f>Planet(Panchanga!$G103,10)</f>
        <v>348.52482930517505</v>
      </c>
      <c r="AC103" s="4" t="str">
        <f>TEXT(Panchanga!$C103+($C104-Panchanga!$C103)/ABS(IF($R104&lt;1,$R104+30,$R104)-Panchanga!$R103)*(ROUNDUP(Panchanga!$R103,0)-Panchanga!$R103),"hh:mm AM/PM")</f>
        <v>12:19 AM</v>
      </c>
      <c r="AD103" s="4"/>
    </row>
    <row r="104" spans="1:30" x14ac:dyDescent="0.2">
      <c r="A104" s="3">
        <f t="shared" si="25"/>
        <v>45447</v>
      </c>
      <c r="B104" s="3">
        <f t="shared" si="20"/>
        <v>45447.229166666664</v>
      </c>
      <c r="C104" s="6">
        <f t="shared" si="21"/>
        <v>45447.237753654983</v>
      </c>
      <c r="D104" s="6">
        <f>sunset(Lat,Long,B104)+TimeZone/24-0.000277777777777778</f>
        <v>45446.77320251106</v>
      </c>
      <c r="E104" s="6">
        <f>PlanetRiseSet(Lat,Long,B104,1,1)+TimeZone/24+0.00103009259259259</f>
        <v>45447.145044134617</v>
      </c>
      <c r="F104" s="6">
        <f>PlanetRiseSet(Lat,Long,B104+1,1,2)+TimeZone/24+0.00103009259259259</f>
        <v>45447.688891795617</v>
      </c>
      <c r="G104" s="17">
        <f>Panchanga!$C104-TimeZone/24</f>
        <v>45447.008586988319</v>
      </c>
      <c r="H104" s="13" t="str">
        <f>INT(P[[#This Row],[Sun]]/30)&amp;"s"&amp;ROUNDUP(MOD(P[[#This Row],[Sun]],30),2)</f>
        <v>1s19.69</v>
      </c>
      <c r="I104" s="13" t="str">
        <f>INT(P[[#This Row],[Moon]]/30)&amp;"s"&amp;ROUNDUP(MOD(P[[#This Row],[Moon]],30),2)</f>
        <v>0s16.68</v>
      </c>
      <c r="J104" s="14">
        <f t="shared" si="24"/>
        <v>45447.008586988319</v>
      </c>
      <c r="K104" s="10" t="str">
        <f>naks(P[[#This Row],[Moon]])</f>
        <v>Bharani</v>
      </c>
      <c r="L104" s="15">
        <f>(C105-P[[#This Row],[SunRise]])/(MOD(360+V105-P[[#This Row],[Moon]],360))*(13.3333333333333-MOD(P[[#This Row],[Moon]],13.333333333333))+P[[#This Row],[SunRise]]</f>
        <v>45447.941739080881</v>
      </c>
      <c r="M104" s="4" t="str">
        <f>IF(Panchanga!$R104&gt;15,"K","S")&amp;ROUNDUP(MOD(Panchanga!$R104,15),0)&amp;" ("&amp;ROUND(Panchanga!$R104,2)&amp;")"</f>
        <v>K13 (27.25)</v>
      </c>
      <c r="N104" s="4">
        <f>IF(AND(Panchanga!$R104&lt;28.5,Panchanga!$R104&gt;0.49999),MOD((Panchanga!$R104-0.5)*2,7),MOD((Panchanga!$R104+30-28.5),30)*2+7)</f>
        <v>4.497799999999998</v>
      </c>
      <c r="O104" s="4" t="str">
        <f>CHOOSE(ROUNDUP(Panchanga!$N104,0),"Bhava","Baalava","Kaulava","Taitula","Garija","Vanija","Vishti","Shakuni","Chatushapda","Naaga","Kimstugna")</f>
        <v>Garija</v>
      </c>
      <c r="P104" s="11" t="str">
        <f>CHOOSE(ROUNDUP(Panchanga!$S104,0),"viṣkambha","prīti","āyuṣmāna","saubhāgya","śobhana","atigaṇḍa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("&amp;Panchanga!$S104&amp;")"</f>
        <v>śobhana (4.98)</v>
      </c>
      <c r="Q104" s="4">
        <f>IF(AND(Panchanga!$R104&lt;28.5,Panchanga!$R104&gt;0.49999),MOD((Panchanga!$R104-0.5)*2,7),MOD((Panchanga!$R104+30-28.5),30)*2+7)</f>
        <v>4.497799999999998</v>
      </c>
      <c r="R104" s="4">
        <f>ROUNDUP(MOD(360+P[[#This Row],[Moon]]-P[[#This Row],[Sun]],360)/12,4)</f>
        <v>27.248899999999999</v>
      </c>
      <c r="S104" s="4">
        <f>ROUNDUP(MOD(P[[#This Row],[Sun]]+P[[#This Row],[Moon]],360)/13.333333333,2)</f>
        <v>4.9799999999999995</v>
      </c>
      <c r="T104" s="4" t="str">
        <f>SIGN(W105-Panchanga!$W104)*INT(Panchanga!$W104/30+1)&amp;"Ma,"&amp;SIGN(X105-Panchanga!$X104)*INT(Panchanga!$X104/30+1)&amp;"Me,"&amp;SIGN(Y105-Panchanga!$Y104)*INT(Panchanga!$Y104/30+1)&amp;"J, "&amp;SIGN(Z105-Panchanga!$Z104)*INT(Panchanga!$Z104/30+1)&amp;"V,"&amp;SIGN(AA105-Panchanga!$AA104)*INT(Panchanga!$AA104/30+1)&amp;"S,"&amp;INT(Panchanga!$AB104/30+1)&amp;"R"</f>
        <v>1Ma,2Me,2J, 2V,11S,12R</v>
      </c>
      <c r="U104" s="4">
        <f t="shared" si="22"/>
        <v>49.687155107931439</v>
      </c>
      <c r="V104" s="4">
        <f t="shared" si="23"/>
        <v>16.673117951111141</v>
      </c>
      <c r="W104" s="4">
        <f>Planet(Panchanga!$G104,4)</f>
        <v>1.9382214986300526</v>
      </c>
      <c r="X104" s="4">
        <f>Planet(Panchanga!$G104,2)</f>
        <v>37.171379125663123</v>
      </c>
      <c r="Y104" s="4">
        <f>Planet(Panchanga!$G104,5)</f>
        <v>37.920322440025757</v>
      </c>
      <c r="Z104" s="4">
        <f>Planet(Panchanga!$G104,3)</f>
        <v>49.513430252681026</v>
      </c>
      <c r="AA104" s="4">
        <f>Planet(Panchanga!$G104,6)</f>
        <v>324.68329780512659</v>
      </c>
      <c r="AB104" s="4">
        <f>Planet(Panchanga!$G104,10)</f>
        <v>348.47183603091958</v>
      </c>
      <c r="AC104" s="4" t="str">
        <f>TEXT(Panchanga!$C104+($C105-Panchanga!$C104)/ABS(IF($R105&lt;1,$R105+30,$R105)-Panchanga!$R104)*(ROUNDUP(Panchanga!$R104,0)-Panchanga!$R104),"hh:mm AM/PM")</f>
        <v>10:02 PM</v>
      </c>
      <c r="AD104" s="4"/>
    </row>
    <row r="105" spans="1:30" x14ac:dyDescent="0.2">
      <c r="A105" s="3">
        <f t="shared" si="25"/>
        <v>45448</v>
      </c>
      <c r="B105" s="3">
        <f t="shared" si="20"/>
        <v>45448.229166666664</v>
      </c>
      <c r="C105" s="6">
        <f t="shared" si="21"/>
        <v>45448.237787125785</v>
      </c>
      <c r="D105" s="6">
        <f>sunset(Lat,Long,B105)+TimeZone/24-0.000277777777777778</f>
        <v>45447.773415487303</v>
      </c>
      <c r="E105" s="6">
        <f>PlanetRiseSet(Lat,Long,B105,1,1)+TimeZone/24+0.00103009259259259</f>
        <v>45448.178724153586</v>
      </c>
      <c r="F105" s="6">
        <f>PlanetRiseSet(Lat,Long,B105+1,1,2)+TimeZone/24+0.00103009259259259</f>
        <v>45448.731623552892</v>
      </c>
      <c r="G105" s="17">
        <f>Panchanga!$C105-TimeZone/24</f>
        <v>45448.008620459121</v>
      </c>
      <c r="H105" s="13" t="str">
        <f>INT(P[[#This Row],[Sun]]/30)&amp;"s"&amp;ROUNDUP(MOD(P[[#This Row],[Sun]],30),2)</f>
        <v>1s20.65</v>
      </c>
      <c r="I105" s="13" t="str">
        <f>INT(P[[#This Row],[Moon]]/30)&amp;"s"&amp;ROUNDUP(MOD(P[[#This Row],[Moon]],30),2)</f>
        <v>1s0.87</v>
      </c>
      <c r="J105" s="14">
        <f t="shared" si="24"/>
        <v>45448.008620459121</v>
      </c>
      <c r="K105" s="10" t="str">
        <f>naks(P[[#This Row],[Moon]])</f>
        <v>Krittika</v>
      </c>
      <c r="L105" s="15">
        <f>(C106-P[[#This Row],[SunRise]])/(MOD(360+V106-P[[#This Row],[Moon]],360))*(13.3333333333333-MOD(P[[#This Row],[Moon]],13.333333333333))+P[[#This Row],[SunRise]]</f>
        <v>45448.887921747613</v>
      </c>
      <c r="M105" s="4" t="str">
        <f>IF(Panchanga!$R105&gt;15,"K","S")&amp;ROUNDUP(MOD(Panchanga!$R105,15),0)&amp;" ("&amp;ROUND(Panchanga!$R105,2)&amp;")"</f>
        <v>K14 (28.35)</v>
      </c>
      <c r="N105" s="4">
        <f>IF(AND(Panchanga!$R105&lt;28.5,Panchanga!$R105&gt;0.49999),MOD((Panchanga!$R105-0.5)*2,7),MOD((Panchanga!$R105+30-28.5),30)*2+7)</f>
        <v>6.7042000000000002</v>
      </c>
      <c r="O105" s="4" t="str">
        <f>CHOOSE(ROUNDUP(Panchanga!$N105,0),"Bhava","Baalava","Kaulava","Taitula","Garija","Vanija","Vishti","Shakuni","Chatushapda","Naaga","Kimstugna")</f>
        <v>Vishti</v>
      </c>
      <c r="P105" s="11" t="str">
        <f>CHOOSE(ROUNDUP(Panchanga!$S105,0),"viṣkambha","prīti","āyuṣmāna","saubhāgya","śobhana","atigaṇḍa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("&amp;Panchanga!$S105&amp;")"</f>
        <v>sukarmā  (6.12)</v>
      </c>
      <c r="Q105" s="4">
        <f>IF(AND(Panchanga!$R105&lt;28.5,Panchanga!$R105&gt;0.49999),MOD((Panchanga!$R105-0.5)*2,7),MOD((Panchanga!$R105+30-28.5),30)*2+7)</f>
        <v>6.7042000000000002</v>
      </c>
      <c r="R105" s="4">
        <f>ROUNDUP(MOD(360+P[[#This Row],[Moon]]-P[[#This Row],[Sun]],360)/12,4)</f>
        <v>28.3521</v>
      </c>
      <c r="S105" s="4">
        <f>ROUNDUP(MOD(P[[#This Row],[Sun]]+P[[#This Row],[Moon]],360)/13.333333333,2)</f>
        <v>6.12</v>
      </c>
      <c r="T105" s="4" t="str">
        <f>SIGN(W106-Panchanga!$W105)*INT(Panchanga!$W105/30+1)&amp;"Ma,"&amp;SIGN(X106-Panchanga!$X105)*INT(Panchanga!$X105/30+1)&amp;"Me,"&amp;SIGN(Y106-Panchanga!$Y105)*INT(Panchanga!$Y105/30+1)&amp;"J, "&amp;SIGN(Z106-Panchanga!$Z105)*INT(Panchanga!$Z105/30+1)&amp;"V,"&amp;SIGN(AA106-Panchanga!$AA105)*INT(Panchanga!$AA105/30+1)&amp;"S,"&amp;INT(Panchanga!$AB105/30+1)&amp;"R"</f>
        <v>1Ma,2Me,2J, 2V,11S,12R</v>
      </c>
      <c r="U105" s="4">
        <f t="shared" si="22"/>
        <v>50.644981593144735</v>
      </c>
      <c r="V105" s="4">
        <f t="shared" si="23"/>
        <v>30.869268666706265</v>
      </c>
      <c r="W105" s="4">
        <f>Planet(Panchanga!$G105,4)</f>
        <v>2.6858908867517011</v>
      </c>
      <c r="X105" s="4">
        <f>Planet(Panchanga!$G105,2)</f>
        <v>39.179324164636654</v>
      </c>
      <c r="Y105" s="4">
        <f>Planet(Panchanga!$G105,5)</f>
        <v>38.153100937384551</v>
      </c>
      <c r="Z105" s="4">
        <f>Planet(Panchanga!$G105,3)</f>
        <v>50.743179983265321</v>
      </c>
      <c r="AA105" s="4">
        <f>Planet(Panchanga!$G105,6)</f>
        <v>324.72445427203456</v>
      </c>
      <c r="AB105" s="4">
        <f>Planet(Panchanga!$G105,10)</f>
        <v>348.41884226997473</v>
      </c>
      <c r="AC105" s="4" t="str">
        <f>TEXT(Panchanga!$C105+($C106-Panchanga!$C105)/ABS(IF($R106&lt;1,$R106+30,$R106)-Panchanga!$R105)*(ROUNDUP(Panchanga!$R105,0)-Panchanga!$R105),"hh:mm AM/PM")</f>
        <v>07:57 PM</v>
      </c>
      <c r="AD105" s="4"/>
    </row>
    <row r="106" spans="1:30" x14ac:dyDescent="0.2">
      <c r="A106" s="3">
        <f t="shared" si="25"/>
        <v>45449</v>
      </c>
      <c r="B106" s="3">
        <f t="shared" si="20"/>
        <v>45449.229166666664</v>
      </c>
      <c r="C106" s="6">
        <f t="shared" si="21"/>
        <v>45449.237829567086</v>
      </c>
      <c r="D106" s="6">
        <f>sunset(Lat,Long,B106)+TimeZone/24-0.000277777777777778</f>
        <v>45448.773627256087</v>
      </c>
      <c r="E106" s="6">
        <f>PlanetRiseSet(Lat,Long,B106,1,1)+TimeZone/24+0.00103009259259259</f>
        <v>45449.215497396573</v>
      </c>
      <c r="F106" s="6">
        <f>PlanetRiseSet(Lat,Long,B106+1,1,2)+TimeZone/24+0.00103009259259259</f>
        <v>45449.775115029573</v>
      </c>
      <c r="G106" s="17">
        <f>Panchanga!$C106-TimeZone/24</f>
        <v>45449.008662900422</v>
      </c>
      <c r="H106" s="13" t="str">
        <f>INT(P[[#This Row],[Sun]]/30)&amp;"s"&amp;ROUNDUP(MOD(P[[#This Row],[Sun]],30),2)</f>
        <v>1s21.61</v>
      </c>
      <c r="I106" s="13" t="str">
        <f>INT(P[[#This Row],[Moon]]/30)&amp;"s"&amp;ROUNDUP(MOD(P[[#This Row],[Moon]],30),2)</f>
        <v>1s14.92</v>
      </c>
      <c r="J106" s="14">
        <f t="shared" si="24"/>
        <v>45449.008662900422</v>
      </c>
      <c r="K106" s="10" t="str">
        <f>naks(P[[#This Row],[Moon]])</f>
        <v>Rohini</v>
      </c>
      <c r="L106" s="15">
        <f>(C107-P[[#This Row],[SunRise]])/(MOD(360+V107-P[[#This Row],[Moon]],360))*(13.3333333333333-MOD(P[[#This Row],[Moon]],13.333333333333))+P[[#This Row],[SunRise]]</f>
        <v>45449.847119936392</v>
      </c>
      <c r="M106" s="4" t="str">
        <f>IF(Panchanga!$R106&gt;15,"K","S")&amp;ROUNDUP(MOD(Panchanga!$R106,15),0)&amp;" ("&amp;ROUND(Panchanga!$R106,2)&amp;")"</f>
        <v>K15 (29.44)</v>
      </c>
      <c r="N106" s="4">
        <f>IF(AND(Panchanga!$R106&lt;28.5,Panchanga!$R106&gt;0.49999),MOD((Panchanga!$R106-0.5)*2,7),MOD((Panchanga!$R106+30-28.5),30)*2+7)</f>
        <v>8.8854000000000042</v>
      </c>
      <c r="O106" s="4" t="str">
        <f>CHOOSE(ROUNDUP(Panchanga!$N106,0),"Bhava","Baalava","Kaulava","Taitula","Garija","Vanija","Vishti","Shakuni","Chatushapda","Naaga","Kimstugna")</f>
        <v>Chatushapda</v>
      </c>
      <c r="P106" s="11" t="str">
        <f>CHOOSE(ROUNDUP(Panchanga!$S106,0),"viṣkambha","prīti","āyuṣmāna","saubhāgya","śobhana","atigaṇḍa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("&amp;Panchanga!$S106&amp;")"</f>
        <v>dhṛti  (7.24)</v>
      </c>
      <c r="Q106" s="4">
        <f>IF(AND(Panchanga!$R106&lt;28.5,Panchanga!$R106&gt;0.49999),MOD((Panchanga!$R106-0.5)*2,7),MOD((Panchanga!$R106+30-28.5),30)*2+7)</f>
        <v>8.8854000000000042</v>
      </c>
      <c r="R106" s="4">
        <f>ROUNDUP(MOD(360+P[[#This Row],[Moon]]-P[[#This Row],[Sun]],360)/12,4)</f>
        <v>29.442699999999999</v>
      </c>
      <c r="S106" s="4">
        <f>ROUNDUP(MOD(P[[#This Row],[Sun]]+P[[#This Row],[Moon]],360)/13.333333333,2)</f>
        <v>7.24</v>
      </c>
      <c r="T106" s="4" t="str">
        <f>SIGN(W107-Panchanga!$W106)*INT(Panchanga!$W106/30+1)&amp;"Ma,"&amp;SIGN(X107-Panchanga!$X106)*INT(Panchanga!$X106/30+1)&amp;"Me,"&amp;SIGN(Y107-Panchanga!$Y106)*INT(Panchanga!$Y106/30+1)&amp;"J, "&amp;SIGN(Z107-Panchanga!$Z106)*INT(Panchanga!$Z106/30+1)&amp;"V,"&amp;SIGN(AA107-Panchanga!$AA106)*INT(Panchanga!$AA106/30+1)&amp;"S,"&amp;INT(Panchanga!$AB106/30+1)&amp;"R"</f>
        <v>1Ma,2Me,2J, 2V,11S,12R</v>
      </c>
      <c r="U106" s="4">
        <f t="shared" si="22"/>
        <v>51.60258655555613</v>
      </c>
      <c r="V106" s="4">
        <f t="shared" si="23"/>
        <v>44.914234965712431</v>
      </c>
      <c r="W106" s="4">
        <f>Planet(Panchanga!$G106,4)</f>
        <v>3.4326523662985635</v>
      </c>
      <c r="X106" s="4">
        <f>Planet(Panchanga!$G106,2)</f>
        <v>41.220141072535888</v>
      </c>
      <c r="Y106" s="4">
        <f>Planet(Panchanga!$G106,5)</f>
        <v>38.385523229835471</v>
      </c>
      <c r="Z106" s="4">
        <f>Planet(Panchanga!$G106,3)</f>
        <v>51.972027685699167</v>
      </c>
      <c r="AA106" s="4">
        <f>Planet(Panchanga!$G106,6)</f>
        <v>324.76404934648434</v>
      </c>
      <c r="AB106" s="4">
        <f>Planet(Panchanga!$G106,10)</f>
        <v>348.36584803364076</v>
      </c>
      <c r="AC106" s="4" t="str">
        <f>TEXT(Panchanga!$C106+($C107-Panchanga!$C106)/ABS(IF($R107&lt;1,$R107+30,$R107)-Panchanga!$R106)*(ROUNDUP(Panchanga!$R106,0)-Panchanga!$R106),"hh:mm AM/PM")</f>
        <v>06:11 PM</v>
      </c>
      <c r="AD106" s="4"/>
    </row>
    <row r="107" spans="1:30" x14ac:dyDescent="0.2">
      <c r="A107" s="3">
        <f t="shared" si="25"/>
        <v>45450</v>
      </c>
      <c r="B107" s="3">
        <f t="shared" si="20"/>
        <v>45450.229166666664</v>
      </c>
      <c r="C107" s="6">
        <f t="shared" si="21"/>
        <v>45450.237880750246</v>
      </c>
      <c r="D107" s="6">
        <f>sunset(Lat,Long,B107)+TimeZone/24-0.000277777777777778</f>
        <v>45449.773837477478</v>
      </c>
      <c r="E107" s="6">
        <f>PlanetRiseSet(Lat,Long,B107,1,1)+TimeZone/24+0.00103009259259259</f>
        <v>45450.255033421483</v>
      </c>
      <c r="F107" s="6">
        <f>PlanetRiseSet(Lat,Long,B107+1,1,2)+TimeZone/24+0.00103009259259259</f>
        <v>45450.817745579094</v>
      </c>
      <c r="G107" s="17">
        <f>Panchanga!$C107-TimeZone/24</f>
        <v>45450.008714083582</v>
      </c>
      <c r="H107" s="13" t="str">
        <f>INT(P[[#This Row],[Sun]]/30)&amp;"s"&amp;ROUNDUP(MOD(P[[#This Row],[Sun]],30),2)</f>
        <v>1s22.56</v>
      </c>
      <c r="I107" s="13" t="str">
        <f>INT(P[[#This Row],[Moon]]/30)&amp;"s"&amp;ROUNDUP(MOD(P[[#This Row],[Moon]],30),2)</f>
        <v>1s28.74</v>
      </c>
      <c r="J107" s="14">
        <f t="shared" si="24"/>
        <v>45450.008714083582</v>
      </c>
      <c r="K107" s="10" t="str">
        <f>naks(P[[#This Row],[Moon]])</f>
        <v>Mrigashira</v>
      </c>
      <c r="L107" s="15">
        <f>(C108-P[[#This Row],[SunRise]])/(MOD(360+V108-P[[#This Row],[Moon]],360))*(13.3333333333333-MOD(P[[#This Row],[Moon]],13.333333333333))+P[[#This Row],[SunRise]]</f>
        <v>45450.824366998691</v>
      </c>
      <c r="M107" s="4" t="str">
        <f>IF(Panchanga!$R107&gt;15,"K","S")&amp;ROUNDUP(MOD(Panchanga!$R107,15),0)&amp;" ("&amp;ROUND(Panchanga!$R107,2)&amp;")"</f>
        <v>S1 (0.51)</v>
      </c>
      <c r="N107" s="4">
        <f>IF(AND(Panchanga!$R107&lt;28.5,Panchanga!$R107&gt;0.49999),MOD((Panchanga!$R107-0.5)*2,7),MOD((Panchanga!$R107+30-28.5),30)*2+7)</f>
        <v>2.8999999999999915E-2</v>
      </c>
      <c r="O107" s="4" t="str">
        <f>CHOOSE(ROUNDUP(Panchanga!$N107,0),"Bhava","Baalava","Kaulava","Taitula","Garija","Vanija","Vishti","Shakuni","Chatushapda","Naaga","Kimstugna")</f>
        <v>Bhava</v>
      </c>
      <c r="P107" s="11" t="str">
        <f>CHOOSE(ROUNDUP(Panchanga!$S107,0),"viṣkambha","prīti","āyuṣmāna","saubhāgya","śobhana","atigaṇḍa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("&amp;Panchanga!$S107&amp;")"</f>
        <v>śūla  (8.35)</v>
      </c>
      <c r="Q107" s="4">
        <f>IF(AND(Panchanga!$R107&lt;28.5,Panchanga!$R107&gt;0.49999),MOD((Panchanga!$R107-0.5)*2,7),MOD((Panchanga!$R107+30-28.5),30)*2+7)</f>
        <v>2.8999999999999915E-2</v>
      </c>
      <c r="R107" s="4">
        <f>ROUNDUP(MOD(360+P[[#This Row],[Moon]]-P[[#This Row],[Sun]],360)/12,4)</f>
        <v>0.51449999999999996</v>
      </c>
      <c r="S107" s="4">
        <f>ROUNDUP(MOD(P[[#This Row],[Sun]]+P[[#This Row],[Moon]],360)/13.333333333,2)</f>
        <v>8.35</v>
      </c>
      <c r="T107" s="4" t="str">
        <f>SIGN(W108-Panchanga!$W107)*INT(Panchanga!$W107/30+1)&amp;"Ma,"&amp;SIGN(X108-Panchanga!$X107)*INT(Panchanga!$X107/30+1)&amp;"Me,"&amp;SIGN(Y108-Panchanga!$Y107)*INT(Panchanga!$Y107/30+1)&amp;"J, "&amp;SIGN(Z108-Panchanga!$Z107)*INT(Panchanga!$Z107/30+1)&amp;"V,"&amp;SIGN(AA108-Panchanga!$AA107)*INT(Panchanga!$AA107/30+1)&amp;"S,"&amp;INT(Panchanga!$AB107/30+1)&amp;"R"</f>
        <v>1Ma,2Me,2J, 2V,11S,12R</v>
      </c>
      <c r="U107" s="4">
        <f t="shared" si="22"/>
        <v>52.559958476022338</v>
      </c>
      <c r="V107" s="4">
        <f t="shared" si="23"/>
        <v>58.732817546033331</v>
      </c>
      <c r="W107" s="4">
        <f>Planet(Panchanga!$G107,4)</f>
        <v>4.1784845344591321</v>
      </c>
      <c r="X107" s="4">
        <f>Planet(Panchanga!$G107,2)</f>
        <v>43.291872611038066</v>
      </c>
      <c r="Y107" s="4">
        <f>Planet(Panchanga!$G107,5)</f>
        <v>38.617566399674658</v>
      </c>
      <c r="Z107" s="4">
        <f>Planet(Panchanga!$G107,3)</f>
        <v>53.201049578134167</v>
      </c>
      <c r="AA107" s="4">
        <f>Planet(Panchanga!$G107,6)</f>
        <v>324.80207318027351</v>
      </c>
      <c r="AB107" s="4">
        <f>Planet(Panchanga!$G107,10)</f>
        <v>348.31285333407902</v>
      </c>
      <c r="AC107" s="4" t="str">
        <f>TEXT(Panchanga!$C107+($C108-Panchanga!$C107)/ABS(IF($R108&lt;1,$R108+30,$R108)-Panchanga!$R107)*(ROUNDUP(Panchanga!$R107,0)-Panchanga!$R107),"hh:mm AM/PM")</f>
        <v>04:49 PM</v>
      </c>
      <c r="AD107" s="4"/>
    </row>
    <row r="108" spans="1:30" x14ac:dyDescent="0.2">
      <c r="A108" s="3">
        <f t="shared" si="25"/>
        <v>45451</v>
      </c>
      <c r="B108" s="3">
        <f t="shared" si="20"/>
        <v>45451.229166666664</v>
      </c>
      <c r="C108" s="6">
        <f t="shared" si="21"/>
        <v>45451.237940440107</v>
      </c>
      <c r="D108" s="6">
        <f>sunset(Lat,Long,B108)+TimeZone/24-0.000277777777777778</f>
        <v>45450.774045804559</v>
      </c>
      <c r="E108" s="6">
        <f>PlanetRiseSet(Lat,Long,B108,1,1)+TimeZone/24+0.00103009259259259</f>
        <v>45451.296121611413</v>
      </c>
      <c r="F108" s="6">
        <f>PlanetRiseSet(Lat,Long,B108+1,1,2)+TimeZone/24+0.00103009259259259</f>
        <v>45451.857746763773</v>
      </c>
      <c r="G108" s="17">
        <f>Panchanga!$C108-TimeZone/24</f>
        <v>45451.008773773443</v>
      </c>
      <c r="H108" s="13" t="str">
        <f>INT(P[[#This Row],[Sun]]/30)&amp;"s"&amp;ROUNDUP(MOD(P[[#This Row],[Sun]],30),2)</f>
        <v>1s23.52</v>
      </c>
      <c r="I108" s="13" t="str">
        <f>INT(P[[#This Row],[Moon]]/30)&amp;"s"&amp;ROUNDUP(MOD(P[[#This Row],[Moon]],30),2)</f>
        <v>2s12.27</v>
      </c>
      <c r="J108" s="14">
        <f t="shared" si="24"/>
        <v>45451.008773773443</v>
      </c>
      <c r="K108" s="10" t="str">
        <f>naks(P[[#This Row],[Moon]])</f>
        <v>Ardra</v>
      </c>
      <c r="L108" s="15">
        <f>(C109-P[[#This Row],[SunRise]])/(MOD(360+V109-P[[#This Row],[Moon]],360))*(13.3333333333333-MOD(P[[#This Row],[Moon]],13.333333333333))+P[[#This Row],[SunRise]]</f>
        <v>45451.824374013791</v>
      </c>
      <c r="M108" s="4" t="str">
        <f>IF(Panchanga!$R108&gt;15,"K","S")&amp;ROUNDUP(MOD(Panchanga!$R108,15),0)&amp;" ("&amp;ROUND(Panchanga!$R108,2)&amp;")"</f>
        <v>S2 (1.56)</v>
      </c>
      <c r="N108" s="4">
        <f>IF(AND(Panchanga!$R108&lt;28.5,Panchanga!$R108&gt;0.49999),MOD((Panchanga!$R108-0.5)*2,7),MOD((Panchanga!$R108+30-28.5),30)*2+7)</f>
        <v>2.1242000000000001</v>
      </c>
      <c r="O108" s="4" t="str">
        <f>CHOOSE(ROUNDUP(Panchanga!$N108,0),"Bhava","Baalava","Kaulava","Taitula","Garija","Vanija","Vishti","Shakuni","Chatushapda","Naaga","Kimstugna")</f>
        <v>Kaulava</v>
      </c>
      <c r="P108" s="11" t="str">
        <f>CHOOSE(ROUNDUP(Panchanga!$S108,0),"viṣkambha","prīti","āyuṣmāna","saubhāgya","śobhana","atigaṇḍa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("&amp;Panchanga!$S108&amp;")"</f>
        <v>gaṇḍa  (9.44)</v>
      </c>
      <c r="Q108" s="4">
        <f>IF(AND(Panchanga!$R108&lt;28.5,Panchanga!$R108&gt;0.49999),MOD((Panchanga!$R108-0.5)*2,7),MOD((Panchanga!$R108+30-28.5),30)*2+7)</f>
        <v>2.1242000000000001</v>
      </c>
      <c r="R108" s="4">
        <f>ROUNDUP(MOD(360+P[[#This Row],[Moon]]-P[[#This Row],[Sun]],360)/12,4)</f>
        <v>1.5621</v>
      </c>
      <c r="S108" s="4">
        <f>ROUNDUP(MOD(P[[#This Row],[Sun]]+P[[#This Row],[Moon]],360)/13.333333333,2)</f>
        <v>9.44</v>
      </c>
      <c r="T108" s="4" t="str">
        <f>SIGN(W109-Panchanga!$W108)*INT(Panchanga!$W108/30+1)&amp;"Ma,"&amp;SIGN(X109-Panchanga!$X108)*INT(Panchanga!$X108/30+1)&amp;"Me,"&amp;SIGN(Y109-Panchanga!$Y108)*INT(Panchanga!$Y108/30+1)&amp;"J, "&amp;SIGN(Z109-Panchanga!$Z108)*INT(Panchanga!$Z108/30+1)&amp;"V,"&amp;SIGN(AA109-Panchanga!$AA108)*INT(Panchanga!$AA108/30+1)&amp;"S,"&amp;INT(Panchanga!$AB108/30+1)&amp;"R"</f>
        <v>1Ma,2Me,2J, 2V,11S,12R</v>
      </c>
      <c r="U108" s="4">
        <f t="shared" si="22"/>
        <v>53.517086456466686</v>
      </c>
      <c r="V108" s="4">
        <f t="shared" si="23"/>
        <v>72.261391680570895</v>
      </c>
      <c r="W108" s="4">
        <f>Planet(Panchanga!$G108,4)</f>
        <v>4.9233681695786764</v>
      </c>
      <c r="X108" s="4">
        <f>Planet(Panchanga!$G108,2)</f>
        <v>45.392146959290777</v>
      </c>
      <c r="Y108" s="4">
        <f>Planet(Panchanga!$G108,5)</f>
        <v>38.849207781904745</v>
      </c>
      <c r="Z108" s="4">
        <f>Planet(Panchanga!$G108,3)</f>
        <v>54.430083170543462</v>
      </c>
      <c r="AA108" s="4">
        <f>Planet(Panchanga!$G108,6)</f>
        <v>324.83851687675332</v>
      </c>
      <c r="AB108" s="4">
        <f>Planet(Panchanga!$G108,10)</f>
        <v>348.25985818371612</v>
      </c>
      <c r="AC108" s="4" t="str">
        <f>TEXT(Panchanga!$C108+($C109-Panchanga!$C108)/ABS(IF($R109&lt;1,$R109+30,$R109)-Panchanga!$R108)*(ROUNDUP(Panchanga!$R108,0)-Panchanga!$R108),"hh:mm AM/PM")</f>
        <v>04:00 PM</v>
      </c>
      <c r="AD108" s="4"/>
    </row>
    <row r="109" spans="1:30" x14ac:dyDescent="0.2">
      <c r="A109" s="3">
        <f t="shared" si="25"/>
        <v>45452</v>
      </c>
      <c r="B109" s="3">
        <f t="shared" si="20"/>
        <v>45452.229166666664</v>
      </c>
      <c r="C109" s="6">
        <f t="shared" si="21"/>
        <v>45452.238008396387</v>
      </c>
      <c r="D109" s="6">
        <f>sunset(Lat,Long,B109)+TimeZone/24-0.000277777777777778</f>
        <v>45451.774251891809</v>
      </c>
      <c r="E109" s="6">
        <f>PlanetRiseSet(Lat,Long,B109,1,1)+TimeZone/24+0.00103009259259259</f>
        <v>45452.337058690064</v>
      </c>
      <c r="F109" s="6">
        <f>PlanetRiseSet(Lat,Long,B109+1,1,2)+TimeZone/24+0.00103009259259259</f>
        <v>45452.893960322406</v>
      </c>
      <c r="G109" s="17">
        <f>Panchanga!$C109-TimeZone/24</f>
        <v>45452.008841729723</v>
      </c>
      <c r="H109" s="13" t="str">
        <f>INT(P[[#This Row],[Sun]]/30)&amp;"s"&amp;ROUNDUP(MOD(P[[#This Row],[Sun]],30),2)</f>
        <v>1s24.48</v>
      </c>
      <c r="I109" s="13" t="str">
        <f>INT(P[[#This Row],[Moon]]/30)&amp;"s"&amp;ROUNDUP(MOD(P[[#This Row],[Moon]],30),2)</f>
        <v>2s25.46</v>
      </c>
      <c r="J109" s="14">
        <f t="shared" si="24"/>
        <v>45452.008841729723</v>
      </c>
      <c r="K109" s="10" t="str">
        <f>naks(P[[#This Row],[Moon]])</f>
        <v>Punarvasu</v>
      </c>
      <c r="L109" s="15">
        <f>(C110-P[[#This Row],[SunRise]])/(MOD(360+V110-P[[#This Row],[Moon]],360))*(13.3333333333333-MOD(P[[#This Row],[Moon]],13.333333333333))+P[[#This Row],[SunRise]]</f>
        <v>45452.850804965645</v>
      </c>
      <c r="M109" s="4" t="str">
        <f>IF(Panchanga!$R109&gt;15,"K","S")&amp;ROUNDUP(MOD(Panchanga!$R109,15),0)&amp;" ("&amp;ROUND(Panchanga!$R109,2)&amp;")"</f>
        <v>S3 (2.58)</v>
      </c>
      <c r="N109" s="4">
        <f>IF(AND(Panchanga!$R109&lt;28.5,Panchanga!$R109&gt;0.49999),MOD((Panchanga!$R109-0.5)*2,7),MOD((Panchanga!$R109+30-28.5),30)*2+7)</f>
        <v>4.1642000000000001</v>
      </c>
      <c r="O109" s="4" t="str">
        <f>CHOOSE(ROUNDUP(Panchanga!$N109,0),"Bhava","Baalava","Kaulava","Taitula","Garija","Vanija","Vishti","Shakuni","Chatushapda","Naaga","Kimstugna")</f>
        <v>Garija</v>
      </c>
      <c r="P109" s="11" t="str">
        <f>CHOOSE(ROUNDUP(Panchanga!$S109,0),"viṣkambha","prīti","āyuṣmāna","saubhāgya","śobhana","atigaṇḍa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("&amp;Panchanga!$S109&amp;")"</f>
        <v>vṛddhi  (10.5)</v>
      </c>
      <c r="Q109" s="4">
        <f>IF(AND(Panchanga!$R109&lt;28.5,Panchanga!$R109&gt;0.49999),MOD((Panchanga!$R109-0.5)*2,7),MOD((Panchanga!$R109+30-28.5),30)*2+7)</f>
        <v>4.1642000000000001</v>
      </c>
      <c r="R109" s="4">
        <f>ROUNDUP(MOD(360+P[[#This Row],[Moon]]-P[[#This Row],[Sun]],360)/12,4)</f>
        <v>2.5821000000000001</v>
      </c>
      <c r="S109" s="4">
        <f>ROUNDUP(MOD(P[[#This Row],[Sun]]+P[[#This Row],[Moon]],360)/13.333333333,2)</f>
        <v>10.5</v>
      </c>
      <c r="T109" s="4" t="str">
        <f>SIGN(W110-Panchanga!$W109)*INT(Panchanga!$W109/30+1)&amp;"Ma,"&amp;SIGN(X110-Panchanga!$X109)*INT(Panchanga!$X109/30+1)&amp;"Me,"&amp;SIGN(Y110-Panchanga!$Y109)*INT(Panchanga!$Y109/30+1)&amp;"J, "&amp;SIGN(Z110-Panchanga!$Z109)*INT(Panchanga!$Z109/30+1)&amp;"V,"&amp;SIGN(AA110-Panchanga!$AA109)*INT(Panchanga!$AA109/30+1)&amp;"S,"&amp;INT(Panchanga!$AB109/30+1)&amp;"R"</f>
        <v>1Ma,2Me,2J, 2V,11S,12R</v>
      </c>
      <c r="U109" s="4">
        <f t="shared" si="22"/>
        <v>54.473961325097719</v>
      </c>
      <c r="V109" s="4">
        <f t="shared" si="23"/>
        <v>85.458341094346949</v>
      </c>
      <c r="W109" s="4">
        <f>Planet(Panchanga!$G109,4)</f>
        <v>5.6672864142887551</v>
      </c>
      <c r="X109" s="4">
        <f>Planet(Panchanga!$G109,2)</f>
        <v>47.518160334686023</v>
      </c>
      <c r="Y109" s="4">
        <f>Planet(Panchanga!$G109,5)</f>
        <v>39.080425166089682</v>
      </c>
      <c r="Z109" s="4">
        <f>Planet(Panchanga!$G109,3)</f>
        <v>55.65909671174208</v>
      </c>
      <c r="AA109" s="4">
        <f>Planet(Panchanga!$G109,6)</f>
        <v>324.87337242782371</v>
      </c>
      <c r="AB109" s="4">
        <f>Planet(Panchanga!$G109,10)</f>
        <v>348.20686259532658</v>
      </c>
      <c r="AC109" s="4" t="str">
        <f>TEXT(Panchanga!$C109+($C110-Panchanga!$C109)/ABS(IF($R110&lt;1,$R110+30,$R110)-Panchanga!$R109)*(ROUNDUP(Panchanga!$R109,0)-Panchanga!$R109),"hh:mm AM/PM")</f>
        <v>03:49 PM</v>
      </c>
      <c r="AD109" s="4"/>
    </row>
    <row r="110" spans="1:30" x14ac:dyDescent="0.2">
      <c r="A110" s="3">
        <f t="shared" si="25"/>
        <v>45453</v>
      </c>
      <c r="B110" s="3">
        <f t="shared" si="20"/>
        <v>45453.229166666664</v>
      </c>
      <c r="C110" s="6">
        <f t="shared" si="21"/>
        <v>45453.238084377874</v>
      </c>
      <c r="D110" s="6">
        <f>sunset(Lat,Long,B110)+TimeZone/24-0.000277777777777778</f>
        <v>45452.774455396037</v>
      </c>
      <c r="E110" s="6">
        <f>PlanetRiseSet(Lat,Long,B110,1,1)+TimeZone/24+0.00103009259259259</f>
        <v>45453.376369503014</v>
      </c>
      <c r="F110" s="6">
        <f>PlanetRiseSet(Lat,Long,B110+1,1,2)+TimeZone/24+0.00103009259259259</f>
        <v>45453.926147475526</v>
      </c>
      <c r="G110" s="17">
        <f>Panchanga!$C110-TimeZone/24</f>
        <v>45453.00891771121</v>
      </c>
      <c r="H110" s="13" t="str">
        <f>INT(P[[#This Row],[Sun]]/30)&amp;"s"&amp;ROUNDUP(MOD(P[[#This Row],[Sun]],30),2)</f>
        <v>1s25.44</v>
      </c>
      <c r="I110" s="13" t="str">
        <f>INT(P[[#This Row],[Moon]]/30)&amp;"s"&amp;ROUNDUP(MOD(P[[#This Row],[Moon]],30),2)</f>
        <v>3s8.32</v>
      </c>
      <c r="J110" s="14">
        <f t="shared" si="24"/>
        <v>45453.00891771121</v>
      </c>
      <c r="K110" s="10" t="str">
        <f>naks(P[[#This Row],[Moon]])</f>
        <v>Pushya</v>
      </c>
      <c r="L110" s="15">
        <f>(C111-P[[#This Row],[SunRise]])/(MOD(360+V111-P[[#This Row],[Moon]],360))*(13.3333333333333-MOD(P[[#This Row],[Moon]],13.333333333333))+P[[#This Row],[SunRise]]</f>
        <v>45453.905438978109</v>
      </c>
      <c r="M110" s="4" t="str">
        <f>IF(Panchanga!$R110&gt;15,"K","S")&amp;ROUNDUP(MOD(Panchanga!$R110,15),0)&amp;" ("&amp;ROUND(Panchanga!$R110,2)&amp;")"</f>
        <v>S4 (3.57)</v>
      </c>
      <c r="N110" s="4">
        <f>IF(AND(Panchanga!$R110&lt;28.5,Panchanga!$R110&gt;0.49999),MOD((Panchanga!$R110-0.5)*2,7),MOD((Panchanga!$R110+30-28.5),30)*2+7)</f>
        <v>6.1468000000000007</v>
      </c>
      <c r="O110" s="4" t="str">
        <f>CHOOSE(ROUNDUP(Panchanga!$N110,0),"Bhava","Baalava","Kaulava","Taitula","Garija","Vanija","Vishti","Shakuni","Chatushapda","Naaga","Kimstugna")</f>
        <v>Vishti</v>
      </c>
      <c r="P110" s="11" t="str">
        <f>CHOOSE(ROUNDUP(Panchanga!$S110,0),"viṣkambha","prīti","āyuṣmāna","saubhāgya","śobhana","atigaṇḍa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("&amp;Panchanga!$S110&amp;")"</f>
        <v>dhruva  (11.54)</v>
      </c>
      <c r="Q110" s="4">
        <f>IF(AND(Panchanga!$R110&lt;28.5,Panchanga!$R110&gt;0.49999),MOD((Panchanga!$R110-0.5)*2,7),MOD((Panchanga!$R110+30-28.5),30)*2+7)</f>
        <v>6.1468000000000007</v>
      </c>
      <c r="R110" s="4">
        <f>ROUNDUP(MOD(360+P[[#This Row],[Moon]]-P[[#This Row],[Sun]],360)/12,4)</f>
        <v>3.5734000000000004</v>
      </c>
      <c r="S110" s="4">
        <f>ROUNDUP(MOD(P[[#This Row],[Sun]]+P[[#This Row],[Moon]],360)/13.333333333,2)</f>
        <v>11.54</v>
      </c>
      <c r="T110" s="4" t="str">
        <f>SIGN(W111-Panchanga!$W110)*INT(Panchanga!$W110/30+1)&amp;"Ma,"&amp;SIGN(X111-Panchanga!$X110)*INT(Panchanga!$X110/30+1)&amp;"Me,"&amp;SIGN(Y111-Panchanga!$Y110)*INT(Panchanga!$Y110/30+1)&amp;"J, "&amp;SIGN(Z111-Panchanga!$Z110)*INT(Panchanga!$Z110/30+1)&amp;"V,"&amp;SIGN(AA111-Panchanga!$AA110)*INT(Panchanga!$AA110/30+1)&amp;"S,"&amp;INT(Panchanga!$AB110/30+1)&amp;"R"</f>
        <v>1Ma,2Me,2J, 2V,11S,12R</v>
      </c>
      <c r="U110" s="4">
        <f t="shared" si="22"/>
        <v>55.430576392014693</v>
      </c>
      <c r="V110" s="4">
        <f t="shared" si="23"/>
        <v>98.310225370043341</v>
      </c>
      <c r="W110" s="4">
        <f>Planet(Panchanga!$G110,4)</f>
        <v>6.4102247258446061</v>
      </c>
      <c r="X110" s="4">
        <f>Planet(Panchanga!$G110,2)</f>
        <v>49.666677608371117</v>
      </c>
      <c r="Y110" s="4">
        <f>Planet(Panchanga!$G110,5)</f>
        <v>39.311196920266632</v>
      </c>
      <c r="Z110" s="4">
        <f>Planet(Panchanga!$G110,3)</f>
        <v>56.888078173250605</v>
      </c>
      <c r="AA110" s="4">
        <f>Planet(Panchanga!$G110,6)</f>
        <v>324.90663262731726</v>
      </c>
      <c r="AB110" s="4">
        <f>Planet(Panchanga!$G110,10)</f>
        <v>348.15386658163533</v>
      </c>
      <c r="AC110" s="4" t="str">
        <f>TEXT(Panchanga!$C110+($C111-Panchanga!$C110)/ABS(IF($R111&lt;1,$R111+30,$R111)-Panchanga!$R110)*(ROUNDUP(Panchanga!$R110,0)-Panchanga!$R110),"hh:mm AM/PM")</f>
        <v>04:20 PM</v>
      </c>
      <c r="AD110" s="4"/>
    </row>
    <row r="111" spans="1:30" x14ac:dyDescent="0.2">
      <c r="A111" s="3">
        <f t="shared" si="25"/>
        <v>45454</v>
      </c>
      <c r="B111" s="3">
        <f t="shared" si="20"/>
        <v>45454.229166666664</v>
      </c>
      <c r="C111" s="6">
        <f t="shared" si="21"/>
        <v>45454.238168145217</v>
      </c>
      <c r="D111" s="6">
        <f>sunset(Lat,Long,B111)+TimeZone/24-0.000277777777777778</f>
        <v>45453.774655983827</v>
      </c>
      <c r="E111" s="6">
        <f>PlanetRiseSet(Lat,Long,B111,1,1)+TimeZone/24+0.00103009259259259</f>
        <v>45454.413298875246</v>
      </c>
      <c r="F111" s="6">
        <f>PlanetRiseSet(Lat,Long,B111+1,1,2)+TimeZone/24+0.00103009259259259</f>
        <v>45454.954779829051</v>
      </c>
      <c r="G111" s="17">
        <f>Panchanga!$C111-TimeZone/24</f>
        <v>45454.009001478553</v>
      </c>
      <c r="H111" s="13" t="str">
        <f>INT(P[[#This Row],[Sun]]/30)&amp;"s"&amp;ROUNDUP(MOD(P[[#This Row],[Sun]],30),2)</f>
        <v>1s26.39</v>
      </c>
      <c r="I111" s="13" t="str">
        <f>INT(P[[#This Row],[Moon]]/30)&amp;"s"&amp;ROUNDUP(MOD(P[[#This Row],[Moon]],30),2)</f>
        <v>3s20.84</v>
      </c>
      <c r="J111" s="14">
        <f t="shared" si="24"/>
        <v>45454.009001478553</v>
      </c>
      <c r="K111" s="10" t="str">
        <f>naks(P[[#This Row],[Moon]])</f>
        <v>Aslesha</v>
      </c>
      <c r="L111" s="15">
        <f>(C112-P[[#This Row],[SunRise]])/(MOD(360+V112-P[[#This Row],[Moon]],360))*(13.3333333333333-MOD(P[[#This Row],[Moon]],13.333333333333))+P[[#This Row],[SunRise]]</f>
        <v>45454.987400820617</v>
      </c>
      <c r="M111" s="4" t="str">
        <f>IF(Panchanga!$R111&gt;15,"K","S")&amp;ROUNDUP(MOD(Panchanga!$R111,15),0)&amp;" ("&amp;ROUND(Panchanga!$R111,2)&amp;")"</f>
        <v>S5 (4.54)</v>
      </c>
      <c r="N111" s="4">
        <f>IF(AND(Panchanga!$R111&lt;28.5,Panchanga!$R111&gt;0.49999),MOD((Panchanga!$R111-0.5)*2,7),MOD((Panchanga!$R111+30-28.5),30)*2+7)</f>
        <v>1.0743999999999989</v>
      </c>
      <c r="O111" s="4" t="str">
        <f>CHOOSE(ROUNDUP(Panchanga!$N111,0),"Bhava","Baalava","Kaulava","Taitula","Garija","Vanija","Vishti","Shakuni","Chatushapda","Naaga","Kimstugna")</f>
        <v>Baalava</v>
      </c>
      <c r="P111" s="11" t="str">
        <f>CHOOSE(ROUNDUP(Panchanga!$S111,0),"viṣkambha","prīti","āyuṣmāna","saubhāgya","śobhana","atigaṇḍa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("&amp;Panchanga!$S111&amp;")"</f>
        <v>vyāghāta (12.55)</v>
      </c>
      <c r="Q111" s="4">
        <f>IF(AND(Panchanga!$R111&lt;28.5,Panchanga!$R111&gt;0.49999),MOD((Panchanga!$R111-0.5)*2,7),MOD((Panchanga!$R111+30-28.5),30)*2+7)</f>
        <v>1.0743999999999989</v>
      </c>
      <c r="R111" s="4">
        <f>ROUNDUP(MOD(360+P[[#This Row],[Moon]]-P[[#This Row],[Sun]],360)/12,4)</f>
        <v>4.5371999999999995</v>
      </c>
      <c r="S111" s="4">
        <f>ROUNDUP(MOD(P[[#This Row],[Sun]]+P[[#This Row],[Moon]],360)/13.333333333,2)</f>
        <v>12.549999999999999</v>
      </c>
      <c r="T111" s="4" t="str">
        <f>SIGN(W112-Panchanga!$W111)*INT(Panchanga!$W111/30+1)&amp;"Ma,"&amp;SIGN(X112-Panchanga!$X111)*INT(Panchanga!$X111/30+1)&amp;"Me,"&amp;SIGN(Y112-Panchanga!$Y111)*INT(Panchanga!$Y111/30+1)&amp;"J, "&amp;SIGN(Z112-Panchanga!$Z111)*INT(Panchanga!$Z111/30+1)&amp;"V,"&amp;SIGN(AA112-Panchanga!$AA111)*INT(Panchanga!$AA111/30+1)&amp;"S,"&amp;INT(Panchanga!$AB111/30+1)&amp;"R"</f>
        <v>1Ma,2Me,2J, 2V,11S,12R</v>
      </c>
      <c r="U111" s="4">
        <f t="shared" si="22"/>
        <v>56.386927847798916</v>
      </c>
      <c r="V111" s="4">
        <f t="shared" si="23"/>
        <v>110.83301503922728</v>
      </c>
      <c r="W111" s="4">
        <f>Planet(Panchanga!$G111,4)</f>
        <v>7.1521706528984392</v>
      </c>
      <c r="X111" s="4">
        <f>Planet(Panchanga!$G111,2)</f>
        <v>51.834054440003008</v>
      </c>
      <c r="Y111" s="4">
        <f>Planet(Panchanga!$G111,5)</f>
        <v>39.541502038119468</v>
      </c>
      <c r="Z111" s="4">
        <f>Planet(Panchanga!$G111,3)</f>
        <v>58.117020991296222</v>
      </c>
      <c r="AA111" s="4">
        <f>Planet(Panchanga!$G111,6)</f>
        <v>324.93829095990748</v>
      </c>
      <c r="AB111" s="4">
        <f>Planet(Panchanga!$G111,10)</f>
        <v>348.10087015538357</v>
      </c>
      <c r="AC111" s="4" t="str">
        <f>TEXT(Panchanga!$C111+($C112-Panchanga!$C111)/ABS(IF($R112&lt;1,$R112+30,$R112)-Panchanga!$R111)*(ROUNDUP(Panchanga!$R111,0)-Panchanga!$R111),"hh:mm AM/PM")</f>
        <v>05:32 PM</v>
      </c>
      <c r="AD111" s="4"/>
    </row>
    <row r="112" spans="1:30" x14ac:dyDescent="0.2">
      <c r="A112" s="3">
        <f t="shared" si="25"/>
        <v>45455</v>
      </c>
      <c r="B112" s="3">
        <f t="shared" si="20"/>
        <v>45455.229166666664</v>
      </c>
      <c r="C112" s="6">
        <f t="shared" si="21"/>
        <v>45455.23825945767</v>
      </c>
      <c r="D112" s="6">
        <f>sunset(Lat,Long,B112)+TimeZone/24-0.000277777777777778</f>
        <v>45454.774853329684</v>
      </c>
      <c r="E112" s="6">
        <f>PlanetRiseSet(Lat,Long,B112,1,1)+TimeZone/24+0.00103009259259259</f>
        <v>45455.447825572141</v>
      </c>
      <c r="F112" s="6">
        <f>PlanetRiseSet(Lat,Long,B112+1,1,2)+TimeZone/24+0.00103009259259259</f>
        <v>45455.98067618037</v>
      </c>
      <c r="G112" s="17">
        <f>Panchanga!$C112-TimeZone/24</f>
        <v>45455.009092791006</v>
      </c>
      <c r="H112" s="13" t="str">
        <f>INT(P[[#This Row],[Sun]]/30)&amp;"s"&amp;ROUNDUP(MOD(P[[#This Row],[Sun]],30),2)</f>
        <v>1s27.35</v>
      </c>
      <c r="I112" s="13" t="str">
        <f>INT(P[[#This Row],[Moon]]/30)&amp;"s"&amp;ROUNDUP(MOD(P[[#This Row],[Moon]],30),2)</f>
        <v>4s3.07</v>
      </c>
      <c r="J112" s="14">
        <f t="shared" si="24"/>
        <v>45455.009092791006</v>
      </c>
      <c r="K112" s="10" t="str">
        <f>naks(P[[#This Row],[Moon]])</f>
        <v>Makha</v>
      </c>
      <c r="L112" s="15">
        <f>(C113-P[[#This Row],[SunRise]])/(MOD(360+V113-P[[#This Row],[Moon]],360))*(13.3333333333333-MOD(P[[#This Row],[Moon]],13.333333333333))+P[[#This Row],[SunRise]]</f>
        <v>45456.092708317854</v>
      </c>
      <c r="M112" s="4" t="str">
        <f>IF(Panchanga!$R112&gt;15,"K","S")&amp;ROUNDUP(MOD(Panchanga!$R112,15),0)&amp;" ("&amp;ROUND(Panchanga!$R112,2)&amp;")"</f>
        <v>S6 (5.48)</v>
      </c>
      <c r="N112" s="4">
        <f>IF(AND(Panchanga!$R112&lt;28.5,Panchanga!$R112&gt;0.49999),MOD((Panchanga!$R112-0.5)*2,7),MOD((Panchanga!$R112+30-28.5),30)*2+7)</f>
        <v>2.9543999999999997</v>
      </c>
      <c r="O112" s="4" t="str">
        <f>CHOOSE(ROUNDUP(Panchanga!$N112,0),"Bhava","Baalava","Kaulava","Taitula","Garija","Vanija","Vishti","Shakuni","Chatushapda","Naaga","Kimstugna")</f>
        <v>Kaulava</v>
      </c>
      <c r="P112" s="11" t="str">
        <f>CHOOSE(ROUNDUP(Panchanga!$S112,0),"viṣkambha","prīti","āyuṣmāna","saubhāgya","śobhana","atigaṇḍa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("&amp;Panchanga!$S112&amp;")"</f>
        <v>harṣaṇa (13.54)</v>
      </c>
      <c r="Q112" s="4">
        <f>IF(AND(Panchanga!$R112&lt;28.5,Panchanga!$R112&gt;0.49999),MOD((Panchanga!$R112-0.5)*2,7),MOD((Panchanga!$R112+30-28.5),30)*2+7)</f>
        <v>2.9543999999999997</v>
      </c>
      <c r="R112" s="4">
        <f>ROUNDUP(MOD(360+P[[#This Row],[Moon]]-P[[#This Row],[Sun]],360)/12,4)</f>
        <v>5.4771999999999998</v>
      </c>
      <c r="S112" s="4">
        <f>ROUNDUP(MOD(P[[#This Row],[Sun]]+P[[#This Row],[Moon]],360)/13.333333333,2)</f>
        <v>13.54</v>
      </c>
      <c r="T112" s="4" t="str">
        <f>SIGN(W113-Panchanga!$W112)*INT(Panchanga!$W112/30+1)&amp;"Ma,"&amp;SIGN(X113-Panchanga!$X112)*INT(Panchanga!$X112/30+1)&amp;"Me,"&amp;SIGN(Y113-Panchanga!$Y112)*INT(Panchanga!$Y112/30+1)&amp;"J, "&amp;SIGN(Z113-Panchanga!$Z112)*INT(Panchanga!$Z112/30+1)&amp;"V,"&amp;SIGN(AA113-Panchanga!$AA112)*INT(Panchanga!$AA112/30+1)&amp;"S,"&amp;INT(Panchanga!$AB112/30+1)&amp;"R"</f>
        <v>1Ma,2Me,2J, 2V,11S,12R</v>
      </c>
      <c r="U112" s="4">
        <f t="shared" si="22"/>
        <v>57.343014862058638</v>
      </c>
      <c r="V112" s="4">
        <f t="shared" si="23"/>
        <v>123.06929666665545</v>
      </c>
      <c r="W112" s="4">
        <f>Planet(Panchanga!$G112,4)</f>
        <v>7.8931135181193604</v>
      </c>
      <c r="X112" s="4">
        <f>Planet(Panchanga!$G112,2)</f>
        <v>54.016282896402238</v>
      </c>
      <c r="Y112" s="4">
        <f>Planet(Panchanga!$G112,5)</f>
        <v>39.771320128237491</v>
      </c>
      <c r="Z112" s="4">
        <f>Planet(Panchanga!$G112,3)</f>
        <v>59.34592137376881</v>
      </c>
      <c r="AA112" s="4">
        <f>Planet(Panchanga!$G112,6)</f>
        <v>324.96834149466861</v>
      </c>
      <c r="AB112" s="4">
        <f>Planet(Panchanga!$G112,10)</f>
        <v>348.04787332931295</v>
      </c>
      <c r="AC112" s="4" t="str">
        <f>TEXT(Panchanga!$C112+($C113-Panchanga!$C112)/ABS(IF($R113&lt;1,$R113+30,$R113)-Panchanga!$R112)*(ROUNDUP(Panchanga!$R112,0)-Panchanga!$R112),"hh:mm AM/PM")</f>
        <v>07:20 PM</v>
      </c>
      <c r="AD112" s="4"/>
    </row>
    <row r="113" spans="1:30" x14ac:dyDescent="0.2">
      <c r="A113" s="3">
        <f t="shared" si="25"/>
        <v>45456</v>
      </c>
      <c r="B113" s="3">
        <f t="shared" si="20"/>
        <v>45456.229166666664</v>
      </c>
      <c r="C113" s="6">
        <f t="shared" si="21"/>
        <v>45456.238358076349</v>
      </c>
      <c r="D113" s="6">
        <f>sunset(Lat,Long,B113)+TimeZone/24-0.000277777777777778</f>
        <v>45455.775047117888</v>
      </c>
      <c r="E113" s="6">
        <f>PlanetRiseSet(Lat,Long,B113,1,1)+TimeZone/24+0.00103009259259259</f>
        <v>45456.480415913895</v>
      </c>
      <c r="F113" s="6">
        <f>PlanetRiseSet(Lat,Long,B113+1,1,2)+TimeZone/24+0.00103009259259259</f>
        <v>45457.004749001622</v>
      </c>
      <c r="G113" s="17">
        <f>Panchanga!$C113-TimeZone/24</f>
        <v>45456.009191409685</v>
      </c>
      <c r="H113" s="13" t="str">
        <f>INT(P[[#This Row],[Sun]]/30)&amp;"s"&amp;ROUNDUP(MOD(P[[#This Row],[Sun]],30),2)</f>
        <v>1s28.3</v>
      </c>
      <c r="I113" s="13" t="str">
        <f>INT(P[[#This Row],[Moon]]/30)&amp;"s"&amp;ROUNDUP(MOD(P[[#This Row],[Moon]],30),2)</f>
        <v>4s15.09</v>
      </c>
      <c r="J113" s="14">
        <f t="shared" si="24"/>
        <v>45456.009191409685</v>
      </c>
      <c r="K113" s="10" t="str">
        <f>naks(P[[#This Row],[Moon]])</f>
        <v>Purva Phalguni</v>
      </c>
      <c r="L113" s="15">
        <f>(C114-P[[#This Row],[SunRise]])/(MOD(360+V114-P[[#This Row],[Moon]],360))*(13.3333333333333-MOD(P[[#This Row],[Moon]],13.333333333333))+P[[#This Row],[SunRise]]</f>
        <v>45457.214361714898</v>
      </c>
      <c r="M113" s="4" t="str">
        <f>IF(Panchanga!$R113&gt;15,"K","S")&amp;ROUNDUP(MOD(Panchanga!$R113,15),0)&amp;" ("&amp;ROUND(Panchanga!$R113,2)&amp;")"</f>
        <v>S7 (6.4)</v>
      </c>
      <c r="N113" s="4">
        <f>IF(AND(Panchanga!$R113&lt;28.5,Panchanga!$R113&gt;0.49999),MOD((Panchanga!$R113-0.5)*2,7),MOD((Panchanga!$R113+30-28.5),30)*2+7)</f>
        <v>4.7973999999999997</v>
      </c>
      <c r="O113" s="4" t="str">
        <f>CHOOSE(ROUNDUP(Panchanga!$N113,0),"Bhava","Baalava","Kaulava","Taitula","Garija","Vanija","Vishti","Shakuni","Chatushapda","Naaga","Kimstugna")</f>
        <v>Garija</v>
      </c>
      <c r="P113" s="11" t="str">
        <f>CHOOSE(ROUNDUP(Panchanga!$S113,0),"viṣkambha","prīti","āyuṣmāna","saubhāgya","śobhana","atigaṇḍa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("&amp;Panchanga!$S113&amp;")"</f>
        <v>vajra (14.51)</v>
      </c>
      <c r="Q113" s="4">
        <f>IF(AND(Panchanga!$R113&lt;28.5,Panchanga!$R113&gt;0.49999),MOD((Panchanga!$R113-0.5)*2,7),MOD((Panchanga!$R113+30-28.5),30)*2+7)</f>
        <v>4.7973999999999997</v>
      </c>
      <c r="R113" s="4">
        <f>ROUNDUP(MOD(360+P[[#This Row],[Moon]]-P[[#This Row],[Sun]],360)/12,4)</f>
        <v>6.3986999999999998</v>
      </c>
      <c r="S113" s="4">
        <f>ROUNDUP(MOD(P[[#This Row],[Sun]]+P[[#This Row],[Moon]],360)/13.333333333,2)</f>
        <v>14.51</v>
      </c>
      <c r="T113" s="4" t="str">
        <f>SIGN(W114-Panchanga!$W113)*INT(Panchanga!$W113/30+1)&amp;"Ma,"&amp;SIGN(X114-Panchanga!$X113)*INT(Panchanga!$X113/30+1)&amp;"Me,"&amp;SIGN(Y114-Panchanga!$Y113)*INT(Panchanga!$Y113/30+1)&amp;"J, "&amp;SIGN(Z114-Panchanga!$Z113)*INT(Panchanga!$Z113/30+1)&amp;"V,"&amp;SIGN(AA114-Panchanga!$AA113)*INT(Panchanga!$AA113/30+1)&amp;"S,"&amp;INT(Panchanga!$AB113/30+1)&amp;"R"</f>
        <v>1Ma,2Me,2J, 3V,11S,12R</v>
      </c>
      <c r="U113" s="4">
        <f t="shared" si="22"/>
        <v>58.298839459552887</v>
      </c>
      <c r="V113" s="4">
        <f t="shared" si="23"/>
        <v>135.08294589808389</v>
      </c>
      <c r="W113" s="4">
        <f>Planet(Panchanga!$G113,4)</f>
        <v>8.6330440761877814</v>
      </c>
      <c r="X113" s="4">
        <f>Planet(Panchanga!$G113,2)</f>
        <v>56.209060153984694</v>
      </c>
      <c r="Y113" s="4">
        <f>Planet(Panchanga!$G113,5)</f>
        <v>40.000631361173781</v>
      </c>
      <c r="Z113" s="4">
        <f>Planet(Panchanga!$G113,3)</f>
        <v>60.574777447342527</v>
      </c>
      <c r="AA113" s="4">
        <f>Planet(Panchanga!$G113,6)</f>
        <v>324.99677879106764</v>
      </c>
      <c r="AB113" s="4">
        <f>Planet(Panchanga!$G113,10)</f>
        <v>347.99487611606526</v>
      </c>
      <c r="AC113" s="4" t="str">
        <f>TEXT(Panchanga!$C113+($C114-Panchanga!$C113)/ABS(IF($R114&lt;1,$R114+30,$R114)-Panchanga!$R113)*(ROUNDUP(Panchanga!$R113,0)-Panchanga!$R113),"hh:mm AM/PM")</f>
        <v>09:35 PM</v>
      </c>
      <c r="AD113" s="4"/>
    </row>
    <row r="114" spans="1:30" x14ac:dyDescent="0.2">
      <c r="A114" s="3">
        <f t="shared" si="25"/>
        <v>45457</v>
      </c>
      <c r="B114" s="3">
        <f t="shared" si="20"/>
        <v>45457.229166666664</v>
      </c>
      <c r="C114" s="6">
        <f t="shared" si="21"/>
        <v>45457.238463761438</v>
      </c>
      <c r="D114" s="6">
        <f>sunset(Lat,Long,B114)+TimeZone/24-0.000277777777777778</f>
        <v>45456.775237042035</v>
      </c>
      <c r="E114" s="6">
        <f>PlanetRiseSet(Lat,Long,B114,1,1)+TimeZone/24+0.00103009259259259</f>
        <v>45456.480415951148</v>
      </c>
      <c r="F114" s="6">
        <f>PlanetRiseSet(Lat,Long,B114+1,1,2)+TimeZone/24+0.00103009259259259</f>
        <v>45458.027897657048</v>
      </c>
      <c r="G114" s="17">
        <f>Panchanga!$C114-TimeZone/24</f>
        <v>45457.009297094774</v>
      </c>
      <c r="H114" s="13" t="str">
        <f>INT(P[[#This Row],[Sun]]/30)&amp;"s"&amp;ROUNDUP(MOD(P[[#This Row],[Sun]],30),2)</f>
        <v>1s29.26</v>
      </c>
      <c r="I114" s="13" t="str">
        <f>INT(P[[#This Row],[Moon]]/30)&amp;"s"&amp;ROUNDUP(MOD(P[[#This Row],[Moon]],30),2)</f>
        <v>4s26.96</v>
      </c>
      <c r="J114" s="14">
        <f t="shared" si="24"/>
        <v>45457.009297094774</v>
      </c>
      <c r="K114" s="10" t="str">
        <f>naks(P[[#This Row],[Moon]])</f>
        <v>Uttara Phalguni</v>
      </c>
      <c r="L114" s="15">
        <f>(C115-P[[#This Row],[SunRise]])/(MOD(360+V115-P[[#This Row],[Moon]],360))*(13.3333333333333-MOD(P[[#This Row],[Moon]],13.333333333333))+P[[#This Row],[SunRise]]</f>
        <v>45458.343053733399</v>
      </c>
      <c r="M114" s="4" t="str">
        <f>IF(Panchanga!$R114&gt;15,"K","S")&amp;ROUNDUP(MOD(Panchanga!$R114,15),0)&amp;" ("&amp;ROUND(Panchanga!$R114,2)&amp;")"</f>
        <v>S8 (7.31)</v>
      </c>
      <c r="N114" s="4">
        <f>IF(AND(Panchanga!$R114&lt;28.5,Panchanga!$R114&gt;0.49999),MOD((Panchanga!$R114-0.5)*2,7),MOD((Panchanga!$R114+30-28.5),30)*2+7)</f>
        <v>6.6163999999999987</v>
      </c>
      <c r="O114" s="4" t="str">
        <f>CHOOSE(ROUNDUP(Panchanga!$N114,0),"Bhava","Baalava","Kaulava","Taitula","Garija","Vanija","Vishti","Shakuni","Chatushapda","Naaga","Kimstugna")</f>
        <v>Vishti</v>
      </c>
      <c r="P114" s="11" t="str">
        <f>CHOOSE(ROUNDUP(Panchanga!$S114,0),"viṣkambha","prīti","āyuṣmāna","saubhāgya","śobhana","atigaṇḍa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("&amp;Panchanga!$S114&amp;")"</f>
        <v>siddhi (15.47)</v>
      </c>
      <c r="Q114" s="4">
        <f>IF(AND(Panchanga!$R114&lt;28.5,Panchanga!$R114&gt;0.49999),MOD((Panchanga!$R114-0.5)*2,7),MOD((Panchanga!$R114+30-28.5),30)*2+7)</f>
        <v>6.6163999999999987</v>
      </c>
      <c r="R114" s="4">
        <f>ROUNDUP(MOD(360+P[[#This Row],[Moon]]-P[[#This Row],[Sun]],360)/12,4)</f>
        <v>7.3081999999999994</v>
      </c>
      <c r="S114" s="4">
        <f>ROUNDUP(MOD(P[[#This Row],[Sun]]+P[[#This Row],[Moon]],360)/13.333333333,2)</f>
        <v>15.47</v>
      </c>
      <c r="T114" s="4" t="str">
        <f>SIGN(W115-Panchanga!$W114)*INT(Panchanga!$W114/30+1)&amp;"Ma,"&amp;SIGN(X115-Panchanga!$X114)*INT(Panchanga!$X114/30+1)&amp;"Me,"&amp;SIGN(Y115-Panchanga!$Y114)*INT(Panchanga!$Y114/30+1)&amp;"J, "&amp;SIGN(Z115-Panchanga!$Z114)*INT(Panchanga!$Z114/30+1)&amp;"V,"&amp;SIGN(AA115-Panchanga!$AA114)*INT(Panchanga!$AA114/30+1)&amp;"S,"&amp;INT(Panchanga!$AB114/30+1)&amp;"R"</f>
        <v>1Ma,2Me,2J, 3V,11S,12R</v>
      </c>
      <c r="U114" s="4">
        <f t="shared" si="22"/>
        <v>59.254406270248815</v>
      </c>
      <c r="V114" s="4">
        <f t="shared" si="23"/>
        <v>146.95272233903998</v>
      </c>
      <c r="W114" s="4">
        <f>Planet(Panchanga!$G114,4)</f>
        <v>9.3719542132333444</v>
      </c>
      <c r="X114" s="4">
        <f>Planet(Panchanga!$G114,2)</f>
        <v>58.407880582230845</v>
      </c>
      <c r="Y114" s="4">
        <f>Planet(Panchanga!$G114,5)</f>
        <v>40.229416400311578</v>
      </c>
      <c r="Z114" s="4">
        <f>Planet(Panchanga!$G114,3)</f>
        <v>61.80358883443828</v>
      </c>
      <c r="AA114" s="4">
        <f>Planet(Panchanga!$G114,6)</f>
        <v>325.02359782969171</v>
      </c>
      <c r="AB114" s="4">
        <f>Planet(Panchanga!$G114,10)</f>
        <v>347.94187852833232</v>
      </c>
      <c r="AC114" s="4" t="str">
        <f>TEXT(Panchanga!$C114+($C115-Panchanga!$C114)/ABS(IF($R115&lt;1,$R115+30,$R115)-Panchanga!$R114)*(ROUNDUP(Panchanga!$R114,0)-Panchanga!$R114),"hh:mm AM/PM")</f>
        <v>12:04 AM</v>
      </c>
      <c r="AD114" s="4"/>
    </row>
    <row r="115" spans="1:30" x14ac:dyDescent="0.2">
      <c r="A115" s="3">
        <f t="shared" si="25"/>
        <v>45458</v>
      </c>
      <c r="B115" s="3">
        <f t="shared" si="20"/>
        <v>45458.229166666664</v>
      </c>
      <c r="C115" s="6">
        <f t="shared" si="21"/>
        <v>45458.23857627219</v>
      </c>
      <c r="D115" s="6">
        <f>sunset(Lat,Long,B115)+TimeZone/24-0.000277777777777778</f>
        <v>45457.775422805033</v>
      </c>
      <c r="E115" s="6">
        <f>PlanetRiseSet(Lat,Long,B115,1,1)+TimeZone/24+0.00103009259259259</f>
        <v>45457.511780173671</v>
      </c>
      <c r="F115" s="6">
        <f>PlanetRiseSet(Lat,Long,B115+1,1,2)+TimeZone/24+0.00103009259259259</f>
        <v>45459.050994880185</v>
      </c>
      <c r="G115" s="17">
        <f>Panchanga!$C115-TimeZone/24</f>
        <v>45458.009409605525</v>
      </c>
      <c r="H115" s="13" t="str">
        <f>INT(P[[#This Row],[Sun]]/30)&amp;"s"&amp;ROUNDUP(MOD(P[[#This Row],[Sun]],30),2)</f>
        <v>2s0.21</v>
      </c>
      <c r="I115" s="13" t="str">
        <f>INT(P[[#This Row],[Moon]]/30)&amp;"s"&amp;ROUNDUP(MOD(P[[#This Row],[Moon]],30),2)</f>
        <v>5s8.77</v>
      </c>
      <c r="J115" s="14">
        <f t="shared" si="24"/>
        <v>45458.009409605525</v>
      </c>
      <c r="K115" s="10" t="str">
        <f>naks(P[[#This Row],[Moon]])</f>
        <v>Uttara Phalguni</v>
      </c>
      <c r="L115" s="15">
        <f>(C116-P[[#This Row],[SunRise]])/(MOD(360+V116-P[[#This Row],[Moon]],360))*(13.3333333333333-MOD(P[[#This Row],[Moon]],13.333333333333))+P[[#This Row],[SunRise]]</f>
        <v>45458.342758541425</v>
      </c>
      <c r="M115" s="4" t="str">
        <f>IF(Panchanga!$R115&gt;15,"K","S")&amp;ROUNDUP(MOD(Panchanga!$R115,15),0)&amp;" ("&amp;ROUND(Panchanga!$R115,2)&amp;")"</f>
        <v>S9 (8.21)</v>
      </c>
      <c r="N115" s="4">
        <f>IF(AND(Panchanga!$R115&lt;28.5,Panchanga!$R115&gt;0.49999),MOD((Panchanga!$R115-0.5)*2,7),MOD((Panchanga!$R115+30-28.5),30)*2+7)</f>
        <v>1.4261999999999979</v>
      </c>
      <c r="O115" s="4" t="str">
        <f>CHOOSE(ROUNDUP(Panchanga!$N115,0),"Bhava","Baalava","Kaulava","Taitula","Garija","Vanija","Vishti","Shakuni","Chatushapda","Naaga","Kimstugna")</f>
        <v>Baalava</v>
      </c>
      <c r="P115" s="11" t="str">
        <f>CHOOSE(ROUNDUP(Panchanga!$S115,0),"viṣkambha","prīti","āyuṣmāna","saubhāgya","śobhana","atigaṇḍa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("&amp;Panchanga!$S115&amp;")"</f>
        <v>vyatipāta (16.43)</v>
      </c>
      <c r="Q115" s="4">
        <f>IF(AND(Panchanga!$R115&lt;28.5,Panchanga!$R115&gt;0.49999),MOD((Panchanga!$R115-0.5)*2,7),MOD((Panchanga!$R115+30-28.5),30)*2+7)</f>
        <v>1.4261999999999979</v>
      </c>
      <c r="R115" s="4">
        <f>ROUNDUP(MOD(360+P[[#This Row],[Moon]]-P[[#This Row],[Sun]],360)/12,4)</f>
        <v>8.213099999999999</v>
      </c>
      <c r="S115" s="4">
        <f>ROUNDUP(MOD(P[[#This Row],[Sun]]+P[[#This Row],[Moon]],360)/13.333333333,2)</f>
        <v>16.430000000000003</v>
      </c>
      <c r="T115" s="4" t="str">
        <f>SIGN(W116-Panchanga!$W115)*INT(Panchanga!$W115/30+1)&amp;"Ma,"&amp;SIGN(X116-Panchanga!$X115)*INT(Panchanga!$X115/30+1)&amp;"Me,"&amp;SIGN(Y116-Panchanga!$Y115)*INT(Panchanga!$Y115/30+1)&amp;"J, "&amp;SIGN(Z116-Panchanga!$Z115)*INT(Panchanga!$Z115/30+1)&amp;"V,"&amp;SIGN(AA116-Panchanga!$AA115)*INT(Panchanga!$AA115/30+1)&amp;"S,"&amp;INT(Panchanga!$AB115/30+1)&amp;"R"</f>
        <v>1Ma,3Me,2J, 3V,11S,12R</v>
      </c>
      <c r="U115" s="4">
        <f t="shared" si="22"/>
        <v>60.209722258778378</v>
      </c>
      <c r="V115" s="4">
        <f t="shared" si="23"/>
        <v>158.76592538382235</v>
      </c>
      <c r="W115" s="4">
        <f>Planet(Panchanga!$G115,4)</f>
        <v>10.109836732348409</v>
      </c>
      <c r="X115" s="4">
        <f>Planet(Panchanga!$G115,2)</f>
        <v>60.608169351118562</v>
      </c>
      <c r="Y115" s="4">
        <f>Planet(Panchanga!$G115,5)</f>
        <v>40.457656334855194</v>
      </c>
      <c r="Z115" s="4">
        <f>Planet(Panchanga!$G115,3)</f>
        <v>63.03235638005458</v>
      </c>
      <c r="AA115" s="4">
        <f>Planet(Panchanga!$G115,6)</f>
        <v>325.04879397644027</v>
      </c>
      <c r="AB115" s="4">
        <f>Planet(Panchanga!$G115,10)</f>
        <v>347.88888057892183</v>
      </c>
      <c r="AC115" s="4" t="str">
        <f>TEXT(Panchanga!$C115+($C116-Panchanga!$C115)/ABS(IF($R116&lt;1,$R116+30,$R116)-Panchanga!$R115)*(ROUNDUP(Panchanga!$R115,0)-Panchanga!$R115),"hh:mm AM/PM")</f>
        <v>02:32 AM</v>
      </c>
      <c r="AD115" s="4"/>
    </row>
    <row r="116" spans="1:30" x14ac:dyDescent="0.2">
      <c r="A116" s="3">
        <f t="shared" si="25"/>
        <v>45459</v>
      </c>
      <c r="B116" s="3">
        <f t="shared" si="20"/>
        <v>45459.229166666664</v>
      </c>
      <c r="C116" s="6">
        <f t="shared" si="21"/>
        <v>45459.238695367392</v>
      </c>
      <c r="D116" s="6">
        <f>sunset(Lat,Long,B116)+TimeZone/24-0.000277777777777778</f>
        <v>45458.77560411724</v>
      </c>
      <c r="E116" s="6">
        <f>PlanetRiseSet(Lat,Long,B116,1,1)+TimeZone/24+0.00103009259259259</f>
        <v>45458.54272495272</v>
      </c>
      <c r="F116" s="6">
        <f>PlanetRiseSet(Lat,Long,B116+1,1,2)+TimeZone/24+0.00103009259259259</f>
        <v>45460.074913503289</v>
      </c>
      <c r="G116" s="17">
        <f>Panchanga!$C116-TimeZone/24</f>
        <v>45459.009528700728</v>
      </c>
      <c r="H116" s="13" t="str">
        <f>INT(P[[#This Row],[Sun]]/30)&amp;"s"&amp;ROUNDUP(MOD(P[[#This Row],[Sun]],30),2)</f>
        <v>2s1.17</v>
      </c>
      <c r="I116" s="13" t="str">
        <f>INT(P[[#This Row],[Moon]]/30)&amp;"s"&amp;ROUNDUP(MOD(P[[#This Row],[Moon]],30),2)</f>
        <v>5s20.62</v>
      </c>
      <c r="J116" s="14">
        <f t="shared" si="24"/>
        <v>45459.009528700728</v>
      </c>
      <c r="K116" s="10" t="str">
        <f>naks(P[[#This Row],[Moon]])</f>
        <v>Hasta</v>
      </c>
      <c r="L116" s="15">
        <f>(C117-P[[#This Row],[SunRise]])/(MOD(360+V117-P[[#This Row],[Moon]],360))*(13.3333333333333-MOD(P[[#This Row],[Moon]],13.333333333333))+P[[#This Row],[SunRise]]</f>
        <v>45459.466051555326</v>
      </c>
      <c r="M116" s="4" t="str">
        <f>IF(Panchanga!$R116&gt;15,"K","S")&amp;ROUNDUP(MOD(Panchanga!$R116,15),0)&amp;" ("&amp;ROUND(Panchanga!$R116,2)&amp;")"</f>
        <v>S10 (9.12)</v>
      </c>
      <c r="N116" s="4">
        <f>IF(AND(Panchanga!$R116&lt;28.5,Panchanga!$R116&gt;0.49999),MOD((Panchanga!$R116-0.5)*2,7),MOD((Panchanga!$R116+30-28.5),30)*2+7)</f>
        <v>3.2413999999999987</v>
      </c>
      <c r="O116" s="4" t="str">
        <f>CHOOSE(ROUNDUP(Panchanga!$N116,0),"Bhava","Baalava","Kaulava","Taitula","Garija","Vanija","Vishti","Shakuni","Chatushapda","Naaga","Kimstugna")</f>
        <v>Taitula</v>
      </c>
      <c r="P116" s="11" t="str">
        <f>CHOOSE(ROUNDUP(Panchanga!$S116,0),"viṣkambha","prīti","āyuṣmāna","saubhāgya","śobhana","atigaṇḍa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("&amp;Panchanga!$S116&amp;")"</f>
        <v>varīyas (17.39)</v>
      </c>
      <c r="Q116" s="4">
        <f>IF(AND(Panchanga!$R116&lt;28.5,Panchanga!$R116&gt;0.49999),MOD((Panchanga!$R116-0.5)*2,7),MOD((Panchanga!$R116+30-28.5),30)*2+7)</f>
        <v>3.2413999999999987</v>
      </c>
      <c r="R116" s="4">
        <f>ROUNDUP(MOD(360+P[[#This Row],[Moon]]-P[[#This Row],[Sun]],360)/12,4)</f>
        <v>9.1206999999999994</v>
      </c>
      <c r="S116" s="4">
        <f>ROUNDUP(MOD(P[[#This Row],[Sun]]+P[[#This Row],[Moon]],360)/13.333333333,2)</f>
        <v>17.39</v>
      </c>
      <c r="T116" s="4" t="str">
        <f>SIGN(W117-Panchanga!$W116)*INT(Panchanga!$W116/30+1)&amp;"Ma,"&amp;SIGN(X117-Panchanga!$X116)*INT(Panchanga!$X116/30+1)&amp;"Me,"&amp;SIGN(Y117-Panchanga!$Y116)*INT(Panchanga!$Y116/30+1)&amp;"J, "&amp;SIGN(Z117-Panchanga!$Z116)*INT(Panchanga!$Z116/30+1)&amp;"V,"&amp;SIGN(AA117-Panchanga!$AA116)*INT(Panchanga!$AA116/30+1)&amp;"S,"&amp;INT(Panchanga!$AB116/30+1)&amp;"R"</f>
        <v>1Ma,3Me,2J, 3V,11S,12R</v>
      </c>
      <c r="U116" s="4">
        <f t="shared" si="22"/>
        <v>61.164796527825359</v>
      </c>
      <c r="V116" s="4">
        <f t="shared" si="23"/>
        <v>170.61267817177125</v>
      </c>
      <c r="W116" s="4">
        <f>Planet(Panchanga!$G116,4)</f>
        <v>10.846685244764817</v>
      </c>
      <c r="X116" s="4">
        <f>Planet(Panchanga!$G116,2)</f>
        <v>62.805269967651249</v>
      </c>
      <c r="Y116" s="4">
        <f>Planet(Panchanga!$G116,5)</f>
        <v>40.685332632467258</v>
      </c>
      <c r="Z116" s="4">
        <f>Planet(Panchanga!$G116,3)</f>
        <v>64.261081980010772</v>
      </c>
      <c r="AA116" s="4">
        <f>Planet(Panchanga!$G116,6)</f>
        <v>325.07236295818757</v>
      </c>
      <c r="AB116" s="4">
        <f>Planet(Panchanga!$G116,10)</f>
        <v>347.83588228057511</v>
      </c>
      <c r="AC116" s="4" t="str">
        <f>TEXT(Panchanga!$C116+($C117-Panchanga!$C116)/ABS(IF($R117&lt;1,$R117+30,$R117)-Panchanga!$R116)*(ROUNDUP(Panchanga!$R116,0)-Panchanga!$R116),"hh:mm AM/PM")</f>
        <v>04:43 AM</v>
      </c>
      <c r="AD116" s="4"/>
    </row>
    <row r="117" spans="1:30" x14ac:dyDescent="0.2">
      <c r="A117" s="3">
        <f t="shared" si="25"/>
        <v>45460</v>
      </c>
      <c r="B117" s="3">
        <f t="shared" si="20"/>
        <v>45460.229166666664</v>
      </c>
      <c r="C117" s="6">
        <f t="shared" si="21"/>
        <v>45460.238820804901</v>
      </c>
      <c r="D117" s="6">
        <f>sunset(Lat,Long,B117)+TimeZone/24-0.000277777777777778</f>
        <v>45459.775780698794</v>
      </c>
      <c r="E117" s="6">
        <f>PlanetRiseSet(Lat,Long,B117,1,1)+TimeZone/24+0.00103009259259259</f>
        <v>45459.574083618041</v>
      </c>
      <c r="F117" s="6">
        <f>PlanetRiseSet(Lat,Long,B117+1,1,2)+TimeZone/24+0.00103009259259259</f>
        <v>45461.100555188175</v>
      </c>
      <c r="G117" s="17">
        <f>Panchanga!$C117-TimeZone/24</f>
        <v>45460.009654138237</v>
      </c>
      <c r="H117" s="13" t="str">
        <f>INT(P[[#This Row],[Sun]]/30)&amp;"s"&amp;ROUNDUP(MOD(P[[#This Row],[Sun]],30),2)</f>
        <v>2s2.12</v>
      </c>
      <c r="I117" s="13" t="str">
        <f>INT(P[[#This Row],[Moon]]/30)&amp;"s"&amp;ROUNDUP(MOD(P[[#This Row],[Moon]],30),2)</f>
        <v>6s2.59</v>
      </c>
      <c r="J117" s="14">
        <f t="shared" si="24"/>
        <v>45460.009654138237</v>
      </c>
      <c r="K117" s="10" t="str">
        <f>naks(P[[#This Row],[Moon]])</f>
        <v>Chitra</v>
      </c>
      <c r="L117" s="15">
        <f>(C118-P[[#This Row],[SunRise]])/(MOD(360+V118-P[[#This Row],[Moon]],360))*(13.3333333333333-MOD(P[[#This Row],[Moon]],13.333333333333))+P[[#This Row],[SunRise]]</f>
        <v>45460.574634623401</v>
      </c>
      <c r="M117" s="4" t="str">
        <f>IF(Panchanga!$R117&gt;15,"K","S")&amp;ROUNDUP(MOD(Panchanga!$R117,15),0)&amp;" ("&amp;ROUND(Panchanga!$R117,2)&amp;")"</f>
        <v>S11 (10.04)</v>
      </c>
      <c r="N117" s="4">
        <f>IF(AND(Panchanga!$R117&lt;28.5,Panchanga!$R117&gt;0.49999),MOD((Panchanga!$R117-0.5)*2,7),MOD((Panchanga!$R117+30-28.5),30)*2+7)</f>
        <v>5.0769999999999982</v>
      </c>
      <c r="O117" s="4" t="str">
        <f>CHOOSE(ROUNDUP(Panchanga!$N117,0),"Bhava","Baalava","Kaulava","Taitula","Garija","Vanija","Vishti","Shakuni","Chatushapda","Naaga","Kimstugna")</f>
        <v>Vanija</v>
      </c>
      <c r="P117" s="11" t="str">
        <f>CHOOSE(ROUNDUP(Panchanga!$S117,0),"viṣkambha","prīti","āyuṣmāna","saubhāgya","śobhana","atigaṇḍa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("&amp;Panchanga!$S117&amp;")"</f>
        <v>parigha (18.36)</v>
      </c>
      <c r="Q117" s="4">
        <f>IF(AND(Panchanga!$R117&lt;28.5,Panchanga!$R117&gt;0.49999),MOD((Panchanga!$R117-0.5)*2,7),MOD((Panchanga!$R117+30-28.5),30)*2+7)</f>
        <v>5.0769999999999982</v>
      </c>
      <c r="R117" s="4">
        <f>ROUNDUP(MOD(360+P[[#This Row],[Moon]]-P[[#This Row],[Sun]],360)/12,4)</f>
        <v>10.038499999999999</v>
      </c>
      <c r="S117" s="4">
        <f>ROUNDUP(MOD(P[[#This Row],[Sun]]+P[[#This Row],[Moon]],360)/13.333333333,2)</f>
        <v>18.360000000000003</v>
      </c>
      <c r="T117" s="4" t="str">
        <f>SIGN(W118-Panchanga!$W117)*INT(Panchanga!$W117/30+1)&amp;"Ma,"&amp;SIGN(X118-Panchanga!$X117)*INT(Panchanga!$X117/30+1)&amp;"Me,"&amp;SIGN(Y118-Panchanga!$Y117)*INT(Panchanga!$Y117/30+1)&amp;"J, "&amp;SIGN(Z118-Panchanga!$Z117)*INT(Panchanga!$Z117/30+1)&amp;"V,"&amp;SIGN(AA118-Panchanga!$AA117)*INT(Panchanga!$AA117/30+1)&amp;"S,"&amp;INT(Panchanga!$AB117/30+1)&amp;"R"</f>
        <v>1Ma,3Me,2J, 3V,11S,12R</v>
      </c>
      <c r="U117" s="4">
        <f t="shared" si="22"/>
        <v>62.119640274625596</v>
      </c>
      <c r="V117" s="4">
        <f t="shared" si="23"/>
        <v>182.58066751279529</v>
      </c>
      <c r="W117" s="4">
        <f>Planet(Panchanga!$G117,4)</f>
        <v>11.582494157387856</v>
      </c>
      <c r="X117" s="4">
        <f>Planet(Panchanga!$G117,2)</f>
        <v>64.994724127995596</v>
      </c>
      <c r="Y117" s="4">
        <f>Planet(Panchanga!$G117,5)</f>
        <v>40.912427122666223</v>
      </c>
      <c r="Z117" s="4">
        <f>Planet(Panchanga!$G117,3)</f>
        <v>65.489768529348922</v>
      </c>
      <c r="AA117" s="4">
        <f>Planet(Panchanga!$G117,6)</f>
        <v>325.09430085881337</v>
      </c>
      <c r="AB117" s="4">
        <f>Planet(Panchanga!$G117,10)</f>
        <v>347.78288364614957</v>
      </c>
      <c r="AC117" s="4" t="str">
        <f>TEXT(Panchanga!$C117+($C118-Panchanga!$C117)/ABS(IF($R118&lt;1,$R118+30,$R118)-Panchanga!$R117)*(ROUNDUP(Panchanga!$R117,0)-Panchanga!$R117),"hh:mm AM/PM")</f>
        <v>06:25 AM</v>
      </c>
      <c r="AD117" s="4"/>
    </row>
    <row r="118" spans="1:30" x14ac:dyDescent="0.2">
      <c r="A118" s="3">
        <f t="shared" si="25"/>
        <v>45461</v>
      </c>
      <c r="B118" s="3">
        <f t="shared" si="20"/>
        <v>45461.229166666664</v>
      </c>
      <c r="C118" s="6">
        <f t="shared" si="21"/>
        <v>45461.238952342574</v>
      </c>
      <c r="D118" s="6">
        <f>sunset(Lat,Long,B118)+TimeZone/24-0.000277777777777778</f>
        <v>45460.775952276817</v>
      </c>
      <c r="E118" s="6">
        <f>PlanetRiseSet(Lat,Long,B118,1,1)+TimeZone/24+0.00103009259259259</f>
        <v>45460.606674433839</v>
      </c>
      <c r="F118" s="6">
        <f>PlanetRiseSet(Lat,Long,B118+1,1,2)+TimeZone/24+0.00103009259259259</f>
        <v>45462.128843754217</v>
      </c>
      <c r="G118" s="17">
        <f>Panchanga!$C118-TimeZone/24</f>
        <v>45461.009785675909</v>
      </c>
      <c r="H118" s="13" t="str">
        <f>INT(P[[#This Row],[Sun]]/30)&amp;"s"&amp;ROUNDUP(MOD(P[[#This Row],[Sun]],30),2)</f>
        <v>2s3.08</v>
      </c>
      <c r="I118" s="13" t="str">
        <f>INT(P[[#This Row],[Moon]]/30)&amp;"s"&amp;ROUNDUP(MOD(P[[#This Row],[Moon]],30),2)</f>
        <v>6s14.75</v>
      </c>
      <c r="J118" s="14">
        <f t="shared" si="24"/>
        <v>45461.009785675909</v>
      </c>
      <c r="K118" s="10" t="str">
        <f>naks(P[[#This Row],[Moon]])</f>
        <v>Swati</v>
      </c>
      <c r="L118" s="15">
        <f>(C119-P[[#This Row],[SunRise]])/(MOD(360+V119-P[[#This Row],[Moon]],360))*(13.3333333333333-MOD(P[[#This Row],[Moon]],13.333333333333))+P[[#This Row],[SunRise]]</f>
        <v>45461.661189970073</v>
      </c>
      <c r="M118" s="4" t="str">
        <f>IF(Panchanga!$R118&gt;15,"K","S")&amp;ROUNDUP(MOD(Panchanga!$R118,15),0)&amp;" ("&amp;ROUND(Panchanga!$R118,2)&amp;")"</f>
        <v>S11 (10.97)</v>
      </c>
      <c r="N118" s="4">
        <f>IF(AND(Panchanga!$R118&lt;28.5,Panchanga!$R118&gt;0.49999),MOD((Panchanga!$R118-0.5)*2,7),MOD((Panchanga!$R118+30-28.5),30)*2+7)</f>
        <v>6.945999999999998</v>
      </c>
      <c r="O118" s="4" t="str">
        <f>CHOOSE(ROUNDUP(Panchanga!$N118,0),"Bhava","Baalava","Kaulava","Taitula","Garija","Vanija","Vishti","Shakuni","Chatushapda","Naaga","Kimstugna")</f>
        <v>Vishti</v>
      </c>
      <c r="P118" s="11" t="str">
        <f>CHOOSE(ROUNDUP(Panchanga!$S118,0),"viṣkambha","prīti","āyuṣmāna","saubhāgya","śobhana","atigaṇḍa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("&amp;Panchanga!$S118&amp;")"</f>
        <v>śiva (19.34)</v>
      </c>
      <c r="Q118" s="4">
        <f>IF(AND(Panchanga!$R118&lt;28.5,Panchanga!$R118&gt;0.49999),MOD((Panchanga!$R118-0.5)*2,7),MOD((Panchanga!$R118+30-28.5),30)*2+7)</f>
        <v>6.945999999999998</v>
      </c>
      <c r="R118" s="4">
        <f>ROUNDUP(MOD(360+P[[#This Row],[Moon]]-P[[#This Row],[Sun]],360)/12,4)</f>
        <v>10.972999999999999</v>
      </c>
      <c r="S118" s="4">
        <f>ROUNDUP(MOD(P[[#This Row],[Sun]]+P[[#This Row],[Moon]],360)/13.333333333,2)</f>
        <v>19.34</v>
      </c>
      <c r="T118" s="4" t="str">
        <f>SIGN(W119-Panchanga!$W118)*INT(Panchanga!$W118/30+1)&amp;"Ma,"&amp;SIGN(X119-Panchanga!$X118)*INT(Panchanga!$X118/30+1)&amp;"Me,"&amp;SIGN(Y119-Panchanga!$Y118)*INT(Panchanga!$Y118/30+1)&amp;"J, "&amp;SIGN(Z119-Panchanga!$Z118)*INT(Panchanga!$Z118/30+1)&amp;"V,"&amp;SIGN(AA119-Panchanga!$AA118)*INT(Panchanga!$AA118/30+1)&amp;"S,"&amp;INT(Panchanga!$AB118/30+1)&amp;"R"</f>
        <v>1Ma,3Me,2J, 3V,11S,12R</v>
      </c>
      <c r="U118" s="4">
        <f t="shared" si="22"/>
        <v>63.07426691230647</v>
      </c>
      <c r="V118" s="4">
        <f t="shared" si="23"/>
        <v>194.74972188639663</v>
      </c>
      <c r="W118" s="4">
        <f>Planet(Panchanga!$G118,4)</f>
        <v>12.317258695069601</v>
      </c>
      <c r="X118" s="4">
        <f>Planet(Panchanga!$G118,2)</f>
        <v>67.172279862835623</v>
      </c>
      <c r="Y118" s="4">
        <f>Planet(Panchanga!$G118,5)</f>
        <v>41.13892200037737</v>
      </c>
      <c r="Z118" s="4">
        <f>Planet(Panchanga!$G118,3)</f>
        <v>66.718419974968427</v>
      </c>
      <c r="AA118" s="4">
        <f>Planet(Panchanga!$G118,6)</f>
        <v>325.11460409704034</v>
      </c>
      <c r="AB118" s="4">
        <f>Planet(Panchanga!$G118,10)</f>
        <v>347.72988468848598</v>
      </c>
      <c r="AC118" s="4" t="str">
        <f>TEXT(Panchanga!$C118+($C119-Panchanga!$C118)/ABS(IF($R119&lt;1,$R119+30,$R119)-Panchanga!$R118)*(ROUNDUP(Panchanga!$R118,0)-Panchanga!$R118),"hh:mm AM/PM")</f>
        <v>06:24 AM</v>
      </c>
      <c r="AD118" s="4"/>
    </row>
    <row r="119" spans="1:30" x14ac:dyDescent="0.2">
      <c r="A119" s="3">
        <f t="shared" si="25"/>
        <v>45462</v>
      </c>
      <c r="B119" s="3">
        <f t="shared" si="20"/>
        <v>45462.229166666664</v>
      </c>
      <c r="C119" s="6">
        <f t="shared" si="21"/>
        <v>45462.23908973873</v>
      </c>
      <c r="D119" s="6">
        <f>sunset(Lat,Long,B119)+TimeZone/24-0.000277777777777778</f>
        <v>45461.776118589609</v>
      </c>
      <c r="E119" s="6">
        <f>PlanetRiseSet(Lat,Long,B119,1,1)+TimeZone/24+0.00103009259259259</f>
        <v>45461.641233722832</v>
      </c>
      <c r="F119" s="6">
        <f>PlanetRiseSet(Lat,Long,B119+1,1,2)+TimeZone/24+0.00103009259259259</f>
        <v>45463.160630696606</v>
      </c>
      <c r="G119" s="17">
        <f>Panchanga!$C119-TimeZone/24</f>
        <v>45462.009923072066</v>
      </c>
      <c r="H119" s="13" t="str">
        <f>INT(P[[#This Row],[Sun]]/30)&amp;"s"&amp;ROUNDUP(MOD(P[[#This Row],[Sun]],30),2)</f>
        <v>2s4.03</v>
      </c>
      <c r="I119" s="13" t="str">
        <f>INT(P[[#This Row],[Moon]]/30)&amp;"s"&amp;ROUNDUP(MOD(P[[#This Row],[Moon]],30),2)</f>
        <v>6s27.19</v>
      </c>
      <c r="J119" s="14">
        <f t="shared" si="24"/>
        <v>45462.009923072066</v>
      </c>
      <c r="K119" s="10" t="str">
        <f>naks(P[[#This Row],[Moon]])</f>
        <v>Visakha</v>
      </c>
      <c r="L119" s="15">
        <f>(C120-P[[#This Row],[SunRise]])/(MOD(360+V120-P[[#This Row],[Moon]],360))*(13.3333333333333-MOD(P[[#This Row],[Moon]],13.333333333333))+P[[#This Row],[SunRise]]</f>
        <v>45462.72134449525</v>
      </c>
      <c r="M119" s="4" t="str">
        <f>IF(Panchanga!$R119&gt;15,"K","S")&amp;ROUNDUP(MOD(Panchanga!$R119,15),0)&amp;" ("&amp;ROUND(Panchanga!$R119,2)&amp;")"</f>
        <v>S12 (11.93)</v>
      </c>
      <c r="N119" s="4">
        <f>IF(AND(Panchanga!$R119&lt;28.5,Panchanga!$R119&gt;0.49999),MOD((Panchanga!$R119-0.5)*2,7),MOD((Panchanga!$R119+30-28.5),30)*2+7)</f>
        <v>1.8596000000000004</v>
      </c>
      <c r="O119" s="4" t="str">
        <f>CHOOSE(ROUNDUP(Panchanga!$N119,0),"Bhava","Baalava","Kaulava","Taitula","Garija","Vanija","Vishti","Shakuni","Chatushapda","Naaga","Kimstugna")</f>
        <v>Baalava</v>
      </c>
      <c r="P119" s="11" t="str">
        <f>CHOOSE(ROUNDUP(Panchanga!$S119,0),"viṣkambha","prīti","āyuṣmāna","saubhāgya","śobhana","atigaṇḍa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("&amp;Panchanga!$S119&amp;")"</f>
        <v>siddha (20.35)</v>
      </c>
      <c r="Q119" s="4">
        <f>IF(AND(Panchanga!$R119&lt;28.5,Panchanga!$R119&gt;0.49999),MOD((Panchanga!$R119-0.5)*2,7),MOD((Panchanga!$R119+30-28.5),30)*2+7)</f>
        <v>1.8596000000000004</v>
      </c>
      <c r="R119" s="4">
        <f>ROUNDUP(MOD(360+P[[#This Row],[Moon]]-P[[#This Row],[Sun]],360)/12,4)</f>
        <v>11.9298</v>
      </c>
      <c r="S119" s="4">
        <f>ROUNDUP(MOD(P[[#This Row],[Sun]]+P[[#This Row],[Moon]],360)/13.333333333,2)</f>
        <v>20.350000000000001</v>
      </c>
      <c r="T119" s="4" t="str">
        <f>SIGN(W120-Panchanga!$W119)*INT(Panchanga!$W119/30+1)&amp;"Ma,"&amp;SIGN(X120-Panchanga!$X119)*INT(Panchanga!$X119/30+1)&amp;"Me,"&amp;SIGN(Y120-Panchanga!$Y119)*INT(Panchanga!$Y119/30+1)&amp;"J, "&amp;SIGN(Z120-Panchanga!$Z119)*INT(Panchanga!$Z119/30+1)&amp;"V,"&amp;SIGN(AA120-Panchanga!$AA119)*INT(Panchanga!$AA119/30+1)&amp;"S,"&amp;INT(Panchanga!$AB119/30+1)&amp;"R"</f>
        <v>1Ma,3Me,2J, 3V,11S,12R</v>
      </c>
      <c r="U119" s="4">
        <f t="shared" si="22"/>
        <v>64.028692317602022</v>
      </c>
      <c r="V119" s="4">
        <f t="shared" si="23"/>
        <v>207.18584585940576</v>
      </c>
      <c r="W119" s="4">
        <f>Planet(Panchanga!$G119,4)</f>
        <v>13.050974889093386</v>
      </c>
      <c r="X119" s="4">
        <f>Planet(Panchanga!$G119,2)</f>
        <v>69.333981245432881</v>
      </c>
      <c r="Y119" s="4">
        <f>Planet(Panchanga!$G119,5)</f>
        <v>41.364799839211145</v>
      </c>
      <c r="Z119" s="4">
        <f>Planet(Panchanga!$G119,3)</f>
        <v>67.947041461915362</v>
      </c>
      <c r="AA119" s="4">
        <f>Planet(Panchanga!$G119,6)</f>
        <v>325.13326939541201</v>
      </c>
      <c r="AB119" s="4">
        <f>Planet(Panchanga!$G119,10)</f>
        <v>347.67688542035893</v>
      </c>
      <c r="AC119" s="4" t="str">
        <f>TEXT(Panchanga!$C119+($C120-Panchanga!$C119)/ABS(IF($R120&lt;1,$R120+30,$R120)-Panchanga!$R119)*(ROUNDUP(Panchanga!$R119,0)-Panchanga!$R119),"hh:mm AM/PM")</f>
        <v>07:27 AM</v>
      </c>
      <c r="AD119" s="4"/>
    </row>
    <row r="120" spans="1:30" x14ac:dyDescent="0.2">
      <c r="A120" s="3">
        <f t="shared" si="25"/>
        <v>45463</v>
      </c>
      <c r="B120" s="3">
        <f t="shared" si="20"/>
        <v>45463.229166666664</v>
      </c>
      <c r="C120" s="6">
        <f t="shared" si="21"/>
        <v>45463.239232755419</v>
      </c>
      <c r="D120" s="6">
        <f>sunset(Lat,Long,B120)+TimeZone/24-0.000277777777777778</f>
        <v>45462.776279385711</v>
      </c>
      <c r="E120" s="6">
        <f>PlanetRiseSet(Lat,Long,B120,1,1)+TimeZone/24+0.00103009259259259</f>
        <v>45462.67827147866</v>
      </c>
      <c r="F120" s="6">
        <f>PlanetRiseSet(Lat,Long,B120+1,1,2)+TimeZone/24+0.00103009259259259</f>
        <v>45464.196453406163</v>
      </c>
      <c r="G120" s="17">
        <f>Panchanga!$C120-TimeZone/24</f>
        <v>45463.010066088755</v>
      </c>
      <c r="H120" s="13" t="str">
        <f>INT(P[[#This Row],[Sun]]/30)&amp;"s"&amp;ROUNDUP(MOD(P[[#This Row],[Sun]],30),2)</f>
        <v>2s4.99</v>
      </c>
      <c r="I120" s="13" t="str">
        <f>INT(P[[#This Row],[Moon]]/30)&amp;"s"&amp;ROUNDUP(MOD(P[[#This Row],[Moon]],30),2)</f>
        <v>7s9.94</v>
      </c>
      <c r="J120" s="14">
        <f t="shared" si="24"/>
        <v>45463.010066088755</v>
      </c>
      <c r="K120" s="10" t="str">
        <f>naks(P[[#This Row],[Moon]])</f>
        <v>Anuradha</v>
      </c>
      <c r="L120" s="15">
        <f>(C121-P[[#This Row],[SunRise]])/(MOD(360+V121-P[[#This Row],[Moon]],360))*(13.3333333333333-MOD(P[[#This Row],[Moon]],13.333333333333))+P[[#This Row],[SunRise]]</f>
        <v>45463.753841000915</v>
      </c>
      <c r="M120" s="4" t="str">
        <f>IF(Panchanga!$R120&gt;15,"K","S")&amp;ROUNDUP(MOD(Panchanga!$R120,15),0)&amp;" ("&amp;ROUND(Panchanga!$R120,2)&amp;")"</f>
        <v>S13 (12.91)</v>
      </c>
      <c r="N120" s="4">
        <f>IF(AND(Panchanga!$R120&lt;28.5,Panchanga!$R120&gt;0.49999),MOD((Panchanga!$R120-0.5)*2,7),MOD((Panchanga!$R120+30-28.5),30)*2+7)</f>
        <v>3.8253999999999984</v>
      </c>
      <c r="O120" s="4" t="str">
        <f>CHOOSE(ROUNDUP(Panchanga!$N120,0),"Bhava","Baalava","Kaulava","Taitula","Garija","Vanija","Vishti","Shakuni","Chatushapda","Naaga","Kimstugna")</f>
        <v>Taitula</v>
      </c>
      <c r="P120" s="11" t="str">
        <f>CHOOSE(ROUNDUP(Panchanga!$S120,0),"viṣkambha","prīti","āyuṣmāna","saubhāgya","śobhana","atigaṇḍa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("&amp;Panchanga!$S120&amp;")"</f>
        <v>sādhya (21.37)</v>
      </c>
      <c r="Q120" s="4">
        <f>IF(AND(Panchanga!$R120&lt;28.5,Panchanga!$R120&gt;0.49999),MOD((Panchanga!$R120-0.5)*2,7),MOD((Panchanga!$R120+30-28.5),30)*2+7)</f>
        <v>3.8253999999999984</v>
      </c>
      <c r="R120" s="4">
        <f>ROUNDUP(MOD(360+P[[#This Row],[Moon]]-P[[#This Row],[Sun]],360)/12,4)</f>
        <v>12.912699999999999</v>
      </c>
      <c r="S120" s="4">
        <f>ROUNDUP(MOD(P[[#This Row],[Sun]]+P[[#This Row],[Moon]],360)/13.333333333,2)</f>
        <v>21.37</v>
      </c>
      <c r="T120" s="4" t="str">
        <f>SIGN(W121-Panchanga!$W120)*INT(Panchanga!$W120/30+1)&amp;"Ma,"&amp;SIGN(X121-Panchanga!$X120)*INT(Panchanga!$X120/30+1)&amp;"Me,"&amp;SIGN(Y121-Panchanga!$Y120)*INT(Panchanga!$Y120/30+1)&amp;"J, "&amp;SIGN(Z121-Panchanga!$Z120)*INT(Panchanga!$Z120/30+1)&amp;"V,"&amp;SIGN(AA121-Panchanga!$AA120)*INT(Panchanga!$AA120/30+1)&amp;"S,"&amp;INT(Panchanga!$AB120/30+1)&amp;"R"</f>
        <v>1Ma,3Me,2J, 3V,11S,12R</v>
      </c>
      <c r="U120" s="4">
        <f t="shared" si="22"/>
        <v>64.982935081618066</v>
      </c>
      <c r="V120" s="4">
        <f t="shared" si="23"/>
        <v>219.93505482848465</v>
      </c>
      <c r="W120" s="4">
        <f>Planet(Panchanga!$G120,4)</f>
        <v>13.783639438552786</v>
      </c>
      <c r="X120" s="4">
        <f>Planet(Panchanga!$G120,2)</f>
        <v>71.476239412982707</v>
      </c>
      <c r="Y120" s="4">
        <f>Planet(Panchanga!$G120,5)</f>
        <v>41.590043582602156</v>
      </c>
      <c r="Z120" s="4">
        <f>Planet(Panchanga!$G120,3)</f>
        <v>69.175639501202795</v>
      </c>
      <c r="AA120" s="4">
        <f>Planet(Panchanga!$G120,6)</f>
        <v>325.15029370825965</v>
      </c>
      <c r="AB120" s="4">
        <f>Planet(Panchanga!$G120,10)</f>
        <v>347.62388585436076</v>
      </c>
      <c r="AC120" s="4" t="str">
        <f>TEXT(Panchanga!$C120+($C121-Panchanga!$C120)/ABS(IF($R121&lt;1,$R121+30,$R121)-Panchanga!$R120)*(ROUNDUP(Panchanga!$R120,0)-Panchanga!$R120),"hh:mm AM/PM")</f>
        <v>07:48 AM</v>
      </c>
      <c r="AD120" s="4"/>
    </row>
    <row r="121" spans="1:30" x14ac:dyDescent="0.2">
      <c r="A121" s="3">
        <f t="shared" si="25"/>
        <v>45464</v>
      </c>
      <c r="B121" s="3">
        <f t="shared" si="20"/>
        <v>45464.229166666664</v>
      </c>
      <c r="C121" s="6">
        <f t="shared" si="21"/>
        <v>45464.239381155618</v>
      </c>
      <c r="D121" s="6">
        <f>sunset(Lat,Long,B121)+TimeZone/24-0.000277777777777778</f>
        <v>45463.776434424843</v>
      </c>
      <c r="E121" s="6">
        <f>PlanetRiseSet(Lat,Long,B121,1,1)+TimeZone/24+0.00103009259259259</f>
        <v>45463.717822322309</v>
      </c>
      <c r="F121" s="6">
        <f>PlanetRiseSet(Lat,Long,B121+1,1,2)+TimeZone/24+0.00103009259259259</f>
        <v>45465.23616357908</v>
      </c>
      <c r="G121" s="17">
        <f>Panchanga!$C121-TimeZone/24</f>
        <v>45464.010214488953</v>
      </c>
      <c r="H121" s="13" t="str">
        <f>INT(P[[#This Row],[Sun]]/30)&amp;"s"&amp;ROUNDUP(MOD(P[[#This Row],[Sun]],30),2)</f>
        <v>2s5.94</v>
      </c>
      <c r="I121" s="13" t="str">
        <f>INT(P[[#This Row],[Moon]]/30)&amp;"s"&amp;ROUNDUP(MOD(P[[#This Row],[Moon]],30),2)</f>
        <v>7s23.02</v>
      </c>
      <c r="J121" s="14">
        <f t="shared" si="24"/>
        <v>45464.010214488953</v>
      </c>
      <c r="K121" s="10" t="str">
        <f>naks(P[[#This Row],[Moon]])</f>
        <v>Jyestha</v>
      </c>
      <c r="L121" s="15">
        <f>(C122-P[[#This Row],[SunRise]])/(MOD(360+V122-P[[#This Row],[Moon]],360))*(13.3333333333333-MOD(P[[#This Row],[Moon]],13.333333333333))+P[[#This Row],[SunRise]]</f>
        <v>45464.760153130745</v>
      </c>
      <c r="M121" s="4" t="str">
        <f>IF(Panchanga!$R121&gt;15,"K","S")&amp;ROUNDUP(MOD(Panchanga!$R121,15),0)&amp;" ("&amp;ROUND(Panchanga!$R121,2)&amp;")"</f>
        <v>S14 (13.92)</v>
      </c>
      <c r="N121" s="4">
        <f>IF(AND(Panchanga!$R121&lt;28.5,Panchanga!$R121&gt;0.49999),MOD((Panchanga!$R121-0.5)*2,7),MOD((Panchanga!$R121+30-28.5),30)*2+7)</f>
        <v>5.8470000000000013</v>
      </c>
      <c r="O121" s="4" t="str">
        <f>CHOOSE(ROUNDUP(Panchanga!$N121,0),"Bhava","Baalava","Kaulava","Taitula","Garija","Vanija","Vishti","Shakuni","Chatushapda","Naaga","Kimstugna")</f>
        <v>Vanija</v>
      </c>
      <c r="P121" s="11" t="str">
        <f>CHOOSE(ROUNDUP(Panchanga!$S121,0),"viṣkambha","prīti","āyuṣmāna","saubhāgya","śobhana","atigaṇḍa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("&amp;Panchanga!$S121&amp;")"</f>
        <v>śubha (22.43)</v>
      </c>
      <c r="Q121" s="4">
        <f>IF(AND(Panchanga!$R121&lt;28.5,Panchanga!$R121&gt;0.49999),MOD((Panchanga!$R121-0.5)*2,7),MOD((Panchanga!$R121+30-28.5),30)*2+7)</f>
        <v>5.8470000000000013</v>
      </c>
      <c r="R121" s="4">
        <f>ROUNDUP(MOD(360+P[[#This Row],[Moon]]-P[[#This Row],[Sun]],360)/12,4)</f>
        <v>13.923500000000001</v>
      </c>
      <c r="S121" s="4">
        <f>ROUNDUP(MOD(P[[#This Row],[Sun]]+P[[#This Row],[Moon]],360)/13.333333333,2)</f>
        <v>22.430000000000003</v>
      </c>
      <c r="T121" s="4" t="str">
        <f>SIGN(W122-Panchanga!$W121)*INT(Panchanga!$W121/30+1)&amp;"Ma,"&amp;SIGN(X122-Panchanga!$X121)*INT(Panchanga!$X121/30+1)&amp;"Me,"&amp;SIGN(Y122-Panchanga!$Y121)*INT(Panchanga!$Y121/30+1)&amp;"J, "&amp;SIGN(Z122-Panchanga!$Z121)*INT(Panchanga!$Z121/30+1)&amp;"V,"&amp;SIGN(AA122-Panchanga!$AA121)*INT(Panchanga!$AA121/30+1)&amp;"S,"&amp;INT(Panchanga!$AB121/30+1)&amp;"R"</f>
        <v>1Ma,3Me,2J, 3V,11S,12R</v>
      </c>
      <c r="U121" s="4">
        <f t="shared" si="22"/>
        <v>65.937016594210689</v>
      </c>
      <c r="V121" s="4">
        <f t="shared" si="23"/>
        <v>233.01803760164657</v>
      </c>
      <c r="W121" s="4">
        <f>Planet(Panchanga!$G121,4)</f>
        <v>14.515249383799247</v>
      </c>
      <c r="X121" s="4">
        <f>Planet(Panchanga!$G121,2)</f>
        <v>73.595872916698113</v>
      </c>
      <c r="Y121" s="4">
        <f>Planet(Panchanga!$G121,5)</f>
        <v>41.814636480886158</v>
      </c>
      <c r="Z121" s="4">
        <f>Planet(Panchanga!$G121,3)</f>
        <v>70.404222059693097</v>
      </c>
      <c r="AA121" s="4">
        <f>Planet(Panchanga!$G121,6)</f>
        <v>325.16567412649056</v>
      </c>
      <c r="AB121" s="4">
        <f>Planet(Panchanga!$G121,10)</f>
        <v>347.57088600310033</v>
      </c>
      <c r="AC121" s="4" t="str">
        <f>TEXT(Panchanga!$C121+($C122-Panchanga!$C121)/ABS(IF($R122&lt;1,$R122+30,$R122)-Panchanga!$R121)*(ROUNDUP(Panchanga!$R121,0)-Panchanga!$R121),"hh:mm AM/PM")</f>
        <v>07:30 AM</v>
      </c>
      <c r="AD121" s="4"/>
    </row>
    <row r="122" spans="1:30" x14ac:dyDescent="0.2">
      <c r="A122" s="3">
        <f t="shared" si="25"/>
        <v>45465</v>
      </c>
      <c r="B122" s="3">
        <f t="shared" si="20"/>
        <v>45465.229166666664</v>
      </c>
      <c r="C122" s="6">
        <f t="shared" si="21"/>
        <v>45465.239534706961</v>
      </c>
      <c r="D122" s="6">
        <f>sunset(Lat,Long,B122)+TimeZone/24-0.000277777777777778</f>
        <v>45464.776583476967</v>
      </c>
      <c r="E122" s="6">
        <f>PlanetRiseSet(Lat,Long,B122,1,1)+TimeZone/24+0.00103009259259259</f>
        <v>45464.75917193076</v>
      </c>
      <c r="F122" s="6">
        <f>PlanetRiseSet(Lat,Long,B122+1,1,2)+TimeZone/24+0.00103009259259259</f>
        <v>45466.278671224289</v>
      </c>
      <c r="G122" s="17">
        <f>Panchanga!$C122-TimeZone/24</f>
        <v>45465.010368040297</v>
      </c>
      <c r="H122" s="13" t="str">
        <f>INT(P[[#This Row],[Sun]]/30)&amp;"s"&amp;ROUNDUP(MOD(P[[#This Row],[Sun]],30),2)</f>
        <v>2s6.9</v>
      </c>
      <c r="I122" s="13" t="str">
        <f>INT(P[[#This Row],[Moon]]/30)&amp;"s"&amp;ROUNDUP(MOD(P[[#This Row],[Moon]],30),2)</f>
        <v>8s6.43</v>
      </c>
      <c r="J122" s="14">
        <f t="shared" si="24"/>
        <v>45465.010368040297</v>
      </c>
      <c r="K122" s="10" t="str">
        <f>naks(P[[#This Row],[Moon]])</f>
        <v>Moola</v>
      </c>
      <c r="L122" s="15">
        <f>(C123-P[[#This Row],[SunRise]])/(MOD(360+V123-P[[#This Row],[Moon]],360))*(13.3333333333333-MOD(P[[#This Row],[Moon]],13.333333333333))+P[[#This Row],[SunRise]]</f>
        <v>45465.743745099404</v>
      </c>
      <c r="M122" s="4" t="str">
        <f>IF(Panchanga!$R122&gt;15,"K","S")&amp;ROUNDUP(MOD(Panchanga!$R122,15),0)&amp;" ("&amp;ROUND(Panchanga!$R122,2)&amp;")"</f>
        <v>S15 (14.96)</v>
      </c>
      <c r="N122" s="4">
        <f>IF(AND(Panchanga!$R122&lt;28.5,Panchanga!$R122&gt;0.49999),MOD((Panchanga!$R122-0.5)*2,7),MOD((Panchanga!$R122+30-28.5),30)*2+7)</f>
        <v>0.92279999999999873</v>
      </c>
      <c r="O122" s="4" t="str">
        <f>CHOOSE(ROUNDUP(Panchanga!$N122,0),"Bhava","Baalava","Kaulava","Taitula","Garija","Vanija","Vishti","Shakuni","Chatushapda","Naaga","Kimstugna")</f>
        <v>Bhava</v>
      </c>
      <c r="P122" s="11" t="str">
        <f>CHOOSE(ROUNDUP(Panchanga!$S122,0),"viṣkambha","prīti","āyuṣmāna","saubhāgya","śobhana","atigaṇḍa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("&amp;Panchanga!$S122&amp;")"</f>
        <v>śukla (23.5)</v>
      </c>
      <c r="Q122" s="4">
        <f>IF(AND(Panchanga!$R122&lt;28.5,Panchanga!$R122&gt;0.49999),MOD((Panchanga!$R122-0.5)*2,7),MOD((Panchanga!$R122+30-28.5),30)*2+7)</f>
        <v>0.92279999999999873</v>
      </c>
      <c r="R122" s="4">
        <f>ROUNDUP(MOD(360+P[[#This Row],[Moon]]-P[[#This Row],[Sun]],360)/12,4)</f>
        <v>14.961399999999999</v>
      </c>
      <c r="S122" s="4">
        <f>ROUNDUP(MOD(P[[#This Row],[Sun]]+P[[#This Row],[Moon]],360)/13.333333333,2)</f>
        <v>23.5</v>
      </c>
      <c r="T122" s="4" t="str">
        <f>SIGN(W123-Panchanga!$W122)*INT(Panchanga!$W122/30+1)&amp;"Ma,"&amp;SIGN(X123-Panchanga!$X122)*INT(Panchanga!$X122/30+1)&amp;"Me,"&amp;SIGN(Y123-Panchanga!$Y122)*INT(Panchanga!$Y122/30+1)&amp;"J, "&amp;SIGN(Z123-Panchanga!$Z122)*INT(Panchanga!$Z122/30+1)&amp;"V,"&amp;SIGN(AA123-Panchanga!$AA122)*INT(Panchanga!$AA122/30+1)&amp;"S,"&amp;INT(Panchanga!$AB122/30+1)&amp;"R"</f>
        <v>1Ma,3Me,2J, 3V,11S,12R</v>
      </c>
      <c r="U122" s="4">
        <f t="shared" si="22"/>
        <v>66.890960831264451</v>
      </c>
      <c r="V122" s="4">
        <f t="shared" si="23"/>
        <v>246.42704350362905</v>
      </c>
      <c r="W122" s="4">
        <f>Planet(Panchanga!$G122,4)</f>
        <v>15.245801591268979</v>
      </c>
      <c r="X122" s="4">
        <f>Planet(Panchanga!$G122,2)</f>
        <v>75.690125420828878</v>
      </c>
      <c r="Y122" s="4">
        <f>Planet(Panchanga!$G122,5)</f>
        <v>42.038561962926082</v>
      </c>
      <c r="Z122" s="4">
        <f>Planet(Panchanga!$G122,3)</f>
        <v>71.632798501269761</v>
      </c>
      <c r="AA122" s="4">
        <f>Planet(Panchanga!$G122,6)</f>
        <v>325.17940776513865</v>
      </c>
      <c r="AB122" s="4">
        <f>Planet(Panchanga!$G122,10)</f>
        <v>347.51788587888808</v>
      </c>
      <c r="AC122" s="4" t="str">
        <f>TEXT(Panchanga!$C122+($C123-Panchanga!$C122)/ABS(IF($R123&lt;1,$R123+30,$R123)-Panchanga!$R122)*(ROUNDUP(Panchanga!$R122,0)-Panchanga!$R122),"hh:mm AM/PM")</f>
        <v>06:37 AM</v>
      </c>
      <c r="AD122" s="4"/>
    </row>
    <row r="123" spans="1:30" x14ac:dyDescent="0.2">
      <c r="A123" s="3">
        <f t="shared" si="25"/>
        <v>45466</v>
      </c>
      <c r="B123" s="3">
        <f t="shared" si="20"/>
        <v>45466.229166666664</v>
      </c>
      <c r="C123" s="6">
        <f t="shared" si="21"/>
        <v>45466.239693178948</v>
      </c>
      <c r="D123" s="6">
        <f>sunset(Lat,Long,B123)+TimeZone/24-0.000277777777777778</f>
        <v>45465.776726321827</v>
      </c>
      <c r="E123" s="6">
        <f>PlanetRiseSet(Lat,Long,B123,1,1)+TimeZone/24+0.00103009259259259</f>
        <v>45465.80082625911</v>
      </c>
      <c r="F123" s="6">
        <f>PlanetRiseSet(Lat,Long,B123+1,1,2)+TimeZone/24+0.00103009259259259</f>
        <v>45467.322198263988</v>
      </c>
      <c r="G123" s="17">
        <f>Panchanga!$C123-TimeZone/24</f>
        <v>45466.010526512284</v>
      </c>
      <c r="H123" s="13" t="str">
        <f>INT(P[[#This Row],[Sun]]/30)&amp;"s"&amp;ROUNDUP(MOD(P[[#This Row],[Sun]],30),2)</f>
        <v>2s7.85</v>
      </c>
      <c r="I123" s="13" t="str">
        <f>INT(P[[#This Row],[Moon]]/30)&amp;"s"&amp;ROUNDUP(MOD(P[[#This Row],[Moon]],30),2)</f>
        <v>8s20.13</v>
      </c>
      <c r="J123" s="14">
        <f t="shared" si="24"/>
        <v>45466.010526512284</v>
      </c>
      <c r="K123" s="10" t="str">
        <f>naks(P[[#This Row],[Moon]])</f>
        <v>Purva Asadha</v>
      </c>
      <c r="L123" s="15">
        <f>(C124-P[[#This Row],[SunRise]])/(MOD(360+V124-P[[#This Row],[Moon]],360))*(13.3333333333333-MOD(P[[#This Row],[Moon]],13.333333333333))+P[[#This Row],[SunRise]]</f>
        <v>45466.709221498299</v>
      </c>
      <c r="M123" s="4" t="str">
        <f>IF(Panchanga!$R123&gt;15,"K","S")&amp;ROUNDUP(MOD(Panchanga!$R123,15),0)&amp;" ("&amp;ROUND(Panchanga!$R123,2)&amp;")"</f>
        <v>K2 (16.02)</v>
      </c>
      <c r="N123" s="4">
        <f>IF(AND(Panchanga!$R123&lt;28.5,Panchanga!$R123&gt;0.49999),MOD((Panchanga!$R123-0.5)*2,7),MOD((Panchanga!$R123+30-28.5),30)*2+7)</f>
        <v>3.046999999999997</v>
      </c>
      <c r="O123" s="4" t="str">
        <f>CHOOSE(ROUNDUP(Panchanga!$N123,0),"Bhava","Baalava","Kaulava","Taitula","Garija","Vanija","Vishti","Shakuni","Chatushapda","Naaga","Kimstugna")</f>
        <v>Taitula</v>
      </c>
      <c r="P123" s="11" t="str">
        <f>CHOOSE(ROUNDUP(Panchanga!$S123,0),"viṣkambha","prīti","āyuṣmāna","saubhāgya","śobhana","atigaṇḍa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("&amp;Panchanga!$S123&amp;")"</f>
        <v>brahma (24.6)</v>
      </c>
      <c r="Q123" s="4">
        <f>IF(AND(Panchanga!$R123&lt;28.5,Panchanga!$R123&gt;0.49999),MOD((Panchanga!$R123-0.5)*2,7),MOD((Panchanga!$R123+30-28.5),30)*2+7)</f>
        <v>3.046999999999997</v>
      </c>
      <c r="R123" s="4">
        <f>ROUNDUP(MOD(360+P[[#This Row],[Moon]]-P[[#This Row],[Sun]],360)/12,4)</f>
        <v>16.023499999999999</v>
      </c>
      <c r="S123" s="4">
        <f>ROUNDUP(MOD(P[[#This Row],[Sun]]+P[[#This Row],[Moon]],360)/13.333333333,2)</f>
        <v>24.6</v>
      </c>
      <c r="T123" s="4" t="str">
        <f>SIGN(W124-Panchanga!$W123)*INT(Panchanga!$W123/30+1)&amp;"Ma,"&amp;SIGN(X124-Panchanga!$X123)*INT(Panchanga!$X123/30+1)&amp;"Me,"&amp;SIGN(Y124-Panchanga!$Y123)*INT(Panchanga!$Y123/30+1)&amp;"J, "&amp;SIGN(Z124-Panchanga!$Z123)*INT(Panchanga!$Z123/30+1)&amp;"V,"&amp;SIGN(AA124-Panchanga!$AA123)*INT(Panchanga!$AA123/30+1)&amp;"S,"&amp;INT(Panchanga!$AB123/30+1)&amp;"R"</f>
        <v>1Ma,3Me,2J, 3V,11S,12R</v>
      </c>
      <c r="U123" s="4">
        <f t="shared" si="22"/>
        <v>67.844793774526821</v>
      </c>
      <c r="V123" s="4">
        <f t="shared" si="23"/>
        <v>260.12645229543068</v>
      </c>
      <c r="W123" s="4">
        <f>Planet(Panchanga!$G123,4)</f>
        <v>15.975292102414308</v>
      </c>
      <c r="X123" s="4">
        <f>Planet(Panchanga!$G123,2)</f>
        <v>77.756663119805353</v>
      </c>
      <c r="Y123" s="4">
        <f>Planet(Panchanga!$G123,5)</f>
        <v>42.261803440339442</v>
      </c>
      <c r="Z123" s="4">
        <f>Planet(Panchanga!$G123,3)</f>
        <v>72.861379326603199</v>
      </c>
      <c r="AA123" s="4">
        <f>Planet(Panchanga!$G123,6)</f>
        <v>325.19149167289055</v>
      </c>
      <c r="AB123" s="4">
        <f>Planet(Panchanga!$G123,10)</f>
        <v>347.46488549391887</v>
      </c>
      <c r="AC123" s="4" t="str">
        <f>TEXT(Panchanga!$C123+($C124-Panchanga!$C123)/ABS(IF($R124&lt;1,$R124+30,$R124)-Panchanga!$R123)*(ROUNDUP(Panchanga!$R123,0)-Panchanga!$R123),"hh:mm AM/PM")</f>
        <v>03:25 AM</v>
      </c>
      <c r="AD123" s="4"/>
    </row>
    <row r="124" spans="1:30" x14ac:dyDescent="0.2">
      <c r="A124" s="3">
        <f t="shared" si="25"/>
        <v>45467</v>
      </c>
      <c r="B124" s="3">
        <f t="shared" si="20"/>
        <v>45467.229166666664</v>
      </c>
      <c r="C124" s="6">
        <f t="shared" si="21"/>
        <v>45467.239856342007</v>
      </c>
      <c r="D124" s="6">
        <f>sunset(Lat,Long,B124)+TimeZone/24-0.000277777777777778</f>
        <v>45466.776862745683</v>
      </c>
      <c r="E124" s="6">
        <f>PlanetRiseSet(Lat,Long,B124,1,1)+TimeZone/24+0.00103009259259259</f>
        <v>45466.84098663662</v>
      </c>
      <c r="F124" s="6">
        <f>PlanetRiseSet(Lat,Long,B124+1,1,2)+TimeZone/24+0.00103009259259259</f>
        <v>45468.365038877972</v>
      </c>
      <c r="G124" s="17">
        <f>Panchanga!$C124-TimeZone/24</f>
        <v>45467.010689675342</v>
      </c>
      <c r="H124" s="13" t="str">
        <f>INT(P[[#This Row],[Sun]]/30)&amp;"s"&amp;ROUNDUP(MOD(P[[#This Row],[Sun]],30),2)</f>
        <v>2s8.8</v>
      </c>
      <c r="I124" s="13" t="str">
        <f>INT(P[[#This Row],[Moon]]/30)&amp;"s"&amp;ROUNDUP(MOD(P[[#This Row],[Moon]],30),2)</f>
        <v>9s4.06</v>
      </c>
      <c r="J124" s="14">
        <f t="shared" si="24"/>
        <v>45467.010689675342</v>
      </c>
      <c r="K124" s="10" t="str">
        <f>naks(P[[#This Row],[Moon]])</f>
        <v>Uttara Asadha</v>
      </c>
      <c r="L124" s="15">
        <f>(C125-P[[#This Row],[SunRise]])/(MOD(360+V125-P[[#This Row],[Moon]],360))*(13.3333333333333-MOD(P[[#This Row],[Moon]],13.333333333333))+P[[#This Row],[SunRise]]</f>
        <v>45467.661558994689</v>
      </c>
      <c r="M124" s="4" t="str">
        <f>IF(Panchanga!$R124&gt;15,"K","S")&amp;ROUNDUP(MOD(Panchanga!$R124,15),0)&amp;" ("&amp;ROUND(Panchanga!$R124,2)&amp;")"</f>
        <v>K3 (17.11)</v>
      </c>
      <c r="N124" s="4">
        <f>IF(AND(Panchanga!$R124&lt;28.5,Panchanga!$R124&gt;0.49999),MOD((Panchanga!$R124-0.5)*2,7),MOD((Panchanga!$R124+30-28.5),30)*2+7)</f>
        <v>5.2100000000000009</v>
      </c>
      <c r="O124" s="4" t="str">
        <f>CHOOSE(ROUNDUP(Panchanga!$N124,0),"Bhava","Baalava","Kaulava","Taitula","Garija","Vanija","Vishti","Shakuni","Chatushapda","Naaga","Kimstugna")</f>
        <v>Vanija</v>
      </c>
      <c r="P124" s="11" t="str">
        <f>CHOOSE(ROUNDUP(Panchanga!$S124,0),"viṣkambha","prīti","āyuṣmāna","saubhāgya","śobhana","atigaṇḍa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("&amp;Panchanga!$S124&amp;")"</f>
        <v>mahendra (25.72)</v>
      </c>
      <c r="Q124" s="4">
        <f>IF(AND(Panchanga!$R124&lt;28.5,Panchanga!$R124&gt;0.49999),MOD((Panchanga!$R124-0.5)*2,7),MOD((Panchanga!$R124+30-28.5),30)*2+7)</f>
        <v>5.2100000000000009</v>
      </c>
      <c r="R124" s="4">
        <f>ROUNDUP(MOD(360+P[[#This Row],[Moon]]-P[[#This Row],[Sun]],360)/12,4)</f>
        <v>17.105</v>
      </c>
      <c r="S124" s="4">
        <f>ROUNDUP(MOD(P[[#This Row],[Sun]]+P[[#This Row],[Moon]],360)/13.333333333,2)</f>
        <v>25.720000000000002</v>
      </c>
      <c r="T124" s="4" t="str">
        <f>SIGN(W125-Panchanga!$W124)*INT(Panchanga!$W124/30+1)&amp;"Ma,"&amp;SIGN(X125-Panchanga!$X124)*INT(Panchanga!$X124/30+1)&amp;"Me,"&amp;SIGN(Y125-Panchanga!$Y124)*INT(Panchanga!$Y124/30+1)&amp;"J, "&amp;SIGN(Z125-Panchanga!$Z124)*INT(Panchanga!$Z124/30+1)&amp;"V,"&amp;SIGN(AA125-Panchanga!$AA124)*INT(Panchanga!$AA124/30+1)&amp;"S,"&amp;INT(Panchanga!$AB124/30+1)&amp;"R"</f>
        <v>1Ma,3Me,2J, 3V,11S,12R</v>
      </c>
      <c r="U124" s="4">
        <f t="shared" si="22"/>
        <v>68.798542500144762</v>
      </c>
      <c r="V124" s="4">
        <f t="shared" si="23"/>
        <v>274.05805391143463</v>
      </c>
      <c r="W124" s="4">
        <f>Planet(Panchanga!$G124,4)</f>
        <v>16.703715443939394</v>
      </c>
      <c r="X124" s="4">
        <f>Planet(Panchanga!$G124,2)</f>
        <v>79.79355544197297</v>
      </c>
      <c r="Y124" s="4">
        <f>Planet(Panchanga!$G124,5)</f>
        <v>42.484344063690934</v>
      </c>
      <c r="Z124" s="4">
        <f>Planet(Panchanga!$G124,3)</f>
        <v>74.089975721901823</v>
      </c>
      <c r="AA124" s="4">
        <f>Planet(Panchanga!$G124,6)</f>
        <v>325.20192277178433</v>
      </c>
      <c r="AB124" s="4">
        <f>Planet(Panchanga!$G124,10)</f>
        <v>347.41188486037061</v>
      </c>
      <c r="AC124" s="4" t="str">
        <f>TEXT(Panchanga!$C124+($C125-Panchanga!$C124)/ABS(IF($R125&lt;1,$R125+30,$R125)-Panchanga!$R124)*(ROUNDUP(Panchanga!$R124,0)-Panchanga!$R124),"hh:mm AM/PM")</f>
        <v>01:22 AM</v>
      </c>
      <c r="AD124" s="4"/>
    </row>
    <row r="125" spans="1:30" x14ac:dyDescent="0.2">
      <c r="A125" s="3">
        <f t="shared" si="25"/>
        <v>45468</v>
      </c>
      <c r="B125" s="3">
        <f t="shared" si="20"/>
        <v>45468.229166666664</v>
      </c>
      <c r="C125" s="6">
        <f t="shared" si="21"/>
        <v>45468.240023966566</v>
      </c>
      <c r="D125" s="6">
        <f>sunset(Lat,Long,B125)+TimeZone/24-0.000277777777777778</f>
        <v>45467.776992539453</v>
      </c>
      <c r="E125" s="6">
        <f>PlanetRiseSet(Lat,Long,B125,1,1)+TimeZone/24+0.00103009259259259</f>
        <v>45467.878317977455</v>
      </c>
      <c r="F125" s="6">
        <f>PlanetRiseSet(Lat,Long,B125+1,1,2)+TimeZone/24+0.00103009259259259</f>
        <v>45469.406227993</v>
      </c>
      <c r="G125" s="17">
        <f>Panchanga!$C125-TimeZone/24</f>
        <v>45468.010857299902</v>
      </c>
      <c r="H125" s="13" t="str">
        <f>INT(P[[#This Row],[Sun]]/30)&amp;"s"&amp;ROUNDUP(MOD(P[[#This Row],[Sun]],30),2)</f>
        <v>2s9.76</v>
      </c>
      <c r="I125" s="13" t="str">
        <f>INT(P[[#This Row],[Moon]]/30)&amp;"s"&amp;ROUNDUP(MOD(P[[#This Row],[Moon]],30),2)</f>
        <v>9s18.16</v>
      </c>
      <c r="J125" s="14">
        <f t="shared" si="24"/>
        <v>45468.010857299902</v>
      </c>
      <c r="K125" s="10" t="str">
        <f>naks(P[[#This Row],[Moon]])</f>
        <v>Sravana</v>
      </c>
      <c r="L125" s="15">
        <f>(C126-P[[#This Row],[SunRise]])/(MOD(360+V126-P[[#This Row],[Moon]],360))*(13.3333333333333-MOD(P[[#This Row],[Moon]],13.333333333333))+P[[#This Row],[SunRise]]</f>
        <v>45468.605518792094</v>
      </c>
      <c r="M125" s="4" t="str">
        <f>IF(Panchanga!$R125&gt;15,"K","S")&amp;ROUNDUP(MOD(Panchanga!$R125,15),0)&amp;" ("&amp;ROUND(Panchanga!$R125,2)&amp;")"</f>
        <v>K4 (18.2)</v>
      </c>
      <c r="N125" s="4">
        <f>IF(AND(Panchanga!$R125&lt;28.5,Panchanga!$R125&gt;0.49999),MOD((Panchanga!$R125-0.5)*2,7),MOD((Panchanga!$R125+30-28.5),30)*2+7)</f>
        <v>0.39979999999999905</v>
      </c>
      <c r="O125" s="4" t="str">
        <f>CHOOSE(ROUNDUP(Panchanga!$N125,0),"Bhava","Baalava","Kaulava","Taitula","Garija","Vanija","Vishti","Shakuni","Chatushapda","Naaga","Kimstugna")</f>
        <v>Bhava</v>
      </c>
      <c r="P125" s="11" t="str">
        <f>CHOOSE(ROUNDUP(Panchanga!$S125,0),"viṣkambha","prīti","āyuṣmāna","saubhāgya","śobhana","atigaṇḍa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("&amp;Panchanga!$S125&amp;")"</f>
        <v>vaidhṛti (26.85)</v>
      </c>
      <c r="Q125" s="4">
        <f>IF(AND(Panchanga!$R125&lt;28.5,Panchanga!$R125&gt;0.49999),MOD((Panchanga!$R125-0.5)*2,7),MOD((Panchanga!$R125+30-28.5),30)*2+7)</f>
        <v>0.39979999999999905</v>
      </c>
      <c r="R125" s="4">
        <f>ROUNDUP(MOD(360+P[[#This Row],[Moon]]-P[[#This Row],[Sun]],360)/12,4)</f>
        <v>18.1999</v>
      </c>
      <c r="S125" s="4">
        <f>ROUNDUP(MOD(P[[#This Row],[Sun]]+P[[#This Row],[Moon]],360)/13.333333333,2)</f>
        <v>26.85</v>
      </c>
      <c r="T125" s="4" t="str">
        <f>SIGN(W126-Panchanga!$W125)*INT(Panchanga!$W125/30+1)&amp;"Ma,"&amp;SIGN(X126-Panchanga!$X125)*INT(Panchanga!$X125/30+1)&amp;"Me,"&amp;SIGN(Y126-Panchanga!$Y125)*INT(Panchanga!$Y125/30+1)&amp;"J, "&amp;SIGN(Z126-Panchanga!$Z125)*INT(Panchanga!$Z125/30+1)&amp;"V,"&amp;SIGN(AA126-Panchanga!$AA125)*INT(Panchanga!$AA125/30+1)&amp;"S,"&amp;INT(Panchanga!$AB125/30+1)&amp;"R"</f>
        <v>1Ma,3Me,2J, 3V,11S,12R</v>
      </c>
      <c r="U125" s="4">
        <f t="shared" si="22"/>
        <v>69.752234047644308</v>
      </c>
      <c r="V125" s="4">
        <f t="shared" si="23"/>
        <v>288.15078504997598</v>
      </c>
      <c r="W125" s="4">
        <f>Planet(Panchanga!$G125,4)</f>
        <v>17.43106399798911</v>
      </c>
      <c r="X125" s="4">
        <f>Planet(Panchanga!$G125,2)</f>
        <v>81.799243304251291</v>
      </c>
      <c r="Y125" s="4">
        <f>Planet(Panchanga!$G125,5)</f>
        <v>42.706166467449385</v>
      </c>
      <c r="Z125" s="4">
        <f>Planet(Panchanga!$G125,3)</f>
        <v>75.318598973539252</v>
      </c>
      <c r="AA125" s="4">
        <f>Planet(Panchanga!$G125,6)</f>
        <v>325.2106978515215</v>
      </c>
      <c r="AB125" s="4">
        <f>Planet(Panchanga!$G125,10)</f>
        <v>347.35888399038822</v>
      </c>
      <c r="AC125" s="4" t="str">
        <f>TEXT(Panchanga!$C125+($C126-Panchanga!$C125)/ABS(IF($R126&lt;1,$R126+30,$R126)-Panchanga!$R125)*(ROUNDUP(Panchanga!$R125,0)-Panchanga!$R125),"hh:mm AM/PM")</f>
        <v>11:10 PM</v>
      </c>
      <c r="AD125" s="4"/>
    </row>
    <row r="126" spans="1:30" x14ac:dyDescent="0.2">
      <c r="A126" s="3">
        <f t="shared" si="25"/>
        <v>45469</v>
      </c>
      <c r="B126" s="3">
        <f t="shared" si="20"/>
        <v>45469.229166666664</v>
      </c>
      <c r="C126" s="6">
        <f t="shared" si="21"/>
        <v>45469.24019581933</v>
      </c>
      <c r="D126" s="6">
        <f>sunset(Lat,Long,B126)+TimeZone/24-0.000277777777777778</f>
        <v>45468.777115496385</v>
      </c>
      <c r="E126" s="6">
        <f>PlanetRiseSet(Lat,Long,B126,1,1)+TimeZone/24+0.00103009259259259</f>
        <v>45468.912400913578</v>
      </c>
      <c r="F126" s="6">
        <f>PlanetRiseSet(Lat,Long,B126+1,1,2)+TimeZone/24+0.00103009259259259</f>
        <v>45470.445673962276</v>
      </c>
      <c r="G126" s="17">
        <f>Panchanga!$C126-TimeZone/24</f>
        <v>45469.011029152665</v>
      </c>
      <c r="H126" s="13" t="str">
        <f>INT(P[[#This Row],[Sun]]/30)&amp;"s"&amp;ROUNDUP(MOD(P[[#This Row],[Sun]],30),2)</f>
        <v>2s10.71</v>
      </c>
      <c r="I126" s="13" t="str">
        <f>INT(P[[#This Row],[Moon]]/30)&amp;"s"&amp;ROUNDUP(MOD(P[[#This Row],[Moon]],30),2)</f>
        <v>10s2.34</v>
      </c>
      <c r="J126" s="14">
        <f t="shared" si="24"/>
        <v>45469.011029152665</v>
      </c>
      <c r="K126" s="10" t="str">
        <f>naks(P[[#This Row],[Moon]])</f>
        <v>Dhanistha</v>
      </c>
      <c r="L126" s="15">
        <f>(C127-P[[#This Row],[SunRise]])/(MOD(360+V127-P[[#This Row],[Moon]],360))*(13.3333333333333-MOD(P[[#This Row],[Moon]],13.333333333333))+P[[#This Row],[SunRise]]</f>
        <v>45469.545254602584</v>
      </c>
      <c r="M126" s="4" t="str">
        <f>IF(Panchanga!$R126&gt;15,"K","S")&amp;ROUNDUP(MOD(Panchanga!$R126,15),0)&amp;" ("&amp;ROUND(Panchanga!$R126,2)&amp;")"</f>
        <v>K5 (19.3)</v>
      </c>
      <c r="N126" s="4">
        <f>IF(AND(Panchanga!$R126&lt;28.5,Panchanga!$R126&gt;0.49999),MOD((Panchanga!$R126-0.5)*2,7),MOD((Panchanga!$R126+30-28.5),30)*2+7)</f>
        <v>2.6045999999999978</v>
      </c>
      <c r="O126" s="4" t="str">
        <f>CHOOSE(ROUNDUP(Panchanga!$N126,0),"Bhava","Baalava","Kaulava","Taitula","Garija","Vanija","Vishti","Shakuni","Chatushapda","Naaga","Kimstugna")</f>
        <v>Kaulava</v>
      </c>
      <c r="P126" s="11" t="str">
        <f>CHOOSE(ROUNDUP(Panchanga!$S126,0),"viṣkambha","prīti","āyuṣmāna","saubhāgya","śobhana","atigaṇḍa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("&amp;Panchanga!$S126&amp;")"</f>
        <v>viṣkambha (0.98)</v>
      </c>
      <c r="Q126" s="4">
        <f>IF(AND(Panchanga!$R126&lt;28.5,Panchanga!$R126&gt;0.49999),MOD((Panchanga!$R126-0.5)*2,7),MOD((Panchanga!$R126+30-28.5),30)*2+7)</f>
        <v>2.6045999999999978</v>
      </c>
      <c r="R126" s="4">
        <f>ROUNDUP(MOD(360+P[[#This Row],[Moon]]-P[[#This Row],[Sun]],360)/12,4)</f>
        <v>19.302299999999999</v>
      </c>
      <c r="S126" s="4">
        <f>ROUNDUP(MOD(P[[#This Row],[Sun]]+P[[#This Row],[Moon]],360)/13.333333333,2)</f>
        <v>0.98</v>
      </c>
      <c r="T126" s="4" t="str">
        <f>SIGN(W127-Panchanga!$W126)*INT(Panchanga!$W126/30+1)&amp;"Ma,"&amp;SIGN(X127-Panchanga!$X126)*INT(Panchanga!$X126/30+1)&amp;"Me,"&amp;SIGN(Y127-Panchanga!$Y126)*INT(Panchanga!$Y126/30+1)&amp;"J, "&amp;SIGN(Z127-Panchanga!$Z126)*INT(Panchanga!$Z126/30+1)&amp;"V,"&amp;SIGN(AA127-Panchanga!$AA126)*INT(Panchanga!$AA126/30+1)&amp;"S,"&amp;INT(Panchanga!$AB126/30+1)&amp;"R"</f>
        <v>1Ma,3Me,2J, 3V,11S,12R</v>
      </c>
      <c r="U126" s="4">
        <f t="shared" si="22"/>
        <v>70.705894188046486</v>
      </c>
      <c r="V126" s="4">
        <f t="shared" si="23"/>
        <v>302.33276125474981</v>
      </c>
      <c r="W126" s="4">
        <f>Planet(Panchanga!$G126,4)</f>
        <v>18.157327504664671</v>
      </c>
      <c r="X126" s="4">
        <f>Planet(Panchanga!$G126,2)</f>
        <v>83.772499180029968</v>
      </c>
      <c r="Y126" s="4">
        <f>Planet(Panchanga!$G126,5)</f>
        <v>42.927252525686072</v>
      </c>
      <c r="Z126" s="4">
        <f>Planet(Panchanga!$G126,3)</f>
        <v>76.547259803304229</v>
      </c>
      <c r="AA126" s="4">
        <f>Planet(Panchanga!$G126,6)</f>
        <v>325.2178136156549</v>
      </c>
      <c r="AB126" s="4">
        <f>Planet(Panchanga!$G126,10)</f>
        <v>347.30588289636535</v>
      </c>
      <c r="AC126" s="4" t="str">
        <f>TEXT(Panchanga!$C126+($C127-Panchanga!$C126)/ABS(IF($R127&lt;1,$R127+30,$R127)-Panchanga!$R126)*(ROUNDUP(Panchanga!$R126,0)-Panchanga!$R126),"hh:mm AM/PM")</f>
        <v>08:55 PM</v>
      </c>
      <c r="AD126" s="4"/>
    </row>
    <row r="127" spans="1:30" x14ac:dyDescent="0.2">
      <c r="A127" s="3">
        <f t="shared" si="25"/>
        <v>45470</v>
      </c>
      <c r="B127" s="3">
        <f t="shared" si="20"/>
        <v>45470.229166666664</v>
      </c>
      <c r="C127" s="6">
        <f t="shared" si="21"/>
        <v>45470.240371660017</v>
      </c>
      <c r="D127" s="6">
        <f>sunset(Lat,Long,B127)+TimeZone/24-0.000277777777777778</f>
        <v>45469.777231409724</v>
      </c>
      <c r="E127" s="6">
        <f>PlanetRiseSet(Lat,Long,B127,1,1)+TimeZone/24+0.00103009259259259</f>
        <v>45469.943632888295</v>
      </c>
      <c r="F127" s="6">
        <f>PlanetRiseSet(Lat,Long,B127+1,1,2)+TimeZone/24+0.00103009259259259</f>
        <v>45471.483907022666</v>
      </c>
      <c r="G127" s="17">
        <f>Panchanga!$C127-TimeZone/24</f>
        <v>45470.011204993352</v>
      </c>
      <c r="H127" s="13" t="str">
        <f>INT(P[[#This Row],[Sun]]/30)&amp;"s"&amp;ROUNDUP(MOD(P[[#This Row],[Sun]],30),2)</f>
        <v>2s11.66</v>
      </c>
      <c r="I127" s="13" t="str">
        <f>INT(P[[#This Row],[Moon]]/30)&amp;"s"&amp;ROUNDUP(MOD(P[[#This Row],[Moon]],30),2)</f>
        <v>10s16.55</v>
      </c>
      <c r="J127" s="14">
        <f t="shared" si="24"/>
        <v>45470.011204993352</v>
      </c>
      <c r="K127" s="10" t="str">
        <f>naks(P[[#This Row],[Moon]])</f>
        <v>Satabhisaj</v>
      </c>
      <c r="L127" s="15">
        <f>(C128-P[[#This Row],[SunRise]])/(MOD(360+V128-P[[#This Row],[Moon]],360))*(13.3333333333333-MOD(P[[#This Row],[Moon]],13.333333333333))+P[[#This Row],[SunRise]]</f>
        <v>45470.484090394901</v>
      </c>
      <c r="M127" s="4" t="str">
        <f>IF(Panchanga!$R127&gt;15,"K","S")&amp;ROUNDUP(MOD(Panchanga!$R127,15),0)&amp;" ("&amp;ROUND(Panchanga!$R127,2)&amp;")"</f>
        <v>K6 (20.41)</v>
      </c>
      <c r="N127" s="4">
        <f>IF(AND(Panchanga!$R127&lt;28.5,Panchanga!$R127&gt;0.49999),MOD((Panchanga!$R127-0.5)*2,7),MOD((Panchanga!$R127+30-28.5),30)*2+7)</f>
        <v>4.8138000000000005</v>
      </c>
      <c r="O127" s="4" t="str">
        <f>CHOOSE(ROUNDUP(Panchanga!$N127,0),"Bhava","Baalava","Kaulava","Taitula","Garija","Vanija","Vishti","Shakuni","Chatushapda","Naaga","Kimstugna")</f>
        <v>Garija</v>
      </c>
      <c r="P127" s="11" t="str">
        <f>CHOOSE(ROUNDUP(Panchanga!$S127,0),"viṣkambha","prīti","āyuṣmāna","saubhāgya","śobhana","atigaṇḍa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("&amp;Panchanga!$S127&amp;")"</f>
        <v>āyuṣmāna (2.12)</v>
      </c>
      <c r="Q127" s="4">
        <f>IF(AND(Panchanga!$R127&lt;28.5,Panchanga!$R127&gt;0.49999),MOD((Panchanga!$R127-0.5)*2,7),MOD((Panchanga!$R127+30-28.5),30)*2+7)</f>
        <v>4.8138000000000005</v>
      </c>
      <c r="R127" s="4">
        <f>ROUNDUP(MOD(360+P[[#This Row],[Moon]]-P[[#This Row],[Sun]],360)/12,4)</f>
        <v>20.4069</v>
      </c>
      <c r="S127" s="4">
        <f>ROUNDUP(MOD(P[[#This Row],[Sun]]+P[[#This Row],[Moon]],360)/13.333333333,2)</f>
        <v>2.1199999999999997</v>
      </c>
      <c r="T127" s="4" t="str">
        <f>SIGN(W128-Panchanga!$W127)*INT(Panchanga!$W127/30+1)&amp;"Ma,"&amp;SIGN(X128-Panchanga!$X127)*INT(Panchanga!$X127/30+1)&amp;"Me,"&amp;SIGN(Y128-Panchanga!$Y127)*INT(Panchanga!$Y127/30+1)&amp;"J, "&amp;SIGN(Z128-Panchanga!$Z127)*INT(Panchanga!$Z127/30+1)&amp;"V,"&amp;SIGN(AA128-Panchanga!$AA127)*INT(Panchanga!$AA127/30+1)&amp;"S,"&amp;INT(Panchanga!$AB127/30+1)&amp;"R"</f>
        <v>1Ma,3Me,2J, 3V,11S,12R</v>
      </c>
      <c r="U127" s="4">
        <f t="shared" si="22"/>
        <v>71.659546210134096</v>
      </c>
      <c r="V127" s="4">
        <f t="shared" si="23"/>
        <v>316.54204722437498</v>
      </c>
      <c r="W127" s="4">
        <f>Planet(Panchanga!$G127,4)</f>
        <v>18.882492751168506</v>
      </c>
      <c r="X127" s="4">
        <f>Planet(Panchanga!$G127,2)</f>
        <v>85.712382801923269</v>
      </c>
      <c r="Y127" s="4">
        <f>Planet(Panchanga!$G127,5)</f>
        <v>43.147583151651396</v>
      </c>
      <c r="Z127" s="4">
        <f>Planet(Panchanga!$G127,3)</f>
        <v>77.77596769487522</v>
      </c>
      <c r="AA127" s="4">
        <f>Planet(Panchanga!$G127,6)</f>
        <v>325.22326679134449</v>
      </c>
      <c r="AB127" s="4">
        <f>Planet(Panchanga!$G127,10)</f>
        <v>347.25288159097687</v>
      </c>
      <c r="AC127" s="4" t="str">
        <f>TEXT(Panchanga!$C127+($C128-Panchanga!$C127)/ABS(IF($R128&lt;1,$R128+30,$R128)-Panchanga!$R127)*(ROUNDUP(Panchanga!$R127,0)-Panchanga!$R127),"hh:mm AM/PM")</f>
        <v>06:40 PM</v>
      </c>
      <c r="AD127" s="4"/>
    </row>
    <row r="128" spans="1:30" x14ac:dyDescent="0.2">
      <c r="A128" s="3">
        <f t="shared" si="25"/>
        <v>45471</v>
      </c>
      <c r="B128" s="3">
        <f t="shared" si="20"/>
        <v>45471.229166666664</v>
      </c>
      <c r="C128" s="6">
        <f t="shared" si="21"/>
        <v>45471.240551239032</v>
      </c>
      <c r="D128" s="6">
        <f>sunset(Lat,Long,B128)+TimeZone/24-0.000277777777777778</f>
        <v>45470.777340070854</v>
      </c>
      <c r="E128" s="6">
        <f>PlanetRiseSet(Lat,Long,B128,1,1)+TimeZone/24+0.00103009259259259</f>
        <v>45470.972881262809</v>
      </c>
      <c r="F128" s="6">
        <f>PlanetRiseSet(Lat,Long,B128+1,1,2)+TimeZone/24+0.00103009259259259</f>
        <v>45471.483907100897</v>
      </c>
      <c r="G128" s="17">
        <f>Panchanga!$C128-TimeZone/24</f>
        <v>45471.011384572368</v>
      </c>
      <c r="H128" s="13" t="str">
        <f>INT(P[[#This Row],[Sun]]/30)&amp;"s"&amp;ROUNDUP(MOD(P[[#This Row],[Sun]],30),2)</f>
        <v>2s12.62</v>
      </c>
      <c r="I128" s="13" t="str">
        <f>INT(P[[#This Row],[Moon]]/30)&amp;"s"&amp;ROUNDUP(MOD(P[[#This Row],[Moon]],30),2)</f>
        <v>11s0.74</v>
      </c>
      <c r="J128" s="14">
        <f t="shared" si="24"/>
        <v>45471.011384572368</v>
      </c>
      <c r="K128" s="10" t="str">
        <f>naks(P[[#This Row],[Moon]])</f>
        <v>Purva Bhadrapada</v>
      </c>
      <c r="L128" s="15">
        <f>(C129-P[[#This Row],[SunRise]])/(MOD(360+V129-P[[#This Row],[Moon]],360))*(13.3333333333333-MOD(P[[#This Row],[Moon]],13.333333333333))+P[[#This Row],[SunRise]]</f>
        <v>45471.424451080995</v>
      </c>
      <c r="M128" s="4" t="str">
        <f>IF(Panchanga!$R128&gt;15,"K","S")&amp;ROUNDUP(MOD(Panchanga!$R128,15),0)&amp;" ("&amp;ROUND(Panchanga!$R128,2)&amp;")"</f>
        <v>K7 (21.51)</v>
      </c>
      <c r="N128" s="4">
        <f>IF(AND(Panchanga!$R128&lt;28.5,Panchanga!$R128&gt;0.49999),MOD((Panchanga!$R128-0.5)*2,7),MOD((Panchanga!$R128+30-28.5),30)*2+7)</f>
        <v>1.9999999999996021E-2</v>
      </c>
      <c r="O128" s="4" t="str">
        <f>CHOOSE(ROUNDUP(Panchanga!$N128,0),"Bhava","Baalava","Kaulava","Taitula","Garija","Vanija","Vishti","Shakuni","Chatushapda","Naaga","Kimstugna")</f>
        <v>Bhava</v>
      </c>
      <c r="P128" s="11" t="str">
        <f>CHOOSE(ROUNDUP(Panchanga!$S128,0),"viṣkambha","prīti","āyuṣmāna","saubhāgya","śobhana","atigaṇḍa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("&amp;Panchanga!$S128&amp;")"</f>
        <v>saubhāgya (3.26)</v>
      </c>
      <c r="Q128" s="4">
        <f>IF(AND(Panchanga!$R128&lt;28.5,Panchanga!$R128&gt;0.49999),MOD((Panchanga!$R128-0.5)*2,7),MOD((Panchanga!$R128+30-28.5),30)*2+7)</f>
        <v>1.9999999999996021E-2</v>
      </c>
      <c r="R128" s="4">
        <f>ROUNDUP(MOD(360+P[[#This Row],[Moon]]-P[[#This Row],[Sun]],360)/12,4)</f>
        <v>21.509999999999998</v>
      </c>
      <c r="S128" s="4">
        <f>ROUNDUP(MOD(P[[#This Row],[Sun]]+P[[#This Row],[Moon]],360)/13.333333333,2)</f>
        <v>3.26</v>
      </c>
      <c r="T128" s="4" t="str">
        <f>SIGN(W129-Panchanga!$W128)*INT(Panchanga!$W128/30+1)&amp;"Ma,"&amp;SIGN(X129-Panchanga!$X128)*INT(Panchanga!$X128/30+1)&amp;"Me,"&amp;SIGN(Y129-Panchanga!$Y128)*INT(Panchanga!$Y128/30+1)&amp;"J, "&amp;SIGN(Z129-Panchanga!$Z128)*INT(Panchanga!$Z128/30+1)&amp;"V,"&amp;SIGN(AA129-Panchanga!$AA128)*INT(Panchanga!$AA128/30+1)&amp;"S,"&amp;INT(Panchanga!$AB128/30+1)&amp;"R"</f>
        <v>1Ma,3Me,2J, 3V,11S,12R</v>
      </c>
      <c r="U128" s="4">
        <f t="shared" si="22"/>
        <v>72.613209823029038</v>
      </c>
      <c r="V128" s="4">
        <f t="shared" si="23"/>
        <v>330.73288796139201</v>
      </c>
      <c r="W128" s="4">
        <f>Planet(Panchanga!$G128,4)</f>
        <v>19.60654347912303</v>
      </c>
      <c r="X128" s="4">
        <f>Planet(Panchanga!$G128,2)</f>
        <v>87.618195554611404</v>
      </c>
      <c r="Y128" s="4">
        <f>Planet(Panchanga!$G128,5)</f>
        <v>43.367138151585756</v>
      </c>
      <c r="Z128" s="4">
        <f>Planet(Panchanga!$G128,3)</f>
        <v>79.004730250959426</v>
      </c>
      <c r="AA128" s="4">
        <f>Planet(Panchanga!$G128,6)</f>
        <v>325.22705427423261</v>
      </c>
      <c r="AB128" s="4">
        <f>Planet(Panchanga!$G128,10)</f>
        <v>347.19988008752767</v>
      </c>
      <c r="AC128" s="4" t="str">
        <f>TEXT(Panchanga!$C128+($C129-Panchanga!$C128)/ABS(IF($R129&lt;1,$R129+30,$R129)-Panchanga!$R128)*(ROUNDUP(Panchanga!$R128,0)-Panchanga!$R128),"hh:mm AM/PM")</f>
        <v>04:28 PM</v>
      </c>
      <c r="AD128" s="4"/>
    </row>
    <row r="129" spans="1:30" x14ac:dyDescent="0.2">
      <c r="A129" s="3">
        <f t="shared" si="25"/>
        <v>45472</v>
      </c>
      <c r="B129" s="3">
        <f t="shared" si="20"/>
        <v>45472.229166666664</v>
      </c>
      <c r="C129" s="6">
        <f t="shared" si="21"/>
        <v>45472.240734292347</v>
      </c>
      <c r="D129" s="6">
        <f>sunset(Lat,Long,B129)+TimeZone/24-0.000277777777777778</f>
        <v>45471.777441266968</v>
      </c>
      <c r="E129" s="6">
        <f>PlanetRiseSet(Lat,Long,B129,1,1)+TimeZone/24+0.00103009259259259</f>
        <v>45472.001201067273</v>
      </c>
      <c r="F129" s="6">
        <f>PlanetRiseSet(Lat,Long,B129+1,1,2)+TimeZone/24+0.00103009259259259</f>
        <v>45472.521763654579</v>
      </c>
      <c r="G129" s="17">
        <f>Panchanga!$C129-TimeZone/24</f>
        <v>45472.011567625683</v>
      </c>
      <c r="H129" s="13" t="str">
        <f>INT(P[[#This Row],[Sun]]/30)&amp;"s"&amp;ROUNDUP(MOD(P[[#This Row],[Sun]],30),2)</f>
        <v>2s13.57</v>
      </c>
      <c r="I129" s="13" t="str">
        <f>INT(P[[#This Row],[Moon]]/30)&amp;"s"&amp;ROUNDUP(MOD(P[[#This Row],[Moon]],30),2)</f>
        <v>11s14.88</v>
      </c>
      <c r="J129" s="14">
        <f t="shared" si="24"/>
        <v>45472.011567625683</v>
      </c>
      <c r="K129" s="10" t="str">
        <f>naks(P[[#This Row],[Moon]])</f>
        <v>Uttara Bhadrapada</v>
      </c>
      <c r="L129" s="15">
        <f>(C130-P[[#This Row],[SunRise]])/(MOD(360+V130-P[[#This Row],[Moon]],360))*(13.3333333333333-MOD(P[[#This Row],[Moon]],13.333333333333))+P[[#This Row],[SunRise]]</f>
        <v>45472.367952156914</v>
      </c>
      <c r="M129" s="4" t="str">
        <f>IF(Panchanga!$R129&gt;15,"K","S")&amp;ROUNDUP(MOD(Panchanga!$R129,15),0)&amp;" ("&amp;ROUND(Panchanga!$R129,2)&amp;")"</f>
        <v>K8 (22.61)</v>
      </c>
      <c r="N129" s="4">
        <f>IF(AND(Panchanga!$R129&lt;28.5,Panchanga!$R129&gt;0.49999),MOD((Panchanga!$R129-0.5)*2,7),MOD((Panchanga!$R129+30-28.5),30)*2+7)</f>
        <v>2.2182000000000031</v>
      </c>
      <c r="O129" s="4" t="str">
        <f>CHOOSE(ROUNDUP(Panchanga!$N129,0),"Bhava","Baalava","Kaulava","Taitula","Garija","Vanija","Vishti","Shakuni","Chatushapda","Naaga","Kimstugna")</f>
        <v>Kaulava</v>
      </c>
      <c r="P129" s="11" t="str">
        <f>CHOOSE(ROUNDUP(Panchanga!$S129,0),"viṣkambha","prīti","āyuṣmāna","saubhāgya","śobhana","atigaṇḍa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("&amp;Panchanga!$S129&amp;")"</f>
        <v>śobhana (4.39)</v>
      </c>
      <c r="Q129" s="4">
        <f>IF(AND(Panchanga!$R129&lt;28.5,Panchanga!$R129&gt;0.49999),MOD((Panchanga!$R129-0.5)*2,7),MOD((Panchanga!$R129+30-28.5),30)*2+7)</f>
        <v>2.2182000000000031</v>
      </c>
      <c r="R129" s="4">
        <f>ROUNDUP(MOD(360+P[[#This Row],[Moon]]-P[[#This Row],[Sun]],360)/12,4)</f>
        <v>22.609100000000002</v>
      </c>
      <c r="S129" s="4">
        <f>ROUNDUP(MOD(P[[#This Row],[Sun]]+P[[#This Row],[Moon]],360)/13.333333333,2)</f>
        <v>4.3899999999999997</v>
      </c>
      <c r="T129" s="4" t="str">
        <f>SIGN(W130-Panchanga!$W129)*INT(Panchanga!$W129/30+1)&amp;"Ma,"&amp;SIGN(X130-Panchanga!$X129)*INT(Panchanga!$X129/30+1)&amp;"Me,"&amp;SIGN(Y130-Panchanga!$Y129)*INT(Panchanga!$Y129/30+1)&amp;"J, "&amp;SIGN(Z130-Panchanga!$Z129)*INT(Panchanga!$Z129/30+1)&amp;"V,"&amp;SIGN(AA130-Panchanga!$AA129)*INT(Panchanga!$AA129/30+1)&amp;"S,"&amp;INT(Panchanga!$AB129/30+1)&amp;"R"</f>
        <v>1Ma,3Me,2J, 3V,11S,12R</v>
      </c>
      <c r="U129" s="4">
        <f t="shared" si="22"/>
        <v>73.566900301443368</v>
      </c>
      <c r="V129" s="4">
        <f t="shared" si="23"/>
        <v>344.8760289465705</v>
      </c>
      <c r="W129" s="4">
        <f>Planet(Panchanga!$G129,4)</f>
        <v>20.329460549245667</v>
      </c>
      <c r="X129" s="4">
        <f>Planet(Panchanga!$G129,2)</f>
        <v>89.489435865968062</v>
      </c>
      <c r="Y129" s="4">
        <f>Planet(Panchanga!$G129,5)</f>
        <v>43.585896162631812</v>
      </c>
      <c r="Z129" s="4">
        <f>Planet(Panchanga!$G129,3)</f>
        <v>80.23355266302454</v>
      </c>
      <c r="AA129" s="4">
        <f>Planet(Panchanga!$G129,6)</f>
        <v>325.22917332543966</v>
      </c>
      <c r="AB129" s="4">
        <f>Planet(Panchanga!$G129,10)</f>
        <v>347.14687839996861</v>
      </c>
      <c r="AC129" s="4" t="str">
        <f>TEXT(Panchanga!$C129+($C130-Panchanga!$C129)/ABS(IF($R130&lt;1,$R130+30,$R130)-Panchanga!$R129)*(ROUNDUP(Panchanga!$R129,0)-Panchanga!$R129),"hh:mm AM/PM")</f>
        <v>02:21 PM</v>
      </c>
      <c r="AD129" s="4"/>
    </row>
    <row r="130" spans="1:30" x14ac:dyDescent="0.2">
      <c r="A130" s="3">
        <f t="shared" si="25"/>
        <v>45473</v>
      </c>
      <c r="B130" s="3">
        <f t="shared" si="20"/>
        <v>45473.229166666664</v>
      </c>
      <c r="C130" s="6">
        <f t="shared" si="21"/>
        <v>45473.240920540098</v>
      </c>
      <c r="D130" s="6">
        <f>sunset(Lat,Long,B130)+TimeZone/24-0.000277777777777778</f>
        <v>45472.777534781068</v>
      </c>
      <c r="E130" s="6">
        <f>PlanetRiseSet(Lat,Long,B130,1,1)+TimeZone/24+0.00103009259259259</f>
        <v>45473.029690669537</v>
      </c>
      <c r="F130" s="6">
        <f>PlanetRiseSet(Lat,Long,B130+1,1,2)+TimeZone/24+0.00103009259259259</f>
        <v>45473.560135872256</v>
      </c>
      <c r="G130" s="17">
        <f>Panchanga!$C130-TimeZone/24</f>
        <v>45473.011753873434</v>
      </c>
      <c r="H130" s="13" t="str">
        <f>INT(P[[#This Row],[Sun]]/30)&amp;"s"&amp;ROUNDUP(MOD(P[[#This Row],[Sun]],30),2)</f>
        <v>2s14.53</v>
      </c>
      <c r="I130" s="13" t="str">
        <f>INT(P[[#This Row],[Moon]]/30)&amp;"s"&amp;ROUNDUP(MOD(P[[#This Row],[Moon]],30),2)</f>
        <v>11s28.96</v>
      </c>
      <c r="J130" s="14">
        <f t="shared" si="24"/>
        <v>45473.011753873434</v>
      </c>
      <c r="K130" s="10" t="str">
        <f>naks(P[[#This Row],[Moon]])</f>
        <v>Revati</v>
      </c>
      <c r="L130" s="15">
        <f>(C131-P[[#This Row],[SunRise]])/(MOD(360+V131-P[[#This Row],[Moon]],360))*(13.3333333333333-MOD(P[[#This Row],[Moon]],13.333333333333))+P[[#This Row],[SunRise]]</f>
        <v>45473.315649323675</v>
      </c>
      <c r="M130" s="4" t="str">
        <f>IF(Panchanga!$R130&gt;15,"K","S")&amp;ROUNDUP(MOD(Panchanga!$R130,15),0)&amp;" ("&amp;ROUND(Panchanga!$R130,2)&amp;")"</f>
        <v>K9 (23.7)</v>
      </c>
      <c r="N130" s="4">
        <f>IF(AND(Panchanga!$R130&lt;28.5,Panchanga!$R130&gt;0.49999),MOD((Panchanga!$R130-0.5)*2,7),MOD((Panchanga!$R130+30-28.5),30)*2+7)</f>
        <v>4.4055999999999997</v>
      </c>
      <c r="O130" s="4" t="str">
        <f>CHOOSE(ROUNDUP(Panchanga!$N130,0),"Bhava","Baalava","Kaulava","Taitula","Garija","Vanija","Vishti","Shakuni","Chatushapda","Naaga","Kimstugna")</f>
        <v>Garija</v>
      </c>
      <c r="P130" s="11" t="str">
        <f>CHOOSE(ROUNDUP(Panchanga!$S130,0),"viṣkambha","prīti","āyuṣmāna","saubhāgya","śobhana","atigaṇḍa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("&amp;Panchanga!$S130&amp;")"</f>
        <v>atigaṇḍa  (5.52)</v>
      </c>
      <c r="Q130" s="4">
        <f>IF(AND(Panchanga!$R130&lt;28.5,Panchanga!$R130&gt;0.49999),MOD((Panchanga!$R130-0.5)*2,7),MOD((Panchanga!$R130+30-28.5),30)*2+7)</f>
        <v>4.4055999999999997</v>
      </c>
      <c r="R130" s="4">
        <f>ROUNDUP(MOD(360+P[[#This Row],[Moon]]-P[[#This Row],[Sun]],360)/12,4)</f>
        <v>23.7028</v>
      </c>
      <c r="S130" s="4">
        <f>ROUNDUP(MOD(P[[#This Row],[Sun]]+P[[#This Row],[Moon]],360)/13.333333333,2)</f>
        <v>5.52</v>
      </c>
      <c r="T130" s="4" t="str">
        <f>SIGN(W131-Panchanga!$W130)*INT(Panchanga!$W130/30+1)&amp;"Ma,"&amp;SIGN(X131-Panchanga!$X130)*INT(Panchanga!$X130/30+1)&amp;"Me,"&amp;SIGN(Y131-Panchanga!$Y130)*INT(Panchanga!$Y130/30+1)&amp;"J, "&amp;SIGN(Z131-Panchanga!$Z130)*INT(Panchanga!$Z130/30+1)&amp;"V,"&amp;SIGN(AA131-Panchanga!$AA130)*INT(Panchanga!$AA130/30+1)&amp;"S,"&amp;INT(Panchanga!$AB130/30+1)&amp;"R"</f>
        <v>1Ma,4Me,2J, 3V,-11S,12R</v>
      </c>
      <c r="U130" s="4">
        <f t="shared" si="22"/>
        <v>74.520627991468615</v>
      </c>
      <c r="V130" s="4">
        <f t="shared" si="23"/>
        <v>358.9540142077272</v>
      </c>
      <c r="W130" s="4">
        <f>Planet(Panchanga!$G130,4)</f>
        <v>21.051222364824177</v>
      </c>
      <c r="X130" s="4">
        <f>Planet(Panchanga!$G130,2)</f>
        <v>91.325757175263064</v>
      </c>
      <c r="Y130" s="4">
        <f>Planet(Panchanga!$G130,5)</f>
        <v>43.803834683401696</v>
      </c>
      <c r="Z130" s="4">
        <f>Planet(Panchanga!$G130,3)</f>
        <v>81.462437352243739</v>
      </c>
      <c r="AA130" s="4">
        <f>Planet(Panchanga!$G130,6)</f>
        <v>325.22962178138397</v>
      </c>
      <c r="AB130" s="4">
        <f>Planet(Panchanga!$G130,10)</f>
        <v>347.0938765431124</v>
      </c>
      <c r="AC130" s="4" t="str">
        <f>TEXT(Panchanga!$C130+($C131-Panchanga!$C130)/ABS(IF($R131&lt;1,$R131+30,$R131)-Panchanga!$R130)*(ROUNDUP(Panchanga!$R130,0)-Panchanga!$R130),"hh:mm AM/PM")</f>
        <v>12:20 PM</v>
      </c>
      <c r="AD130" s="4"/>
    </row>
    <row r="131" spans="1:30" x14ac:dyDescent="0.2">
      <c r="A131" s="3">
        <f t="shared" si="25"/>
        <v>45474</v>
      </c>
      <c r="B131" s="3">
        <f t="shared" ref="B131:B194" si="26">A131+TimeZone/24</f>
        <v>45474.229166666664</v>
      </c>
      <c r="C131" s="6">
        <f t="shared" ref="C131:C194" si="27">sunrise(Lat,Long,B131)+TimeZone/24+0.00103009259259259</f>
        <v>45474.241109684262</v>
      </c>
      <c r="D131" s="6">
        <f>sunset(Lat,Long,B131)+TimeZone/24-0.000277777777777778</f>
        <v>45473.777620388704</v>
      </c>
      <c r="E131" s="6">
        <f>PlanetRiseSet(Lat,Long,B131,1,1)+TimeZone/24+0.00103009259259259</f>
        <v>45474.059422861472</v>
      </c>
      <c r="F131" s="6">
        <f>PlanetRiseSet(Lat,Long,B131+1,1,2)+TimeZone/24+0.00103009259259259</f>
        <v>45474.59975334505</v>
      </c>
      <c r="G131" s="17">
        <f>Panchanga!$C131-TimeZone/24</f>
        <v>45474.011943017598</v>
      </c>
      <c r="H131" s="13" t="str">
        <f>INT(P[[#This Row],[Sun]]/30)&amp;"s"&amp;ROUNDUP(MOD(P[[#This Row],[Sun]],30),2)</f>
        <v>2s15.48</v>
      </c>
      <c r="I131" s="13" t="str">
        <f>INT(P[[#This Row],[Moon]]/30)&amp;"s"&amp;ROUNDUP(MOD(P[[#This Row],[Moon]],30),2)</f>
        <v>0s12.96</v>
      </c>
      <c r="J131" s="14">
        <f t="shared" si="24"/>
        <v>45474.011943017598</v>
      </c>
      <c r="K131" s="10" t="str">
        <f>naks(P[[#This Row],[Moon]])</f>
        <v>Aswini</v>
      </c>
      <c r="L131" s="15">
        <f>(C132-P[[#This Row],[SunRise]])/(MOD(360+V132-P[[#This Row],[Moon]],360))*(13.3333333333333-MOD(P[[#This Row],[Moon]],13.333333333333))+P[[#This Row],[SunRise]]</f>
        <v>45474.268412327074</v>
      </c>
      <c r="M131" s="4" t="str">
        <f>IF(Panchanga!$R131&gt;15,"K","S")&amp;ROUNDUP(MOD(Panchanga!$R131,15),0)&amp;" ("&amp;ROUND(Panchanga!$R131,2)&amp;")"</f>
        <v>K10 (24.79)</v>
      </c>
      <c r="N131" s="4">
        <f>IF(AND(Panchanga!$R131&lt;28.5,Panchanga!$R131&gt;0.49999),MOD((Panchanga!$R131-0.5)*2,7),MOD((Panchanga!$R131+30-28.5),30)*2+7)</f>
        <v>6.5799999999999983</v>
      </c>
      <c r="O131" s="4" t="str">
        <f>CHOOSE(ROUNDUP(Panchanga!$N131,0),"Bhava","Baalava","Kaulava","Taitula","Garija","Vanija","Vishti","Shakuni","Chatushapda","Naaga","Kimstugna")</f>
        <v>Vishti</v>
      </c>
      <c r="P131" s="11" t="str">
        <f>CHOOSE(ROUNDUP(Panchanga!$S131,0),"viṣkambha","prīti","āyuṣmāna","saubhāgya","śobhana","atigaṇḍa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("&amp;Panchanga!$S131&amp;")"</f>
        <v>sukarmā  (6.64)</v>
      </c>
      <c r="Q131" s="4">
        <f>IF(AND(Panchanga!$R131&lt;28.5,Panchanga!$R131&gt;0.49999),MOD((Panchanga!$R131-0.5)*2,7),MOD((Panchanga!$R131+30-28.5),30)*2+7)</f>
        <v>6.5799999999999983</v>
      </c>
      <c r="R131" s="4">
        <f>ROUNDUP(MOD(360+P[[#This Row],[Moon]]-P[[#This Row],[Sun]],360)/12,4)</f>
        <v>24.79</v>
      </c>
      <c r="S131" s="4">
        <f>ROUNDUP(MOD(P[[#This Row],[Sun]]+P[[#This Row],[Moon]],360)/13.333333333,2)</f>
        <v>6.64</v>
      </c>
      <c r="T131" s="4" t="str">
        <f>SIGN(W132-Panchanga!$W131)*INT(Panchanga!$W131/30+1)&amp;"Ma,"&amp;SIGN(X132-Panchanga!$X131)*INT(Panchanga!$X131/30+1)&amp;"Me,"&amp;SIGN(Y132-Panchanga!$Y131)*INT(Panchanga!$Y131/30+1)&amp;"J, "&amp;SIGN(Z132-Panchanga!$Z131)*INT(Panchanga!$Z131/30+1)&amp;"V,"&amp;SIGN(AA132-Panchanga!$AA131)*INT(Panchanga!$AA131/30+1)&amp;"S,"&amp;INT(Panchanga!$AB131/30+1)&amp;"R"</f>
        <v>1Ma,4Me,2J, 3V,-11S,12R</v>
      </c>
      <c r="U131" s="4">
        <f t="shared" ref="U131:U194" si="28">Planet($G131,0)</f>
        <v>75.474398265011857</v>
      </c>
      <c r="V131" s="4">
        <f t="shared" ref="V131:V194" si="29">Planet($G131,1)</f>
        <v>12.953755462252966</v>
      </c>
      <c r="W131" s="4">
        <f>Planet(Panchanga!$G131,4)</f>
        <v>21.771805516218972</v>
      </c>
      <c r="X131" s="4">
        <f>Planet(Panchanga!$G131,2)</f>
        <v>93.126929493563594</v>
      </c>
      <c r="Y131" s="4">
        <f>Planet(Panchanga!$G131,5)</f>
        <v>44.020930199187752</v>
      </c>
      <c r="Z131" s="4">
        <f>Planet(Panchanga!$G131,3)</f>
        <v>82.691383848525646</v>
      </c>
      <c r="AA131" s="4">
        <f>Planet(Panchanga!$G131,6)</f>
        <v>325.22839826286855</v>
      </c>
      <c r="AB131" s="4">
        <f>Planet(Panchanga!$G131,10)</f>
        <v>347.04087453276549</v>
      </c>
      <c r="AC131" s="4" t="str">
        <f>TEXT(Panchanga!$C131+($C132-Panchanga!$C131)/ABS(IF($R132&lt;1,$R132+30,$R132)-Panchanga!$R131)*(ROUNDUP(Panchanga!$R131,0)-Panchanga!$R131),"hh:mm AM/PM")</f>
        <v>10:27 AM</v>
      </c>
      <c r="AD131" s="4"/>
    </row>
    <row r="132" spans="1:30" x14ac:dyDescent="0.2">
      <c r="A132" s="3">
        <f t="shared" si="25"/>
        <v>45475</v>
      </c>
      <c r="B132" s="3">
        <f t="shared" si="26"/>
        <v>45475.229166666664</v>
      </c>
      <c r="C132" s="6">
        <f t="shared" si="27"/>
        <v>45475.241301412381</v>
      </c>
      <c r="D132" s="6">
        <f>sunset(Lat,Long,B132)+TimeZone/24-0.000277777777777778</f>
        <v>45474.777697861704</v>
      </c>
      <c r="E132" s="6">
        <f>PlanetRiseSet(Lat,Long,B132,1,1)+TimeZone/24+0.00103009259259259</f>
        <v>45475.091361213628</v>
      </c>
      <c r="F132" s="6">
        <f>PlanetRiseSet(Lat,Long,B132+1,1,2)+TimeZone/24+0.00103009259259259</f>
        <v>45475.640929833207</v>
      </c>
      <c r="G132" s="17">
        <f>Panchanga!$C132-TimeZone/24</f>
        <v>45475.012134745717</v>
      </c>
      <c r="H132" s="13" t="str">
        <f>INT(P[[#This Row],[Sun]]/30)&amp;"s"&amp;ROUNDUP(MOD(P[[#This Row],[Sun]],30),2)</f>
        <v>2s16.43</v>
      </c>
      <c r="I132" s="13" t="str">
        <f>INT(P[[#This Row],[Moon]]/30)&amp;"s"&amp;ROUNDUP(MOD(P[[#This Row],[Moon]],30),2)</f>
        <v>0s26.86</v>
      </c>
      <c r="J132" s="14">
        <f t="shared" si="24"/>
        <v>45475.012134745717</v>
      </c>
      <c r="K132" s="10" t="str">
        <f>naks(P[[#This Row],[Moon]])</f>
        <v>Krittika</v>
      </c>
      <c r="L132" s="15">
        <f>(C133-P[[#This Row],[SunRise]])/(MOD(360+V133-P[[#This Row],[Moon]],360))*(13.3333333333333-MOD(P[[#This Row],[Moon]],13.333333333333))+P[[#This Row],[SunRise]]</f>
        <v>45476.194679159882</v>
      </c>
      <c r="M132" s="4" t="str">
        <f>IF(Panchanga!$R132&gt;15,"K","S")&amp;ROUNDUP(MOD(Panchanga!$R132,15),0)&amp;" ("&amp;ROUND(Panchanga!$R132,2)&amp;")"</f>
        <v>K11 (25.87)</v>
      </c>
      <c r="N132" s="4">
        <f>IF(AND(Panchanga!$R132&lt;28.5,Panchanga!$R132&gt;0.49999),MOD((Panchanga!$R132-0.5)*2,7),MOD((Panchanga!$R132+30-28.5),30)*2+7)</f>
        <v>1.7385999999999981</v>
      </c>
      <c r="O132" s="4" t="str">
        <f>CHOOSE(ROUNDUP(Panchanga!$N132,0),"Bhava","Baalava","Kaulava","Taitula","Garija","Vanija","Vishti","Shakuni","Chatushapda","Naaga","Kimstugna")</f>
        <v>Baalava</v>
      </c>
      <c r="P132" s="11" t="str">
        <f>CHOOSE(ROUNDUP(Panchanga!$S132,0),"viṣkambha","prīti","āyuṣmāna","saubhāgya","śobhana","atigaṇḍa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("&amp;Panchanga!$S132&amp;")"</f>
        <v>dhṛti  (7.75)</v>
      </c>
      <c r="Q132" s="4">
        <f>IF(AND(Panchanga!$R132&lt;28.5,Panchanga!$R132&gt;0.49999),MOD((Panchanga!$R132-0.5)*2,7),MOD((Panchanga!$R132+30-28.5),30)*2+7)</f>
        <v>1.7385999999999981</v>
      </c>
      <c r="R132" s="4">
        <f>ROUNDUP(MOD(360+P[[#This Row],[Moon]]-P[[#This Row],[Sun]],360)/12,4)</f>
        <v>25.869299999999999</v>
      </c>
      <c r="S132" s="4">
        <f>ROUNDUP(MOD(P[[#This Row],[Sun]]+P[[#This Row],[Moon]],360)/13.333333333,2)</f>
        <v>7.75</v>
      </c>
      <c r="T132" s="4" t="str">
        <f>SIGN(W133-Panchanga!$W132)*INT(Panchanga!$W132/30+1)&amp;"Ma,"&amp;SIGN(X133-Panchanga!$X132)*INT(Panchanga!$X132/30+1)&amp;"Me,"&amp;SIGN(Y133-Panchanga!$Y132)*INT(Panchanga!$Y132/30+1)&amp;"J, "&amp;SIGN(Z133-Panchanga!$Z132)*INT(Panchanga!$Z132/30+1)&amp;"V,"&amp;SIGN(AA133-Panchanga!$AA132)*INT(Panchanga!$AA132/30+1)&amp;"S,"&amp;INT(Panchanga!$AB132/30+1)&amp;"R"</f>
        <v>1Ma,4Me,2J, 3V,-11S,12R</v>
      </c>
      <c r="U132" s="4">
        <f t="shared" si="28"/>
        <v>76.42821192458419</v>
      </c>
      <c r="V132" s="4">
        <f t="shared" si="29"/>
        <v>26.859026446061684</v>
      </c>
      <c r="W132" s="4">
        <f>Planet(Panchanga!$G132,4)</f>
        <v>22.491185558951727</v>
      </c>
      <c r="X132" s="4">
        <f>Planet(Panchanga!$G132,2)</f>
        <v>94.892805094513648</v>
      </c>
      <c r="Y132" s="4">
        <f>Planet(Panchanga!$G132,5)</f>
        <v>44.237158385618415</v>
      </c>
      <c r="Z132" s="4">
        <f>Planet(Panchanga!$G132,3)</f>
        <v>83.920388919128982</v>
      </c>
      <c r="AA132" s="4">
        <f>Planet(Panchanga!$G132,6)</f>
        <v>325.22550235347023</v>
      </c>
      <c r="AB132" s="4">
        <f>Planet(Panchanga!$G132,10)</f>
        <v>346.98787238556287</v>
      </c>
      <c r="AC132" s="4" t="str">
        <f>TEXT(Panchanga!$C132+($C133-Panchanga!$C132)/ABS(IF($R133&lt;1,$R133+30,$R133)-Panchanga!$R132)*(ROUNDUP(Panchanga!$R132,0)-Panchanga!$R132),"hh:mm AM/PM")</f>
        <v>08:43 AM</v>
      </c>
      <c r="AD132" s="4"/>
    </row>
    <row r="133" spans="1:30" x14ac:dyDescent="0.2">
      <c r="A133" s="3">
        <f t="shared" si="25"/>
        <v>45476</v>
      </c>
      <c r="B133" s="3">
        <f t="shared" si="26"/>
        <v>45476.229166666664</v>
      </c>
      <c r="C133" s="6">
        <f t="shared" si="27"/>
        <v>45476.24149539756</v>
      </c>
      <c r="D133" s="6">
        <f>sunset(Lat,Long,B133)+TimeZone/24-0.000277777777777778</f>
        <v>45475.777766964908</v>
      </c>
      <c r="E133" s="6">
        <f>PlanetRiseSet(Lat,Long,B133,1,1)+TimeZone/24+0.00103009259259259</f>
        <v>45476.126182498097</v>
      </c>
      <c r="F133" s="6">
        <f>PlanetRiseSet(Lat,Long,B133+1,1,2)+TimeZone/24+0.00103009259259259</f>
        <v>45476.68328891151</v>
      </c>
      <c r="G133" s="17">
        <f>Panchanga!$C133-TimeZone/24</f>
        <v>45476.012328730896</v>
      </c>
      <c r="H133" s="13" t="str">
        <f>INT(P[[#This Row],[Sun]]/30)&amp;"s"&amp;ROUNDUP(MOD(P[[#This Row],[Sun]],30),2)</f>
        <v>2s17.39</v>
      </c>
      <c r="I133" s="13" t="str">
        <f>INT(P[[#This Row],[Moon]]/30)&amp;"s"&amp;ROUNDUP(MOD(P[[#This Row],[Moon]],30),2)</f>
        <v>1s10.65</v>
      </c>
      <c r="J133" s="14">
        <f t="shared" si="24"/>
        <v>45476.012328730896</v>
      </c>
      <c r="K133" s="10" t="str">
        <f>naks(P[[#This Row],[Moon]])</f>
        <v>Rohini</v>
      </c>
      <c r="L133" s="15">
        <f>(C134-P[[#This Row],[SunRise]])/(MOD(360+V134-P[[#This Row],[Moon]],360))*(13.3333333333333-MOD(P[[#This Row],[Moon]],13.333333333333))+P[[#This Row],[SunRise]]</f>
        <v>45477.172339940131</v>
      </c>
      <c r="M133" s="4" t="str">
        <f>IF(Panchanga!$R133&gt;15,"K","S")&amp;ROUNDUP(MOD(Panchanga!$R133,15),0)&amp;" ("&amp;ROUND(Panchanga!$R133,2)&amp;")"</f>
        <v>K12 (26.94)</v>
      </c>
      <c r="N133" s="4">
        <f>IF(AND(Panchanga!$R133&lt;28.5,Panchanga!$R133&gt;0.49999),MOD((Panchanga!$R133-0.5)*2,7),MOD((Panchanga!$R133+30-28.5),30)*2+7)</f>
        <v>3.8774000000000015</v>
      </c>
      <c r="O133" s="4" t="str">
        <f>CHOOSE(ROUNDUP(Panchanga!$N133,0),"Bhava","Baalava","Kaulava","Taitula","Garija","Vanija","Vishti","Shakuni","Chatushapda","Naaga","Kimstugna")</f>
        <v>Taitula</v>
      </c>
      <c r="P133" s="11" t="str">
        <f>CHOOSE(ROUNDUP(Panchanga!$S133,0),"viṣkambha","prīti","āyuṣmāna","saubhāgya","śobhana","atigaṇḍa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("&amp;Panchanga!$S133&amp;")"</f>
        <v>śūla  (8.86)</v>
      </c>
      <c r="Q133" s="4">
        <f>IF(AND(Panchanga!$R133&lt;28.5,Panchanga!$R133&gt;0.49999),MOD((Panchanga!$R133-0.5)*2,7),MOD((Panchanga!$R133+30-28.5),30)*2+7)</f>
        <v>3.8774000000000015</v>
      </c>
      <c r="R133" s="4">
        <f>ROUNDUP(MOD(360+P[[#This Row],[Moon]]-P[[#This Row],[Sun]],360)/12,4)</f>
        <v>26.938700000000001</v>
      </c>
      <c r="S133" s="4">
        <f>ROUNDUP(MOD(P[[#This Row],[Sun]]+P[[#This Row],[Moon]],360)/13.333333333,2)</f>
        <v>8.86</v>
      </c>
      <c r="T133" s="4" t="str">
        <f>SIGN(W134-Panchanga!$W133)*INT(Panchanga!$W133/30+1)&amp;"Ma,"&amp;SIGN(X134-Panchanga!$X133)*INT(Panchanga!$X133/30+1)&amp;"Me,"&amp;SIGN(Y134-Panchanga!$Y133)*INT(Panchanga!$Y133/30+1)&amp;"J, "&amp;SIGN(Z134-Panchanga!$Z133)*INT(Panchanga!$Z133/30+1)&amp;"V,"&amp;SIGN(AA134-Panchanga!$AA133)*INT(Panchanga!$AA133/30+1)&amp;"S,"&amp;INT(Panchanga!$AB133/30+1)&amp;"R"</f>
        <v>1Ma,4Me,2J, 3V,-11S,12R</v>
      </c>
      <c r="U133" s="4">
        <f t="shared" si="28"/>
        <v>77.382065951736294</v>
      </c>
      <c r="V133" s="4">
        <f t="shared" si="29"/>
        <v>40.645296098917186</v>
      </c>
      <c r="W133" s="4">
        <f>Planet(Panchanga!$G133,4)</f>
        <v>23.209337807626412</v>
      </c>
      <c r="X133" s="4">
        <f>Planet(Panchanga!$G133,2)</f>
        <v>96.623288450991296</v>
      </c>
      <c r="Y133" s="4">
        <f>Planet(Panchanga!$G133,5)</f>
        <v>44.452494353551366</v>
      </c>
      <c r="Z133" s="4">
        <f>Planet(Panchanga!$G133,3)</f>
        <v>85.14944689794595</v>
      </c>
      <c r="AA133" s="4">
        <f>Planet(Panchanga!$G133,6)</f>
        <v>325.22093473123931</v>
      </c>
      <c r="AB133" s="4">
        <f>Planet(Panchanga!$G133,10)</f>
        <v>346.93487011868643</v>
      </c>
      <c r="AC133" s="4" t="str">
        <f>TEXT(Panchanga!$C133+($C134-Panchanga!$C133)/ABS(IF($R134&lt;1,$R134+30,$R134)-Panchanga!$R133)*(ROUNDUP(Panchanga!$R133,0)-Panchanga!$R133),"hh:mm AM/PM")</f>
        <v>07:11 AM</v>
      </c>
      <c r="AD133" s="4"/>
    </row>
    <row r="134" spans="1:30" x14ac:dyDescent="0.2">
      <c r="A134" s="3">
        <f t="shared" si="25"/>
        <v>45477</v>
      </c>
      <c r="B134" s="3">
        <f t="shared" si="26"/>
        <v>45477.229166666664</v>
      </c>
      <c r="C134" s="6">
        <f t="shared" si="27"/>
        <v>45477.241691304989</v>
      </c>
      <c r="D134" s="6">
        <f>sunset(Lat,Long,B134)+TimeZone/24-0.000277777777777778</f>
        <v>45476.777827462225</v>
      </c>
      <c r="E134" s="6">
        <f>PlanetRiseSet(Lat,Long,B134,1,1)+TimeZone/24+0.00103009259259259</f>
        <v>45477.163987860236</v>
      </c>
      <c r="F134" s="6">
        <f>PlanetRiseSet(Lat,Long,B134+1,1,2)+TimeZone/24+0.00103009259259259</f>
        <v>45477.725654929098</v>
      </c>
      <c r="G134" s="17">
        <f>Panchanga!$C134-TimeZone/24</f>
        <v>45477.012524638325</v>
      </c>
      <c r="H134" s="13" t="str">
        <f>INT(P[[#This Row],[Sun]]/30)&amp;"s"&amp;ROUNDUP(MOD(P[[#This Row],[Sun]],30),2)</f>
        <v>2s18.34</v>
      </c>
      <c r="I134" s="13" t="str">
        <f>INT(P[[#This Row],[Moon]]/30)&amp;"s"&amp;ROUNDUP(MOD(P[[#This Row],[Moon]],30),2)</f>
        <v>1s24.28</v>
      </c>
      <c r="J134" s="14">
        <f t="shared" si="24"/>
        <v>45477.012524638325</v>
      </c>
      <c r="K134" s="10" t="str">
        <f>naks(P[[#This Row],[Moon]])</f>
        <v>Mrigashira</v>
      </c>
      <c r="L134" s="15">
        <f>(C135-P[[#This Row],[SunRise]])/(MOD(360+V135-P[[#This Row],[Moon]],360))*(13.3333333333333-MOD(P[[#This Row],[Moon]],13.333333333333))+P[[#This Row],[SunRise]]</f>
        <v>45478.163563093622</v>
      </c>
      <c r="M134" s="4" t="str">
        <f>IF(Panchanga!$R134&gt;15,"K","S")&amp;ROUNDUP(MOD(Panchanga!$R134,15),0)&amp;" ("&amp;ROUND(Panchanga!$R134,2)&amp;")"</f>
        <v>K13 (28)</v>
      </c>
      <c r="N134" s="4">
        <f>IF(AND(Panchanga!$R134&lt;28.5,Panchanga!$R134&gt;0.49999),MOD((Panchanga!$R134-0.5)*2,7),MOD((Panchanga!$R134+30-28.5),30)*2+7)</f>
        <v>5.9906000000000006</v>
      </c>
      <c r="O134" s="4" t="str">
        <f>CHOOSE(ROUNDUP(Panchanga!$N134,0),"Bhava","Baalava","Kaulava","Taitula","Garija","Vanija","Vishti","Shakuni","Chatushapda","Naaga","Kimstugna")</f>
        <v>Vanija</v>
      </c>
      <c r="P134" s="11" t="str">
        <f>CHOOSE(ROUNDUP(Panchanga!$S134,0),"viṣkambha","prīti","āyuṣmāna","saubhāgya","śobhana","atigaṇḍa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("&amp;Panchanga!$S134&amp;")"</f>
        <v>gaṇḍa  (9.95)</v>
      </c>
      <c r="Q134" s="4">
        <f>IF(AND(Panchanga!$R134&lt;28.5,Panchanga!$R134&gt;0.49999),MOD((Panchanga!$R134-0.5)*2,7),MOD((Panchanga!$R134+30-28.5),30)*2+7)</f>
        <v>5.9906000000000006</v>
      </c>
      <c r="R134" s="4">
        <f>ROUNDUP(MOD(360+P[[#This Row],[Moon]]-P[[#This Row],[Sun]],360)/12,4)</f>
        <v>27.9953</v>
      </c>
      <c r="S134" s="4">
        <f>ROUNDUP(MOD(P[[#This Row],[Sun]]+P[[#This Row],[Moon]],360)/13.333333333,2)</f>
        <v>9.9499999999999993</v>
      </c>
      <c r="T134" s="4" t="str">
        <f>SIGN(W135-Panchanga!$W134)*INT(Panchanga!$W134/30+1)&amp;"Ma,"&amp;SIGN(X135-Panchanga!$X134)*INT(Panchanga!$X134/30+1)&amp;"Me,"&amp;SIGN(Y135-Panchanga!$Y134)*INT(Panchanga!$Y134/30+1)&amp;"J, "&amp;SIGN(Z135-Panchanga!$Z134)*INT(Panchanga!$Z134/30+1)&amp;"V,"&amp;SIGN(AA135-Panchanga!$AA134)*INT(Panchanga!$AA134/30+1)&amp;"S,"&amp;INT(Panchanga!$AB134/30+1)&amp;"R"</f>
        <v>1Ma,4Me,2J, 3V,-11S,12R</v>
      </c>
      <c r="U134" s="4">
        <f t="shared" si="28"/>
        <v>78.33595445994932</v>
      </c>
      <c r="V134" s="4">
        <f t="shared" si="29"/>
        <v>54.278639084534895</v>
      </c>
      <c r="W134" s="4">
        <f>Planet(Panchanga!$G134,4)</f>
        <v>23.926238057786311</v>
      </c>
      <c r="X134" s="4">
        <f>Planet(Panchanga!$G134,2)</f>
        <v>98.318310268271617</v>
      </c>
      <c r="Y134" s="4">
        <f>Planet(Panchanga!$G134,5)</f>
        <v>44.666912903337021</v>
      </c>
      <c r="Z134" s="4">
        <f>Planet(Panchanga!$G134,3)</f>
        <v>86.378550148628833</v>
      </c>
      <c r="AA134" s="4">
        <f>Planet(Panchanga!$G134,6)</f>
        <v>325.21469724294445</v>
      </c>
      <c r="AB134" s="4">
        <f>Planet(Panchanga!$G134,10)</f>
        <v>346.88186774993119</v>
      </c>
      <c r="AC134" s="4" t="str">
        <f>TEXT(Panchanga!$C134+($C135-Panchanga!$C134)/ABS(IF($R135&lt;1,$R135+30,$R135)-Panchanga!$R134)*(ROUNDUP(Panchanga!$R134,0)-Panchanga!$R134),"hh:mm AM/PM")</f>
        <v>05:54 AM</v>
      </c>
      <c r="AD134" s="4"/>
    </row>
    <row r="135" spans="1:30" x14ac:dyDescent="0.2">
      <c r="A135" s="3">
        <f t="shared" si="25"/>
        <v>45478</v>
      </c>
      <c r="B135" s="3">
        <f t="shared" si="26"/>
        <v>45478.229166666664</v>
      </c>
      <c r="C135" s="6">
        <f t="shared" si="27"/>
        <v>45478.241888794269</v>
      </c>
      <c r="D135" s="6">
        <f>sunset(Lat,Long,B135)+TimeZone/24-0.000277777777777778</f>
        <v>45477.777879119894</v>
      </c>
      <c r="E135" s="6">
        <f>PlanetRiseSet(Lat,Long,B135,1,1)+TimeZone/24+0.00103009259259259</f>
        <v>45478.204052104767</v>
      </c>
      <c r="F135" s="6">
        <f>PlanetRiseSet(Lat,Long,B135+1,1,2)+TimeZone/24+0.00103009259259259</f>
        <v>45478.76637164798</v>
      </c>
      <c r="G135" s="17">
        <f>Panchanga!$C135-TimeZone/24</f>
        <v>45478.012722127605</v>
      </c>
      <c r="H135" s="13" t="str">
        <f>INT(P[[#This Row],[Sun]]/30)&amp;"s"&amp;ROUNDUP(MOD(P[[#This Row],[Sun]],30),2)</f>
        <v>2s19.29</v>
      </c>
      <c r="I135" s="13" t="str">
        <f>INT(P[[#This Row],[Moon]]/30)&amp;"s"&amp;ROUNDUP(MOD(P[[#This Row],[Moon]],30),2)</f>
        <v>2s7.72</v>
      </c>
      <c r="J135" s="14">
        <f t="shared" si="24"/>
        <v>45478.012722127605</v>
      </c>
      <c r="K135" s="10" t="str">
        <f>naks(P[[#This Row],[Moon]])</f>
        <v>Ardra</v>
      </c>
      <c r="L135" s="15">
        <f>(C136-P[[#This Row],[SunRise]])/(MOD(360+V136-P[[#This Row],[Moon]],360))*(13.3333333333333-MOD(P[[#This Row],[Moon]],13.333333333333))+P[[#This Row],[SunRise]]</f>
        <v>45479.171811316162</v>
      </c>
      <c r="M135" s="4" t="str">
        <f>IF(Panchanga!$R135&gt;15,"K","S")&amp;ROUNDUP(MOD(Panchanga!$R135,15),0)&amp;" ("&amp;ROUND(Panchanga!$R135,2)&amp;")"</f>
        <v>K15 (29.04)</v>
      </c>
      <c r="N135" s="4">
        <f>IF(AND(Panchanga!$R135&lt;28.5,Panchanga!$R135&gt;0.49999),MOD((Panchanga!$R135-0.5)*2,7),MOD((Panchanga!$R135+30-28.5),30)*2+7)</f>
        <v>8.0715999999999894</v>
      </c>
      <c r="O135" s="4" t="str">
        <f>CHOOSE(ROUNDUP(Panchanga!$N135,0),"Bhava","Baalava","Kaulava","Taitula","Garija","Vanija","Vishti","Shakuni","Chatushapda","Naaga","Kimstugna")</f>
        <v>Chatushapda</v>
      </c>
      <c r="P135" s="11" t="str">
        <f>CHOOSE(ROUNDUP(Panchanga!$S135,0),"viṣkambha","prīti","āyuṣmāna","saubhāgya","śobhana","atigaṇḍa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("&amp;Panchanga!$S135&amp;")"</f>
        <v>dhruva  (11.03)</v>
      </c>
      <c r="Q135" s="4">
        <f>IF(AND(Panchanga!$R135&lt;28.5,Panchanga!$R135&gt;0.49999),MOD((Panchanga!$R135-0.5)*2,7),MOD((Panchanga!$R135+30-28.5),30)*2+7)</f>
        <v>8.0715999999999894</v>
      </c>
      <c r="R135" s="4">
        <f>ROUNDUP(MOD(360+P[[#This Row],[Moon]]-P[[#This Row],[Sun]],360)/12,4)</f>
        <v>29.035799999999998</v>
      </c>
      <c r="S135" s="4">
        <f>ROUNDUP(MOD(P[[#This Row],[Sun]]+P[[#This Row],[Moon]],360)/13.333333333,2)</f>
        <v>11.03</v>
      </c>
      <c r="T135" s="4" t="str">
        <f>SIGN(W136-Panchanga!$W135)*INT(Panchanga!$W135/30+1)&amp;"Ma,"&amp;SIGN(X136-Panchanga!$X135)*INT(Panchanga!$X135/30+1)&amp;"Me,"&amp;SIGN(Y136-Panchanga!$Y135)*INT(Panchanga!$Y135/30+1)&amp;"J, "&amp;SIGN(Z136-Panchanga!$Z135)*INT(Panchanga!$Z135/30+1)&amp;"V,"&amp;SIGN(AA136-Panchanga!$AA135)*INT(Panchanga!$AA135/30+1)&amp;"S,"&amp;INT(Panchanga!$AB135/30+1)&amp;"R"</f>
        <v>1Ma,4Me,2J, 3V,-11S,12R</v>
      </c>
      <c r="U135" s="4">
        <f t="shared" si="28"/>
        <v>79.289869705334411</v>
      </c>
      <c r="V135" s="4">
        <f t="shared" si="29"/>
        <v>67.719200166430184</v>
      </c>
      <c r="W135" s="4">
        <f>Planet(Panchanga!$G135,4)</f>
        <v>24.641863180448635</v>
      </c>
      <c r="X135" s="4">
        <f>Planet(Panchanga!$G135,2)</f>
        <v>99.977805224330112</v>
      </c>
      <c r="Y135" s="4">
        <f>Planet(Panchanga!$G135,5)</f>
        <v>44.880388760031892</v>
      </c>
      <c r="Z135" s="4">
        <f>Planet(Panchanga!$G135,3)</f>
        <v>87.607689573429212</v>
      </c>
      <c r="AA135" s="4">
        <f>Planet(Panchanga!$G135,6)</f>
        <v>325.20679293376651</v>
      </c>
      <c r="AB135" s="4">
        <f>Planet(Panchanga!$G135,10)</f>
        <v>346.82886529739022</v>
      </c>
      <c r="AC135" s="4" t="str">
        <f>TEXT(Panchanga!$C135+($C136-Panchanga!$C135)/ABS(IF($R136&lt;1,$R136+30,$R136)-Panchanga!$R135)*(ROUNDUP(Panchanga!$R135,0)-Panchanga!$R135),"hh:mm AM/PM")</f>
        <v>04:28 AM</v>
      </c>
      <c r="AD135" s="4"/>
    </row>
    <row r="136" spans="1:30" x14ac:dyDescent="0.2">
      <c r="A136" s="3">
        <f t="shared" si="25"/>
        <v>45479</v>
      </c>
      <c r="B136" s="3">
        <f t="shared" si="26"/>
        <v>45479.229166666664</v>
      </c>
      <c r="C136" s="6">
        <f t="shared" si="27"/>
        <v>45479.2420875264</v>
      </c>
      <c r="D136" s="6">
        <f>sunset(Lat,Long,B136)+TimeZone/24-0.000277777777777778</f>
        <v>45478.777921706016</v>
      </c>
      <c r="E136" s="6">
        <f>PlanetRiseSet(Lat,Long,B136,1,1)+TimeZone/24+0.00103009259259259</f>
        <v>45479.244921466488</v>
      </c>
      <c r="F136" s="6">
        <f>PlanetRiseSet(Lat,Long,B136+1,1,2)+TimeZone/24+0.00103009259259259</f>
        <v>45479.803989377491</v>
      </c>
      <c r="G136" s="17">
        <f>Panchanga!$C136-TimeZone/24</f>
        <v>45479.012920859735</v>
      </c>
      <c r="H136" s="13" t="str">
        <f>INT(P[[#This Row],[Sun]]/30)&amp;"s"&amp;ROUNDUP(MOD(P[[#This Row],[Sun]],30),2)</f>
        <v>2s20.25</v>
      </c>
      <c r="I136" s="13" t="str">
        <f>INT(P[[#This Row],[Moon]]/30)&amp;"s"&amp;ROUNDUP(MOD(P[[#This Row],[Moon]],30),2)</f>
        <v>2s20.93</v>
      </c>
      <c r="J136" s="14">
        <f t="shared" si="24"/>
        <v>45479.012920859735</v>
      </c>
      <c r="K136" s="10" t="str">
        <f>naks(P[[#This Row],[Moon]])</f>
        <v>Punarvasu</v>
      </c>
      <c r="L136" s="15">
        <f>(C137-P[[#This Row],[SunRise]])/(MOD(360+V137-P[[#This Row],[Moon]],360))*(13.3333333333333-MOD(P[[#This Row],[Moon]],13.333333333333))+P[[#This Row],[SunRise]]</f>
        <v>45480.200409245037</v>
      </c>
      <c r="M136" s="4" t="str">
        <f>IF(Panchanga!$R136&gt;15,"K","S")&amp;ROUNDUP(MOD(Panchanga!$R136,15),0)&amp;" ("&amp;ROUND(Panchanga!$R136,2)&amp;")"</f>
        <v>S1 (0.06)</v>
      </c>
      <c r="N136" s="4">
        <f>IF(AND(Panchanga!$R136&lt;28.5,Panchanga!$R136&gt;0.49999),MOD((Panchanga!$R136-0.5)*2,7),MOD((Panchanga!$R136+30-28.5),30)*2+7)</f>
        <v>10.114199999999997</v>
      </c>
      <c r="O136" s="4" t="str">
        <f>CHOOSE(ROUNDUP(Panchanga!$N136,0),"Bhava","Baalava","Kaulava","Taitula","Garija","Vanija","Vishti","Shakuni","Chatushapda","Naaga","Kimstugna")</f>
        <v>Kimstugna</v>
      </c>
      <c r="P136" s="11" t="str">
        <f>CHOOSE(ROUNDUP(Panchanga!$S136,0),"viṣkambha","prīti","āyuṣmāna","saubhāgya","śobhana","atigaṇḍa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("&amp;Panchanga!$S136&amp;")"</f>
        <v>vyāghāta (12.09)</v>
      </c>
      <c r="Q136" s="4">
        <f>IF(AND(Panchanga!$R136&lt;28.5,Panchanga!$R136&gt;0.49999),MOD((Panchanga!$R136-0.5)*2,7),MOD((Panchanga!$R136+30-28.5),30)*2+7)</f>
        <v>10.114199999999997</v>
      </c>
      <c r="R136" s="4">
        <f>ROUNDUP(MOD(360+P[[#This Row],[Moon]]-P[[#This Row],[Sun]],360)/12,4)</f>
        <v>5.7100000000000005E-2</v>
      </c>
      <c r="S136" s="4">
        <f>ROUNDUP(MOD(P[[#This Row],[Sun]]+P[[#This Row],[Moon]],360)/13.333333333,2)</f>
        <v>12.09</v>
      </c>
      <c r="T136" s="4" t="str">
        <f>SIGN(W137-Panchanga!$W136)*INT(Panchanga!$W136/30+1)&amp;"Ma,"&amp;SIGN(X137-Panchanga!$X136)*INT(Panchanga!$X136/30+1)&amp;"Me,"&amp;SIGN(Y137-Panchanga!$Y136)*INT(Panchanga!$Y136/30+1)&amp;"J, "&amp;SIGN(Z137-Panchanga!$Z136)*INT(Panchanga!$Z136/30+1)&amp;"V,"&amp;SIGN(AA137-Panchanga!$AA136)*INT(Panchanga!$AA136/30+1)&amp;"S,"&amp;INT(Panchanga!$AB136/30+1)&amp;"R"</f>
        <v>1Ma,4Me,2J, 3V,-11S,12R</v>
      </c>
      <c r="U136" s="4">
        <f t="shared" si="28"/>
        <v>80.243803092392966</v>
      </c>
      <c r="V136" s="4">
        <f t="shared" si="29"/>
        <v>80.928085997092168</v>
      </c>
      <c r="W136" s="4">
        <f>Planet(Panchanga!$G136,4)</f>
        <v>25.356191588089551</v>
      </c>
      <c r="X136" s="4">
        <f>Planet(Panchanga!$G136,2)</f>
        <v>101.60169299264157</v>
      </c>
      <c r="Y136" s="4">
        <f>Planet(Panchanga!$G136,5)</f>
        <v>45.092896781677993</v>
      </c>
      <c r="Z136" s="4">
        <f>Planet(Panchanga!$G136,3)</f>
        <v>88.836855144687732</v>
      </c>
      <c r="AA136" s="4">
        <f>Planet(Panchanga!$G136,6)</f>
        <v>325.19722603172147</v>
      </c>
      <c r="AB136" s="4">
        <f>Planet(Panchanga!$G136,10)</f>
        <v>346.77586277899093</v>
      </c>
      <c r="AC136" s="4" t="str">
        <f>TEXT(Panchanga!$C136+($C137-Panchanga!$C136)/ABS(IF($R137&lt;1,$R137+30,$R137)-Panchanga!$R136)*(ROUNDUP(Panchanga!$R136,0)-Panchanga!$R136),"hh:mm AM/PM")</f>
        <v>04:27 AM</v>
      </c>
      <c r="AD136" s="4"/>
    </row>
    <row r="137" spans="1:30" x14ac:dyDescent="0.2">
      <c r="A137" s="3">
        <f t="shared" si="25"/>
        <v>45480</v>
      </c>
      <c r="B137" s="3">
        <f t="shared" si="26"/>
        <v>45480.229166666664</v>
      </c>
      <c r="C137" s="6">
        <f t="shared" si="27"/>
        <v>45480.242287167035</v>
      </c>
      <c r="D137" s="6">
        <f>sunset(Lat,Long,B137)+TimeZone/24-0.000277777777777778</f>
        <v>45479.777954998935</v>
      </c>
      <c r="E137" s="6">
        <f>PlanetRiseSet(Lat,Long,B137,1,1)+TimeZone/24+0.00103009259259259</f>
        <v>45480.284974033631</v>
      </c>
      <c r="F137" s="6">
        <f>PlanetRiseSet(Lat,Long,B137+1,1,2)+TimeZone/24+0.00103009259259259</f>
        <v>45480.837812910475</v>
      </c>
      <c r="G137" s="17">
        <f>Panchanga!$C137-TimeZone/24</f>
        <v>45480.013120500371</v>
      </c>
      <c r="H137" s="13" t="str">
        <f>INT(P[[#This Row],[Sun]]/30)&amp;"s"&amp;ROUNDUP(MOD(P[[#This Row],[Sun]],30),2)</f>
        <v>2s21.2</v>
      </c>
      <c r="I137" s="13" t="str">
        <f>INT(P[[#This Row],[Moon]]/30)&amp;"s"&amp;ROUNDUP(MOD(P[[#This Row],[Moon]],30),2)</f>
        <v>3s3.88</v>
      </c>
      <c r="J137" s="14">
        <f t="shared" si="24"/>
        <v>45480.013120500371</v>
      </c>
      <c r="K137" s="10" t="str">
        <f>naks(P[[#This Row],[Moon]])</f>
        <v>Pushya</v>
      </c>
      <c r="L137" s="15">
        <f>(C138-P[[#This Row],[SunRise]])/(MOD(360+V138-P[[#This Row],[Moon]],360))*(13.3333333333333-MOD(P[[#This Row],[Moon]],13.333333333333))+P[[#This Row],[SunRise]]</f>
        <v>45481.251902866425</v>
      </c>
      <c r="M137" s="4" t="str">
        <f>IF(Panchanga!$R137&gt;15,"K","S")&amp;ROUNDUP(MOD(Panchanga!$R137,15),0)&amp;" ("&amp;ROUND(Panchanga!$R137,2)&amp;")"</f>
        <v>S2 (1.06)</v>
      </c>
      <c r="N137" s="4">
        <f>IF(AND(Panchanga!$R137&lt;28.5,Panchanga!$R137&gt;0.49999),MOD((Panchanga!$R137-0.5)*2,7),MOD((Panchanga!$R137+30-28.5),30)*2+7)</f>
        <v>1.113</v>
      </c>
      <c r="O137" s="4" t="str">
        <f>CHOOSE(ROUNDUP(Panchanga!$N137,0),"Bhava","Baalava","Kaulava","Taitula","Garija","Vanija","Vishti","Shakuni","Chatushapda","Naaga","Kimstugna")</f>
        <v>Baalava</v>
      </c>
      <c r="P137" s="11" t="str">
        <f>CHOOSE(ROUNDUP(Panchanga!$S137,0),"viṣkambha","prīti","āyuṣmāna","saubhāgya","śobhana","atigaṇḍa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("&amp;Panchanga!$S137&amp;")"</f>
        <v>harṣaṇa (13.14)</v>
      </c>
      <c r="Q137" s="4">
        <f>IF(AND(Panchanga!$R137&lt;28.5,Panchanga!$R137&gt;0.49999),MOD((Panchanga!$R137-0.5)*2,7),MOD((Panchanga!$R137+30-28.5),30)*2+7)</f>
        <v>1.113</v>
      </c>
      <c r="R137" s="4">
        <f>ROUNDUP(MOD(360+P[[#This Row],[Moon]]-P[[#This Row],[Sun]],360)/12,4)</f>
        <v>1.0565</v>
      </c>
      <c r="S137" s="4">
        <f>ROUNDUP(MOD(P[[#This Row],[Sun]]+P[[#This Row],[Moon]],360)/13.333333333,2)</f>
        <v>13.14</v>
      </c>
      <c r="T137" s="4" t="str">
        <f>SIGN(W138-Panchanga!$W137)*INT(Panchanga!$W137/30+1)&amp;"Ma,"&amp;SIGN(X138-Panchanga!$X137)*INT(Panchanga!$X137/30+1)&amp;"Me,"&amp;SIGN(Y138-Panchanga!$Y137)*INT(Panchanga!$Y137/30+1)&amp;"J, "&amp;SIGN(Z138-Panchanga!$Z137)*INT(Panchanga!$Z137/30+1)&amp;"V,"&amp;SIGN(AA138-Panchanga!$AA137)*INT(Panchanga!$AA137/30+1)&amp;"S,"&amp;INT(Panchanga!$AB137/30+1)&amp;"R"</f>
        <v>1Ma,4Me,2J, 4V,-11S,12R</v>
      </c>
      <c r="U137" s="4">
        <f t="shared" si="28"/>
        <v>81.197746117851253</v>
      </c>
      <c r="V137" s="4">
        <f t="shared" si="29"/>
        <v>93.875433100305059</v>
      </c>
      <c r="W137" s="4">
        <f>Planet(Panchanga!$G137,4)</f>
        <v>26.069203557338572</v>
      </c>
      <c r="X137" s="4">
        <f>Planet(Panchanga!$G137,2)</f>
        <v>103.18986204452</v>
      </c>
      <c r="Y137" s="4">
        <f>Planet(Panchanga!$G137,5)</f>
        <v>45.304412128144236</v>
      </c>
      <c r="Z137" s="4">
        <f>Planet(Panchanga!$G137,3)</f>
        <v>90.066036413564802</v>
      </c>
      <c r="AA137" s="4">
        <f>Planet(Panchanga!$G137,6)</f>
        <v>325.18600189740516</v>
      </c>
      <c r="AB137" s="4">
        <f>Planet(Panchanga!$G137,10)</f>
        <v>346.72286021246197</v>
      </c>
      <c r="AC137" s="4" t="str">
        <f>TEXT(Panchanga!$C137+($C138-Panchanga!$C137)/ABS(IF($R138&lt;1,$R138+30,$R138)-Panchanga!$R137)*(ROUNDUP(Panchanga!$R137,0)-Panchanga!$R137),"hh:mm AM/PM")</f>
        <v>05:00 AM</v>
      </c>
      <c r="AD137" s="4"/>
    </row>
    <row r="138" spans="1:30" x14ac:dyDescent="0.2">
      <c r="A138" s="3">
        <f t="shared" si="25"/>
        <v>45481</v>
      </c>
      <c r="B138" s="3">
        <f t="shared" si="26"/>
        <v>45481.229166666664</v>
      </c>
      <c r="C138" s="6">
        <f t="shared" si="27"/>
        <v>45481.24248738835</v>
      </c>
      <c r="D138" s="6">
        <f>sunset(Lat,Long,B138)+TimeZone/24-0.000277777777777778</f>
        <v>45480.777978788639</v>
      </c>
      <c r="E138" s="6">
        <f>PlanetRiseSet(Lat,Long,B138,1,1)+TimeZone/24+0.00103009259259259</f>
        <v>45481.323060011644</v>
      </c>
      <c r="F138" s="6">
        <f>PlanetRiseSet(Lat,Long,B138+1,1,2)+TimeZone/24+0.00103009259259259</f>
        <v>45481.867948723178</v>
      </c>
      <c r="G138" s="17">
        <f>Panchanga!$C138-TimeZone/24</f>
        <v>45481.013320721686</v>
      </c>
      <c r="H138" s="13" t="str">
        <f>INT(P[[#This Row],[Sun]]/30)&amp;"s"&amp;ROUNDUP(MOD(P[[#This Row],[Sun]],30),2)</f>
        <v>2s22.16</v>
      </c>
      <c r="I138" s="13" t="str">
        <f>INT(P[[#This Row],[Moon]]/30)&amp;"s"&amp;ROUNDUP(MOD(P[[#This Row],[Moon]],30),2)</f>
        <v>3s16.55</v>
      </c>
      <c r="J138" s="14">
        <f t="shared" ref="J138:J201" si="30">G138</f>
        <v>45481.013320721686</v>
      </c>
      <c r="K138" s="10" t="str">
        <f>naks(P[[#This Row],[Moon]])</f>
        <v>Pushya</v>
      </c>
      <c r="L138" s="15">
        <f>(C139-P[[#This Row],[SunRise]])/(MOD(360+V139-P[[#This Row],[Moon]],360))*(13.3333333333333-MOD(P[[#This Row],[Moon]],13.333333333333))+P[[#This Row],[SunRise]]</f>
        <v>45481.252106941043</v>
      </c>
      <c r="M138" s="4" t="str">
        <f>IF(Panchanga!$R138&gt;15,"K","S")&amp;ROUNDUP(MOD(Panchanga!$R138,15),0)&amp;" ("&amp;ROUND(Panchanga!$R138,2)&amp;")"</f>
        <v>S3 (2.03)</v>
      </c>
      <c r="N138" s="4">
        <f>IF(AND(Panchanga!$R138&lt;28.5,Panchanga!$R138&gt;0.49999),MOD((Panchanga!$R138-0.5)*2,7),MOD((Panchanga!$R138+30-28.5),30)*2+7)</f>
        <v>3.0660000000000007</v>
      </c>
      <c r="O138" s="4" t="str">
        <f>CHOOSE(ROUNDUP(Panchanga!$N138,0),"Bhava","Baalava","Kaulava","Taitula","Garija","Vanija","Vishti","Shakuni","Chatushapda","Naaga","Kimstugna")</f>
        <v>Taitula</v>
      </c>
      <c r="P138" s="11" t="str">
        <f>CHOOSE(ROUNDUP(Panchanga!$S138,0),"viṣkambha","prīti","āyuṣmāna","saubhāgya","śobhana","atigaṇḍa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("&amp;Panchanga!$S138&amp;")"</f>
        <v>vajra (14.16)</v>
      </c>
      <c r="Q138" s="4">
        <f>IF(AND(Panchanga!$R138&lt;28.5,Panchanga!$R138&gt;0.49999),MOD((Panchanga!$R138-0.5)*2,7),MOD((Panchanga!$R138+30-28.5),30)*2+7)</f>
        <v>3.0660000000000007</v>
      </c>
      <c r="R138" s="4">
        <f>ROUNDUP(MOD(360+P[[#This Row],[Moon]]-P[[#This Row],[Sun]],360)/12,4)</f>
        <v>2.0330000000000004</v>
      </c>
      <c r="S138" s="4">
        <f>ROUNDUP(MOD(P[[#This Row],[Sun]]+P[[#This Row],[Moon]],360)/13.333333333,2)</f>
        <v>14.16</v>
      </c>
      <c r="T138" s="4" t="str">
        <f>SIGN(W139-Panchanga!$W138)*INT(Panchanga!$W138/30+1)&amp;"Ma,"&amp;SIGN(X139-Panchanga!$X138)*INT(Panchanga!$X138/30+1)&amp;"Me,"&amp;SIGN(Y139-Panchanga!$Y138)*INT(Panchanga!$Y138/30+1)&amp;"J, "&amp;SIGN(Z139-Panchanga!$Z138)*INT(Panchanga!$Z138/30+1)&amp;"V,"&amp;SIGN(AA139-Panchanga!$AA138)*INT(Panchanga!$AA138/30+1)&amp;"S,"&amp;INT(Panchanga!$AB138/30+1)&amp;"R"</f>
        <v>1Ma,4Me,2J, 4V,-11S,12R</v>
      </c>
      <c r="U138" s="4">
        <f t="shared" si="28"/>
        <v>82.151691225418347</v>
      </c>
      <c r="V138" s="4">
        <f t="shared" si="29"/>
        <v>106.54737813013827</v>
      </c>
      <c r="W138" s="4">
        <f>Planet(Panchanga!$G138,4)</f>
        <v>26.780881403480176</v>
      </c>
      <c r="X138" s="4">
        <f>Planet(Panchanga!$G138,2)</f>
        <v>104.74215579542502</v>
      </c>
      <c r="Y138" s="4">
        <f>Planet(Panchanga!$G138,5)</f>
        <v>45.514910387589346</v>
      </c>
      <c r="Z138" s="4">
        <f>Planet(Panchanga!$G138,3)</f>
        <v>91.295222992769894</v>
      </c>
      <c r="AA138" s="4">
        <f>Planet(Panchanga!$G138,6)</f>
        <v>325.17312694674928</v>
      </c>
      <c r="AB138" s="4">
        <f>Planet(Panchanga!$G138,10)</f>
        <v>346.66985761515082</v>
      </c>
      <c r="AC138" s="4" t="str">
        <f>TEXT(Panchanga!$C138+($C139-Panchanga!$C138)/ABS(IF($R139&lt;1,$R139+30,$R139)-Panchanga!$R138)*(ROUNDUP(Panchanga!$R138,0)-Panchanga!$R138),"hh:mm AM/PM")</f>
        <v>06:08 AM</v>
      </c>
      <c r="AD138" s="4"/>
    </row>
    <row r="139" spans="1:30" x14ac:dyDescent="0.2">
      <c r="A139" s="3">
        <f t="shared" ref="A139:A202" si="31">A138+1</f>
        <v>45482</v>
      </c>
      <c r="B139" s="3">
        <f t="shared" si="26"/>
        <v>45482.229166666664</v>
      </c>
      <c r="C139" s="6">
        <f t="shared" si="27"/>
        <v>45482.242687875558</v>
      </c>
      <c r="D139" s="6">
        <f>sunset(Lat,Long,B139)+TimeZone/24-0.000277777777777778</f>
        <v>45481.77799287955</v>
      </c>
      <c r="E139" s="6">
        <f>PlanetRiseSet(Lat,Long,B139,1,1)+TimeZone/24+0.00103009259259259</f>
        <v>45482.358766263504</v>
      </c>
      <c r="F139" s="6">
        <f>PlanetRiseSet(Lat,Long,B139+1,1,2)+TimeZone/24+0.00103009259259259</f>
        <v>45482.895016919043</v>
      </c>
      <c r="G139" s="17">
        <f>Panchanga!$C139-TimeZone/24</f>
        <v>45482.013521208894</v>
      </c>
      <c r="H139" s="13" t="str">
        <f>INT(P[[#This Row],[Sun]]/30)&amp;"s"&amp;ROUNDUP(MOD(P[[#This Row],[Sun]],30),2)</f>
        <v>2s23.11</v>
      </c>
      <c r="I139" s="13" t="str">
        <f>INT(P[[#This Row],[Moon]]/30)&amp;"s"&amp;ROUNDUP(MOD(P[[#This Row],[Moon]],30),2)</f>
        <v>3s28.96</v>
      </c>
      <c r="J139" s="14">
        <f t="shared" si="30"/>
        <v>45482.013521208894</v>
      </c>
      <c r="K139" s="10" t="str">
        <f>naks(P[[#This Row],[Moon]])</f>
        <v>Aslesha</v>
      </c>
      <c r="L139" s="15">
        <f>(C140-P[[#This Row],[SunRise]])/(MOD(360+V140-P[[#This Row],[Moon]],360))*(13.3333333333333-MOD(P[[#This Row],[Moon]],13.333333333333))+P[[#This Row],[SunRise]]</f>
        <v>45482.328993462121</v>
      </c>
      <c r="M139" s="4" t="str">
        <f>IF(Panchanga!$R139&gt;15,"K","S")&amp;ROUNDUP(MOD(Panchanga!$R139,15),0)&amp;" ("&amp;ROUND(Panchanga!$R139,2)&amp;")"</f>
        <v>S3 (2.99)</v>
      </c>
      <c r="N139" s="4">
        <f>IF(AND(Panchanga!$R139&lt;28.5,Panchanga!$R139&gt;0.49999),MOD((Panchanga!$R139-0.5)*2,7),MOD((Panchanga!$R139+30-28.5),30)*2+7)</f>
        <v>4.9742000000000006</v>
      </c>
      <c r="O139" s="4" t="str">
        <f>CHOOSE(ROUNDUP(Panchanga!$N139,0),"Bhava","Baalava","Kaulava","Taitula","Garija","Vanija","Vishti","Shakuni","Chatushapda","Naaga","Kimstugna")</f>
        <v>Garija</v>
      </c>
      <c r="P139" s="11" t="str">
        <f>CHOOSE(ROUNDUP(Panchanga!$S139,0),"viṣkambha","prīti","āyuṣmāna","saubhāgya","śobhana","atigaṇḍa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("&amp;Panchanga!$S139&amp;")"</f>
        <v>siddhi (15.16)</v>
      </c>
      <c r="Q139" s="4">
        <f>IF(AND(Panchanga!$R139&lt;28.5,Panchanga!$R139&gt;0.49999),MOD((Panchanga!$R139-0.5)*2,7),MOD((Panchanga!$R139+30-28.5),30)*2+7)</f>
        <v>4.9742000000000006</v>
      </c>
      <c r="R139" s="4">
        <f>ROUNDUP(MOD(360+P[[#This Row],[Moon]]-P[[#This Row],[Sun]],360)/12,4)</f>
        <v>2.9871000000000003</v>
      </c>
      <c r="S139" s="4">
        <f>ROUNDUP(MOD(P[[#This Row],[Sun]]+P[[#This Row],[Moon]],360)/13.333333333,2)</f>
        <v>15.16</v>
      </c>
      <c r="T139" s="4" t="str">
        <f>SIGN(W140-Panchanga!$W139)*INT(Panchanga!$W139/30+1)&amp;"Ma,"&amp;SIGN(X140-Panchanga!$X139)*INT(Panchanga!$X139/30+1)&amp;"Me,"&amp;SIGN(Y140-Panchanga!$Y139)*INT(Panchanga!$Y139/30+1)&amp;"J, "&amp;SIGN(Z140-Panchanga!$Z139)*INT(Panchanga!$Z139/30+1)&amp;"V,"&amp;SIGN(AA140-Panchanga!$AA139)*INT(Panchanga!$AA139/30+1)&amp;"S,"&amp;INT(Panchanga!$AB139/30+1)&amp;"R"</f>
        <v>1Ma,4Me,2J, 4V,-11S,12R</v>
      </c>
      <c r="U139" s="4">
        <f t="shared" si="28"/>
        <v>83.105632506197239</v>
      </c>
      <c r="V139" s="4">
        <f t="shared" si="29"/>
        <v>118.95049667066144</v>
      </c>
      <c r="W139" s="4">
        <f>Planet(Panchanga!$G139,4)</f>
        <v>27.491209490988737</v>
      </c>
      <c r="X139" s="4">
        <f>Planet(Panchanga!$G139,2)</f>
        <v>106.2583606521171</v>
      </c>
      <c r="Y139" s="4">
        <f>Planet(Panchanga!$G139,5)</f>
        <v>45.724367648598175</v>
      </c>
      <c r="Z139" s="4">
        <f>Planet(Panchanga!$G139,3)</f>
        <v>92.524404977211518</v>
      </c>
      <c r="AA139" s="4">
        <f>Planet(Panchanga!$G139,6)</f>
        <v>325.15860854868464</v>
      </c>
      <c r="AB139" s="4">
        <f>Planet(Panchanga!$G139,10)</f>
        <v>346.6168550037753</v>
      </c>
      <c r="AC139" s="4" t="str">
        <f>TEXT(Panchanga!$C139+($C140-Panchanga!$C139)/ABS(IF($R140&lt;1,$R140+30,$R140)-Panchanga!$R139)*(ROUNDUP(Panchanga!$R139,0)-Panchanga!$R139),"hh:mm AM/PM")</f>
        <v>06:09 AM</v>
      </c>
      <c r="AD139" s="4"/>
    </row>
    <row r="140" spans="1:30" x14ac:dyDescent="0.2">
      <c r="A140" s="3">
        <f t="shared" si="31"/>
        <v>45483</v>
      </c>
      <c r="B140" s="3">
        <f t="shared" si="26"/>
        <v>45483.229166666664</v>
      </c>
      <c r="C140" s="6">
        <f t="shared" si="27"/>
        <v>45483.242888325047</v>
      </c>
      <c r="D140" s="6">
        <f>sunset(Lat,Long,B140)+TimeZone/24-0.000277777777777778</f>
        <v>45482.777997093319</v>
      </c>
      <c r="E140" s="6">
        <f>PlanetRiseSet(Lat,Long,B140,1,1)+TimeZone/24+0.00103009259259259</f>
        <v>45483.392293954421</v>
      </c>
      <c r="F140" s="6">
        <f>PlanetRiseSet(Lat,Long,B140+1,1,2)+TimeZone/24+0.00103009259259259</f>
        <v>45483.91985148719</v>
      </c>
      <c r="G140" s="17">
        <f>Panchanga!$C140-TimeZone/24</f>
        <v>45483.013721658383</v>
      </c>
      <c r="H140" s="13" t="str">
        <f>INT(P[[#This Row],[Sun]]/30)&amp;"s"&amp;ROUNDUP(MOD(P[[#This Row],[Sun]],30),2)</f>
        <v>2s24.06</v>
      </c>
      <c r="I140" s="13" t="str">
        <f>INT(P[[#This Row],[Moon]]/30)&amp;"s"&amp;ROUNDUP(MOD(P[[#This Row],[Moon]],30),2)</f>
        <v>4s11.12</v>
      </c>
      <c r="J140" s="14">
        <f t="shared" si="30"/>
        <v>45483.013721658383</v>
      </c>
      <c r="K140" s="10" t="str">
        <f>naks(P[[#This Row],[Moon]])</f>
        <v>Makha</v>
      </c>
      <c r="L140" s="15">
        <f>(C141-P[[#This Row],[SunRise]])/(MOD(360+V141-P[[#This Row],[Moon]],360))*(13.3333333333333-MOD(P[[#This Row],[Moon]],13.333333333333))+P[[#This Row],[SunRise]]</f>
        <v>45483.428373527138</v>
      </c>
      <c r="M140" s="4" t="str">
        <f>IF(Panchanga!$R140&gt;15,"K","S")&amp;ROUNDUP(MOD(Panchanga!$R140,15),0)&amp;" ("&amp;ROUND(Panchanga!$R140,2)&amp;")"</f>
        <v>S4 (3.92)</v>
      </c>
      <c r="N140" s="4">
        <f>IF(AND(Panchanga!$R140&lt;28.5,Panchanga!$R140&gt;0.49999),MOD((Panchanga!$R140-0.5)*2,7),MOD((Panchanga!$R140+30-28.5),30)*2+7)</f>
        <v>6.8424000000000005</v>
      </c>
      <c r="O140" s="4" t="str">
        <f>CHOOSE(ROUNDUP(Panchanga!$N140,0),"Bhava","Baalava","Kaulava","Taitula","Garija","Vanija","Vishti","Shakuni","Chatushapda","Naaga","Kimstugna")</f>
        <v>Vishti</v>
      </c>
      <c r="P140" s="11" t="str">
        <f>CHOOSE(ROUNDUP(Panchanga!$S140,0),"viṣkambha","prīti","āyuṣmāna","saubhāgya","śobhana","atigaṇḍa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("&amp;Panchanga!$S140&amp;")"</f>
        <v>vyatipāta (16.14)</v>
      </c>
      <c r="Q140" s="4">
        <f>IF(AND(Panchanga!$R140&lt;28.5,Panchanga!$R140&gt;0.49999),MOD((Panchanga!$R140-0.5)*2,7),MOD((Panchanga!$R140+30-28.5),30)*2+7)</f>
        <v>6.8424000000000005</v>
      </c>
      <c r="R140" s="4">
        <f>ROUNDUP(MOD(360+P[[#This Row],[Moon]]-P[[#This Row],[Sun]],360)/12,4)</f>
        <v>3.9212000000000002</v>
      </c>
      <c r="S140" s="4">
        <f>ROUNDUP(MOD(P[[#This Row],[Sun]]+P[[#This Row],[Moon]],360)/13.333333333,2)</f>
        <v>16.14</v>
      </c>
      <c r="T140" s="4" t="str">
        <f>SIGN(W141-Panchanga!$W140)*INT(Panchanga!$W140/30+1)&amp;"Ma,"&amp;SIGN(X141-Panchanga!$X140)*INT(Panchanga!$X140/30+1)&amp;"Me,"&amp;SIGN(Y141-Panchanga!$Y140)*INT(Panchanga!$Y140/30+1)&amp;"J, "&amp;SIGN(Z141-Panchanga!$Z140)*INT(Panchanga!$Z140/30+1)&amp;"V,"&amp;SIGN(AA141-Panchanga!$AA140)*INT(Panchanga!$AA140/30+1)&amp;"S,"&amp;INT(Panchanga!$AB140/30+1)&amp;"R"</f>
        <v>1Ma,4Me,2J, 4V,-11S,12R</v>
      </c>
      <c r="U140" s="4">
        <f t="shared" si="28"/>
        <v>84.059566160795171</v>
      </c>
      <c r="V140" s="4">
        <f t="shared" si="29"/>
        <v>131.11325163867065</v>
      </c>
      <c r="W140" s="4">
        <f>Planet(Panchanga!$G140,4)</f>
        <v>28.20017407756762</v>
      </c>
      <c r="X140" s="4">
        <f>Planet(Panchanga!$G140,2)</f>
        <v>107.73819551752536</v>
      </c>
      <c r="Y140" s="4">
        <f>Planet(Panchanga!$G140,5)</f>
        <v>45.932760512320023</v>
      </c>
      <c r="Z140" s="4">
        <f>Planet(Panchanga!$G140,3)</f>
        <v>93.753573244497488</v>
      </c>
      <c r="AA140" s="4">
        <f>Planet(Panchanga!$G140,6)</f>
        <v>325.14245491408388</v>
      </c>
      <c r="AB140" s="4">
        <f>Planet(Panchanga!$G140,10)</f>
        <v>346.56385239435764</v>
      </c>
      <c r="AC140" s="4" t="str">
        <f>TEXT(Panchanga!$C140+($C141-Panchanga!$C140)/ABS(IF($R141&lt;1,$R141+30,$R141)-Panchanga!$R140)*(ROUNDUP(Panchanga!$R140,0)-Panchanga!$R140),"hh:mm AM/PM")</f>
        <v>07:53 AM</v>
      </c>
      <c r="AD140" s="4"/>
    </row>
    <row r="141" spans="1:30" x14ac:dyDescent="0.2">
      <c r="A141" s="3">
        <f t="shared" si="31"/>
        <v>45484</v>
      </c>
      <c r="B141" s="3">
        <f t="shared" si="26"/>
        <v>45484.229166666664</v>
      </c>
      <c r="C141" s="6">
        <f t="shared" si="27"/>
        <v>45484.243088445313</v>
      </c>
      <c r="D141" s="6">
        <f>sunset(Lat,Long,B141)+TimeZone/24-0.000277777777777778</f>
        <v>45483.777991271621</v>
      </c>
      <c r="E141" s="6">
        <f>PlanetRiseSet(Lat,Long,B141,1,1)+TimeZone/24+0.00103009259259259</f>
        <v>45484.424210697565</v>
      </c>
      <c r="F141" s="6">
        <f>PlanetRiseSet(Lat,Long,B141+1,1,2)+TimeZone/24+0.00103009259259259</f>
        <v>45484.943329094596</v>
      </c>
      <c r="G141" s="17">
        <f>Panchanga!$C141-TimeZone/24</f>
        <v>45484.013921778649</v>
      </c>
      <c r="H141" s="13" t="str">
        <f>INT(P[[#This Row],[Sun]]/30)&amp;"s"&amp;ROUNDUP(MOD(P[[#This Row],[Sun]],30),2)</f>
        <v>2s25.02</v>
      </c>
      <c r="I141" s="13" t="str">
        <f>INT(P[[#This Row],[Moon]]/30)&amp;"s"&amp;ROUNDUP(MOD(P[[#This Row],[Moon]],30),2)</f>
        <v>4s23.09</v>
      </c>
      <c r="J141" s="14">
        <f t="shared" si="30"/>
        <v>45484.013921778649</v>
      </c>
      <c r="K141" s="10" t="str">
        <f>naks(P[[#This Row],[Moon]])</f>
        <v>Purva Phalguni</v>
      </c>
      <c r="L141" s="15">
        <f>(C142-P[[#This Row],[SunRise]])/(MOD(360+V142-P[[#This Row],[Moon]],360))*(13.3333333333333-MOD(P[[#This Row],[Moon]],13.333333333333))+P[[#This Row],[SunRise]]</f>
        <v>45484.545514766534</v>
      </c>
      <c r="M141" s="4" t="str">
        <f>IF(Panchanga!$R141&gt;15,"K","S")&amp;ROUNDUP(MOD(Panchanga!$R141,15),0)&amp;" ("&amp;ROUND(Panchanga!$R141,2)&amp;")"</f>
        <v>S5 (4.84)</v>
      </c>
      <c r="N141" s="4">
        <f>IF(AND(Panchanga!$R141&lt;28.5,Panchanga!$R141&gt;0.49999),MOD((Panchanga!$R141-0.5)*2,7),MOD((Panchanga!$R141+30-28.5),30)*2+7)</f>
        <v>1.6785999999999994</v>
      </c>
      <c r="O141" s="4" t="str">
        <f>CHOOSE(ROUNDUP(Panchanga!$N141,0),"Bhava","Baalava","Kaulava","Taitula","Garija","Vanija","Vishti","Shakuni","Chatushapda","Naaga","Kimstugna")</f>
        <v>Baalava</v>
      </c>
      <c r="P141" s="11" t="str">
        <f>CHOOSE(ROUNDUP(Panchanga!$S141,0),"viṣkambha","prīti","āyuṣmāna","saubhāgya","śobhana","atigaṇḍa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("&amp;Panchanga!$S141&amp;")"</f>
        <v>varīyas (17.11)</v>
      </c>
      <c r="Q141" s="4">
        <f>IF(AND(Panchanga!$R141&lt;28.5,Panchanga!$R141&gt;0.49999),MOD((Panchanga!$R141-0.5)*2,7),MOD((Panchanga!$R141+30-28.5),30)*2+7)</f>
        <v>1.6785999999999994</v>
      </c>
      <c r="R141" s="4">
        <f>ROUNDUP(MOD(360+P[[#This Row],[Moon]]-P[[#This Row],[Sun]],360)/12,4)</f>
        <v>4.8392999999999997</v>
      </c>
      <c r="S141" s="4">
        <f>ROUNDUP(MOD(P[[#This Row],[Sun]]+P[[#This Row],[Moon]],360)/13.333333333,2)</f>
        <v>17.110000000000003</v>
      </c>
      <c r="T141" s="4" t="str">
        <f>SIGN(W142-Panchanga!$W141)*INT(Panchanga!$W141/30+1)&amp;"Ma,"&amp;SIGN(X142-Panchanga!$X141)*INT(Panchanga!$X141/30+1)&amp;"Me,"&amp;SIGN(Y142-Panchanga!$Y141)*INT(Panchanga!$Y141/30+1)&amp;"J, "&amp;SIGN(Z142-Panchanga!$Z141)*INT(Panchanga!$Z141/30+1)&amp;"V,"&amp;SIGN(AA142-Panchanga!$AA141)*INT(Panchanga!$AA141/30+1)&amp;"S,"&amp;INT(Panchanga!$AB141/30+1)&amp;"R"</f>
        <v>1Ma,4Me,2J, 4V,-11S,12R</v>
      </c>
      <c r="U141" s="4">
        <f t="shared" si="28"/>
        <v>85.013490696662274</v>
      </c>
      <c r="V141" s="4">
        <f t="shared" si="29"/>
        <v>143.08469708555657</v>
      </c>
      <c r="W141" s="4">
        <f>Planet(Panchanga!$G141,4)</f>
        <v>28.907763049108436</v>
      </c>
      <c r="X141" s="4">
        <f>Planet(Panchanga!$G141,2)</f>
        <v>109.18130237911691</v>
      </c>
      <c r="Y141" s="4">
        <f>Planet(Panchanga!$G141,5)</f>
        <v>46.140066053655374</v>
      </c>
      <c r="Z141" s="4">
        <f>Planet(Panchanga!$G141,3)</f>
        <v>94.982719615087021</v>
      </c>
      <c r="AA141" s="4">
        <f>Planet(Panchanga!$G141,6)</f>
        <v>325.12467499477225</v>
      </c>
      <c r="AB141" s="4">
        <f>Planet(Panchanga!$G141,10)</f>
        <v>346.51084980238954</v>
      </c>
      <c r="AC141" s="4" t="str">
        <f>TEXT(Panchanga!$C141+($C142-Panchanga!$C141)/ABS(IF($R142&lt;1,$R142+30,$R142)-Panchanga!$R141)*(ROUNDUP(Panchanga!$R141,0)-Panchanga!$R141),"hh:mm AM/PM")</f>
        <v>10:05 AM</v>
      </c>
      <c r="AD141" s="4"/>
    </row>
    <row r="142" spans="1:30" x14ac:dyDescent="0.2">
      <c r="A142" s="3">
        <f t="shared" si="31"/>
        <v>45485</v>
      </c>
      <c r="B142" s="3">
        <f t="shared" si="26"/>
        <v>45485.229166666664</v>
      </c>
      <c r="C142" s="6">
        <f t="shared" si="27"/>
        <v>45485.243287959755</v>
      </c>
      <c r="D142" s="6">
        <f>sunset(Lat,Long,B142)+TimeZone/24-0.000277777777777778</f>
        <v>45484.777975271965</v>
      </c>
      <c r="E142" s="6">
        <f>PlanetRiseSet(Lat,Long,B142,1,1)+TimeZone/24+0.00103009259259259</f>
        <v>45485.455256838504</v>
      </c>
      <c r="F142" s="6">
        <f>PlanetRiseSet(Lat,Long,B142+1,1,2)+TimeZone/24+0.00103009259259259</f>
        <v>45485.966312621873</v>
      </c>
      <c r="G142" s="17">
        <f>Panchanga!$C142-TimeZone/24</f>
        <v>45485.01412129309</v>
      </c>
      <c r="H142" s="13" t="str">
        <f>INT(P[[#This Row],[Sun]]/30)&amp;"s"&amp;ROUNDUP(MOD(P[[#This Row],[Sun]],30),2)</f>
        <v>2s25.97</v>
      </c>
      <c r="I142" s="13" t="str">
        <f>INT(P[[#This Row],[Moon]]/30)&amp;"s"&amp;ROUNDUP(MOD(P[[#This Row],[Moon]],30),2)</f>
        <v>5s4.94</v>
      </c>
      <c r="J142" s="14">
        <f t="shared" si="30"/>
        <v>45485.01412129309</v>
      </c>
      <c r="K142" s="10" t="str">
        <f>naks(P[[#This Row],[Moon]])</f>
        <v>Uttara Phalguni</v>
      </c>
      <c r="L142" s="15">
        <f>(C143-P[[#This Row],[SunRise]])/(MOD(360+V143-P[[#This Row],[Moon]],360))*(13.3333333333333-MOD(P[[#This Row],[Moon]],13.333333333333))+P[[#This Row],[SunRise]]</f>
        <v>45485.672907768057</v>
      </c>
      <c r="M142" s="4" t="str">
        <f>IF(Panchanga!$R142&gt;15,"K","S")&amp;ROUNDUP(MOD(Panchanga!$R142,15),0)&amp;" ("&amp;ROUND(Panchanga!$R142,2)&amp;")"</f>
        <v>S6 (5.75)</v>
      </c>
      <c r="N142" s="4">
        <f>IF(AND(Panchanga!$R142&lt;28.5,Panchanga!$R142&gt;0.49999),MOD((Panchanga!$R142-0.5)*2,7),MOD((Panchanga!$R142+30-28.5),30)*2+7)</f>
        <v>3.4939999999999998</v>
      </c>
      <c r="O142" s="4" t="str">
        <f>CHOOSE(ROUNDUP(Panchanga!$N142,0),"Bhava","Baalava","Kaulava","Taitula","Garija","Vanija","Vishti","Shakuni","Chatushapda","Naaga","Kimstugna")</f>
        <v>Taitula</v>
      </c>
      <c r="P142" s="11" t="str">
        <f>CHOOSE(ROUNDUP(Panchanga!$S142,0),"viṣkambha","prīti","āyuṣmāna","saubhāgya","śobhana","atigaṇḍa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("&amp;Panchanga!$S142&amp;")"</f>
        <v>parigha (18.07)</v>
      </c>
      <c r="Q142" s="4">
        <f>IF(AND(Panchanga!$R142&lt;28.5,Panchanga!$R142&gt;0.49999),MOD((Panchanga!$R142-0.5)*2,7),MOD((Panchanga!$R142+30-28.5),30)*2+7)</f>
        <v>3.4939999999999998</v>
      </c>
      <c r="R142" s="4">
        <f>ROUNDUP(MOD(360+P[[#This Row],[Moon]]-P[[#This Row],[Sun]],360)/12,4)</f>
        <v>5.7469999999999999</v>
      </c>
      <c r="S142" s="4">
        <f>ROUNDUP(MOD(P[[#This Row],[Sun]]+P[[#This Row],[Moon]],360)/13.333333333,2)</f>
        <v>18.07</v>
      </c>
      <c r="T142" s="4" t="str">
        <f>SIGN(W143-Panchanga!$W142)*INT(Panchanga!$W142/30+1)&amp;"Ma,"&amp;SIGN(X143-Panchanga!$X142)*INT(Panchanga!$X142/30+1)&amp;"Me,"&amp;SIGN(Y143-Panchanga!$Y142)*INT(Panchanga!$Y142/30+1)&amp;"J, "&amp;SIGN(Z143-Panchanga!$Z142)*INT(Panchanga!$Z142/30+1)&amp;"V,"&amp;SIGN(AA143-Panchanga!$AA142)*INT(Panchanga!$AA142/30+1)&amp;"S,"&amp;INT(Panchanga!$AB142/30+1)&amp;"R"</f>
        <v>1Ma,4Me,2J, 4V,-11S,12R</v>
      </c>
      <c r="U142" s="4">
        <f t="shared" si="28"/>
        <v>85.967406898561521</v>
      </c>
      <c r="V142" s="4">
        <f t="shared" si="29"/>
        <v>154.93116673566647</v>
      </c>
      <c r="W142" s="4">
        <f>Planet(Panchanga!$G142,4)</f>
        <v>29.613965626969296</v>
      </c>
      <c r="X142" s="4">
        <f>Planet(Panchanga!$G142,2)</f>
        <v>110.58723765944686</v>
      </c>
      <c r="Y142" s="4">
        <f>Planet(Panchanga!$G142,5)</f>
        <v>46.346261754244892</v>
      </c>
      <c r="Z142" s="4">
        <f>Planet(Panchanga!$G142,3)</f>
        <v>96.211836878197488</v>
      </c>
      <c r="AA142" s="4">
        <f>Planet(Panchanga!$G142,6)</f>
        <v>325.10527840539271</v>
      </c>
      <c r="AB142" s="4">
        <f>Planet(Panchanga!$G142,10)</f>
        <v>346.457847242551</v>
      </c>
      <c r="AC142" s="4" t="str">
        <f>TEXT(Panchanga!$C142+($C143-Panchanga!$C142)/ABS(IF($R143&lt;1,$R143+30,$R143)-Panchanga!$R142)*(ROUNDUP(Panchanga!$R142,0)-Panchanga!$R142),"hh:mm AM/PM")</f>
        <v>12:33 PM</v>
      </c>
      <c r="AD142" s="4"/>
    </row>
    <row r="143" spans="1:30" x14ac:dyDescent="0.2">
      <c r="A143" s="3">
        <f t="shared" si="31"/>
        <v>45486</v>
      </c>
      <c r="B143" s="3">
        <f t="shared" si="26"/>
        <v>45486.229166666664</v>
      </c>
      <c r="C143" s="6">
        <f t="shared" si="27"/>
        <v>45486.243486603409</v>
      </c>
      <c r="D143" s="6">
        <f>sunset(Lat,Long,B143)+TimeZone/24-0.000277777777777778</f>
        <v>45485.777948972813</v>
      </c>
      <c r="E143" s="6">
        <f>PlanetRiseSet(Lat,Long,B143,1,1)+TimeZone/24+0.00103009259259259</f>
        <v>45486.486239591301</v>
      </c>
      <c r="F143" s="6">
        <f>PlanetRiseSet(Lat,Long,B143+1,1,2)+TimeZone/24+0.00103009259259259</f>
        <v>45486.989658726066</v>
      </c>
      <c r="G143" s="17">
        <f>Panchanga!$C143-TimeZone/24</f>
        <v>45486.014319936745</v>
      </c>
      <c r="H143" s="13" t="str">
        <f>INT(P[[#This Row],[Sun]]/30)&amp;"s"&amp;ROUNDUP(MOD(P[[#This Row],[Sun]],30),2)</f>
        <v>2s26.93</v>
      </c>
      <c r="I143" s="13" t="str">
        <f>INT(P[[#This Row],[Moon]]/30)&amp;"s"&amp;ROUNDUP(MOD(P[[#This Row],[Moon]],30),2)</f>
        <v>5s16.74</v>
      </c>
      <c r="J143" s="14">
        <f t="shared" si="30"/>
        <v>45486.014319936745</v>
      </c>
      <c r="K143" s="10" t="str">
        <f>naks(P[[#This Row],[Moon]])</f>
        <v>Hasta</v>
      </c>
      <c r="L143" s="15">
        <f>(C144-P[[#This Row],[SunRise]])/(MOD(360+V144-P[[#This Row],[Moon]],360))*(13.3333333333333-MOD(P[[#This Row],[Moon]],13.333333333333))+P[[#This Row],[SunRise]]</f>
        <v>45486.801024697961</v>
      </c>
      <c r="M143" s="4" t="str">
        <f>IF(Panchanga!$R143&gt;15,"K","S")&amp;ROUNDUP(MOD(Panchanga!$R143,15),0)&amp;" ("&amp;ROUND(Panchanga!$R143,2)&amp;")"</f>
        <v>S7 (6.65)</v>
      </c>
      <c r="N143" s="4">
        <f>IF(AND(Panchanga!$R143&lt;28.5,Panchanga!$R143&gt;0.49999),MOD((Panchanga!$R143-0.5)*2,7),MOD((Panchanga!$R143+30-28.5),30)*2+7)</f>
        <v>5.3018000000000001</v>
      </c>
      <c r="O143" s="4" t="str">
        <f>CHOOSE(ROUNDUP(Panchanga!$N143,0),"Bhava","Baalava","Kaulava","Taitula","Garija","Vanija","Vishti","Shakuni","Chatushapda","Naaga","Kimstugna")</f>
        <v>Vanija</v>
      </c>
      <c r="P143" s="11" t="str">
        <f>CHOOSE(ROUNDUP(Panchanga!$S143,0),"viṣkambha","prīti","āyuṣmāna","saubhāgya","śobhana","atigaṇḍa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("&amp;Panchanga!$S143&amp;")"</f>
        <v>śiva (19.03)</v>
      </c>
      <c r="Q143" s="4">
        <f>IF(AND(Panchanga!$R143&lt;28.5,Panchanga!$R143&gt;0.49999),MOD((Panchanga!$R143-0.5)*2,7),MOD((Panchanga!$R143+30-28.5),30)*2+7)</f>
        <v>5.3018000000000001</v>
      </c>
      <c r="R143" s="4">
        <f>ROUNDUP(MOD(360+P[[#This Row],[Moon]]-P[[#This Row],[Sun]],360)/12,4)</f>
        <v>6.6509</v>
      </c>
      <c r="S143" s="4">
        <f>ROUNDUP(MOD(P[[#This Row],[Sun]]+P[[#This Row],[Moon]],360)/13.333333333,2)</f>
        <v>19.03</v>
      </c>
      <c r="T143" s="4" t="str">
        <f>SIGN(W144-Panchanga!$W143)*INT(Panchanga!$W143/30+1)&amp;"Ma,"&amp;SIGN(X144-Panchanga!$X143)*INT(Panchanga!$X143/30+1)&amp;"Me,"&amp;SIGN(Y144-Panchanga!$Y143)*INT(Panchanga!$Y143/30+1)&amp;"J, "&amp;SIGN(Z144-Panchanga!$Z143)*INT(Panchanga!$Z143/30+1)&amp;"V,"&amp;SIGN(AA144-Panchanga!$AA143)*INT(Panchanga!$AA143/30+1)&amp;"S,"&amp;INT(Panchanga!$AB143/30+1)&amp;"R"</f>
        <v>2Ma,4Me,2J, 4V,-11S,12R</v>
      </c>
      <c r="U143" s="4">
        <f t="shared" si="28"/>
        <v>86.92131768054432</v>
      </c>
      <c r="V143" s="4">
        <f t="shared" si="29"/>
        <v>166.7319265189725</v>
      </c>
      <c r="W143" s="4">
        <f>Planet(Panchanga!$G143,4)</f>
        <v>30.318772136898716</v>
      </c>
      <c r="X143" s="4">
        <f>Planet(Panchanga!$G143,2)</f>
        <v>111.9554641122299</v>
      </c>
      <c r="Y143" s="4">
        <f>Planet(Panchanga!$G143,5)</f>
        <v>46.551325436449467</v>
      </c>
      <c r="Z143" s="4">
        <f>Planet(Panchanga!$G143,3)</f>
        <v>97.440918731754834</v>
      </c>
      <c r="AA143" s="4">
        <f>Planet(Panchanga!$G143,6)</f>
        <v>325.08427537825827</v>
      </c>
      <c r="AB143" s="4">
        <f>Planet(Panchanga!$G143,10)</f>
        <v>346.40484472887579</v>
      </c>
      <c r="AC143" s="4" t="str">
        <f>TEXT(Panchanga!$C143+($C144-Panchanga!$C143)/ABS(IF($R144&lt;1,$R144+30,$R144)-Panchanga!$R143)*(ROUNDUP(Panchanga!$R143,0)-Panchanga!$R143),"hh:mm AM/PM")</f>
        <v>03:04 PM</v>
      </c>
      <c r="AD143" s="4"/>
    </row>
    <row r="144" spans="1:30" x14ac:dyDescent="0.2">
      <c r="A144" s="3">
        <f t="shared" si="31"/>
        <v>45487</v>
      </c>
      <c r="B144" s="3">
        <f t="shared" si="26"/>
        <v>45487.229166666664</v>
      </c>
      <c r="C144" s="6">
        <f t="shared" si="27"/>
        <v>45487.243684122957</v>
      </c>
      <c r="D144" s="6">
        <f>sunset(Lat,Long,B144)+TimeZone/24-0.000277777777777778</f>
        <v>45486.777912267527</v>
      </c>
      <c r="E144" s="6">
        <f>PlanetRiseSet(Lat,Long,B144,1,1)+TimeZone/24+0.00103009259259259</f>
        <v>45486.486239615981</v>
      </c>
      <c r="F144" s="6">
        <f>PlanetRiseSet(Lat,Long,B144+1,1,2)+TimeZone/24+0.00103009259259259</f>
        <v>45488.014248551022</v>
      </c>
      <c r="G144" s="17">
        <f>Panchanga!$C144-TimeZone/24</f>
        <v>45487.014517456293</v>
      </c>
      <c r="H144" s="13" t="str">
        <f>INT(P[[#This Row],[Sun]]/30)&amp;"s"&amp;ROUNDUP(MOD(P[[#This Row],[Sun]],30),2)</f>
        <v>2s27.88</v>
      </c>
      <c r="I144" s="13" t="str">
        <f>INT(P[[#This Row],[Moon]]/30)&amp;"s"&amp;ROUNDUP(MOD(P[[#This Row],[Moon]],30),2)</f>
        <v>5s28.58</v>
      </c>
      <c r="J144" s="14">
        <f t="shared" si="30"/>
        <v>45487.014517456293</v>
      </c>
      <c r="K144" s="10" t="str">
        <f>naks(P[[#This Row],[Moon]])</f>
        <v>Chitra</v>
      </c>
      <c r="L144" s="15">
        <f>(C145-P[[#This Row],[SunRise]])/(MOD(360+V145-P[[#This Row],[Moon]],360))*(13.3333333333333-MOD(P[[#This Row],[Moon]],13.333333333333))+P[[#This Row],[SunRise]]</f>
        <v>45487.919539775387</v>
      </c>
      <c r="M144" s="4" t="str">
        <f>IF(Panchanga!$R144&gt;15,"K","S")&amp;ROUNDUP(MOD(Panchanga!$R144,15),0)&amp;" ("&amp;ROUND(Panchanga!$R144,2)&amp;")"</f>
        <v>S8 (7.56)</v>
      </c>
      <c r="N144" s="4">
        <f>IF(AND(Panchanga!$R144&lt;28.5,Panchanga!$R144&gt;0.49999),MOD((Panchanga!$R144-0.5)*2,7),MOD((Panchanga!$R144+30-28.5),30)*2+7)</f>
        <v>0.11660000000000004</v>
      </c>
      <c r="O144" s="4" t="str">
        <f>CHOOSE(ROUNDUP(Panchanga!$N144,0),"Bhava","Baalava","Kaulava","Taitula","Garija","Vanija","Vishti","Shakuni","Chatushapda","Naaga","Kimstugna")</f>
        <v>Bhava</v>
      </c>
      <c r="P144" s="11" t="str">
        <f>CHOOSE(ROUNDUP(Panchanga!$S144,0),"viṣkambha","prīti","āyuṣmāna","saubhāgya","śobhana","atigaṇḍa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("&amp;Panchanga!$S144&amp;")"</f>
        <v>śiva (19.99)</v>
      </c>
      <c r="Q144" s="4">
        <f>IF(AND(Panchanga!$R144&lt;28.5,Panchanga!$R144&gt;0.49999),MOD((Panchanga!$R144-0.5)*2,7),MOD((Panchanga!$R144+30-28.5),30)*2+7)</f>
        <v>0.11660000000000004</v>
      </c>
      <c r="R144" s="4">
        <f>ROUNDUP(MOD(360+P[[#This Row],[Moon]]-P[[#This Row],[Sun]],360)/12,4)</f>
        <v>7.5583</v>
      </c>
      <c r="S144" s="4">
        <f>ROUNDUP(MOD(P[[#This Row],[Sun]]+P[[#This Row],[Moon]],360)/13.333333333,2)</f>
        <v>19.990000000000002</v>
      </c>
      <c r="T144" s="4" t="str">
        <f>SIGN(W145-Panchanga!$W144)*INT(Panchanga!$W144/30+1)&amp;"Ma,"&amp;SIGN(X145-Panchanga!$X144)*INT(Panchanga!$X144/30+1)&amp;"Me,"&amp;SIGN(Y145-Panchanga!$Y144)*INT(Panchanga!$Y144/30+1)&amp;"J, "&amp;SIGN(Z145-Panchanga!$Z144)*INT(Panchanga!$Z144/30+1)&amp;"V,"&amp;SIGN(AA145-Panchanga!$AA144)*INT(Panchanga!$AA144/30+1)&amp;"S,"&amp;INT(Panchanga!$AB144/30+1)&amp;"R"</f>
        <v>2Ma,4Me,2J, 4V,-11S,12R</v>
      </c>
      <c r="U144" s="4">
        <f t="shared" si="28"/>
        <v>87.875227953837367</v>
      </c>
      <c r="V144" s="4">
        <f t="shared" si="29"/>
        <v>178.57454460337573</v>
      </c>
      <c r="W144" s="4">
        <f>Planet(Panchanga!$G144,4)</f>
        <v>31.022173890492905</v>
      </c>
      <c r="X144" s="4">
        <f>Planet(Panchanga!$G144,2)</f>
        <v>113.2853431483632</v>
      </c>
      <c r="Y144" s="4">
        <f>Planet(Panchanga!$G144,5)</f>
        <v>46.755235220499742</v>
      </c>
      <c r="Z144" s="4">
        <f>Planet(Panchanga!$G144,3)</f>
        <v>98.669959712314068</v>
      </c>
      <c r="AA144" s="4">
        <f>Planet(Panchanga!$G144,6)</f>
        <v>325.06167673597588</v>
      </c>
      <c r="AB144" s="4">
        <f>Planet(Panchanga!$G144,10)</f>
        <v>346.35184227473485</v>
      </c>
      <c r="AC144" s="4" t="str">
        <f>TEXT(Panchanga!$C144+($C145-Panchanga!$C144)/ABS(IF($R145&lt;1,$R145+30,$R145)-Panchanga!$R144)*(ROUNDUP(Panchanga!$R144,0)-Panchanga!$R144),"hh:mm AM/PM")</f>
        <v>05:23 PM</v>
      </c>
      <c r="AD144" s="4"/>
    </row>
    <row r="145" spans="1:30" x14ac:dyDescent="0.2">
      <c r="A145" s="3">
        <f t="shared" si="31"/>
        <v>45488</v>
      </c>
      <c r="B145" s="3">
        <f t="shared" si="26"/>
        <v>45488.229166666664</v>
      </c>
      <c r="C145" s="6">
        <f t="shared" si="27"/>
        <v>45488.243880279515</v>
      </c>
      <c r="D145" s="6">
        <f>sunset(Lat,Long,B145)+TimeZone/24-0.000277777777777778</f>
        <v>45487.777865068099</v>
      </c>
      <c r="E145" s="6">
        <f>PlanetRiseSet(Lat,Long,B145,1,1)+TimeZone/24+0.00103009259259259</f>
        <v>45487.517981773395</v>
      </c>
      <c r="F145" s="6">
        <f>PlanetRiseSet(Lat,Long,B145+1,1,2)+TimeZone/24+0.00103009259259259</f>
        <v>45489.041007631611</v>
      </c>
      <c r="G145" s="17">
        <f>Panchanga!$C145-TimeZone/24</f>
        <v>45488.014713612851</v>
      </c>
      <c r="H145" s="13" t="str">
        <f>INT(P[[#This Row],[Sun]]/30)&amp;"s"&amp;ROUNDUP(MOD(P[[#This Row],[Sun]],30),2)</f>
        <v>2s28.83</v>
      </c>
      <c r="I145" s="13" t="str">
        <f>INT(P[[#This Row],[Moon]]/30)&amp;"s"&amp;ROUNDUP(MOD(P[[#This Row],[Moon]],30),2)</f>
        <v>6s10.56</v>
      </c>
      <c r="J145" s="14">
        <f t="shared" si="30"/>
        <v>45488.014713612851</v>
      </c>
      <c r="K145" s="10" t="str">
        <f>naks(P[[#This Row],[Moon]])</f>
        <v>Swati</v>
      </c>
      <c r="L145" s="15">
        <f>(C146-P[[#This Row],[SunRise]])/(MOD(360+V146-P[[#This Row],[Moon]],360))*(13.3333333333333-MOD(P[[#This Row],[Moon]],13.333333333333))+P[[#This Row],[SunRise]]</f>
        <v>45489.018792339331</v>
      </c>
      <c r="M145" s="4" t="str">
        <f>IF(Panchanga!$R145&gt;15,"K","S")&amp;ROUNDUP(MOD(Panchanga!$R145,15),0)&amp;" ("&amp;ROUND(Panchanga!$R145,2)&amp;")"</f>
        <v>S9 (8.48)</v>
      </c>
      <c r="N145" s="4">
        <f>IF(AND(Panchanga!$R145&lt;28.5,Panchanga!$R145&gt;0.49999),MOD((Panchanga!$R145-0.5)*2,7),MOD((Panchanga!$R145+30-28.5),30)*2+7)</f>
        <v>1.953599999999998</v>
      </c>
      <c r="O145" s="4" t="str">
        <f>CHOOSE(ROUNDUP(Panchanga!$N145,0),"Bhava","Baalava","Kaulava","Taitula","Garija","Vanija","Vishti","Shakuni","Chatushapda","Naaga","Kimstugna")</f>
        <v>Baalava</v>
      </c>
      <c r="P145" s="11" t="str">
        <f>CHOOSE(ROUNDUP(Panchanga!$S145,0),"viṣkambha","prīti","āyuṣmāna","saubhāgya","śobhana","atigaṇḍa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("&amp;Panchanga!$S145&amp;")"</f>
        <v>siddha (20.96)</v>
      </c>
      <c r="Q145" s="4">
        <f>IF(AND(Panchanga!$R145&lt;28.5,Panchanga!$R145&gt;0.49999),MOD((Panchanga!$R145-0.5)*2,7),MOD((Panchanga!$R145+30-28.5),30)*2+7)</f>
        <v>1.953599999999998</v>
      </c>
      <c r="R145" s="4">
        <f>ROUNDUP(MOD(360+P[[#This Row],[Moon]]-P[[#This Row],[Sun]],360)/12,4)</f>
        <v>8.476799999999999</v>
      </c>
      <c r="S145" s="4">
        <f>ROUNDUP(MOD(P[[#This Row],[Sun]]+P[[#This Row],[Moon]],360)/13.333333333,2)</f>
        <v>20.96</v>
      </c>
      <c r="T145" s="4" t="str">
        <f>SIGN(W146-Panchanga!$W145)*INT(Panchanga!$W145/30+1)&amp;"Ma,"&amp;SIGN(X146-Panchanga!$X145)*INT(Panchanga!$X145/30+1)&amp;"Me,"&amp;SIGN(Y146-Panchanga!$Y145)*INT(Panchanga!$Y145/30+1)&amp;"J, "&amp;SIGN(Z146-Panchanga!$Z145)*INT(Panchanga!$Z145/30+1)&amp;"V,"&amp;SIGN(AA146-Panchanga!$AA145)*INT(Panchanga!$AA145/30+1)&amp;"S,"&amp;INT(Panchanga!$AB145/30+1)&amp;"R"</f>
        <v>2Ma,4Me,2J, 4V,-11S,12R</v>
      </c>
      <c r="U145" s="4">
        <f t="shared" si="28"/>
        <v>88.829144624392541</v>
      </c>
      <c r="V145" s="4">
        <f t="shared" si="29"/>
        <v>190.55004463357474</v>
      </c>
      <c r="W145" s="4">
        <f>Planet(Panchanga!$G145,4)</f>
        <v>31.724163188325345</v>
      </c>
      <c r="X145" s="4">
        <f>Planet(Panchanga!$G145,2)</f>
        <v>114.57612756285296</v>
      </c>
      <c r="Y145" s="4">
        <f>Planet(Panchanga!$G145,5)</f>
        <v>46.957969517176821</v>
      </c>
      <c r="Z145" s="4">
        <f>Planet(Panchanga!$G145,3)</f>
        <v>99.898955190148499</v>
      </c>
      <c r="AA145" s="4">
        <f>Planet(Panchanga!$G145,6)</f>
        <v>325.03749388040558</v>
      </c>
      <c r="AB145" s="4">
        <f>Planet(Panchanga!$G145,10)</f>
        <v>346.29883989283655</v>
      </c>
      <c r="AC145" s="4" t="str">
        <f>TEXT(Panchanga!$C145+($C146-Panchanga!$C145)/ABS(IF($R146&lt;1,$R146+30,$R146)-Panchanga!$R145)*(ROUNDUP(Panchanga!$R145,0)-Panchanga!$R145),"hh:mm AM/PM")</f>
        <v>07:15 PM</v>
      </c>
      <c r="AD145" s="4"/>
    </row>
    <row r="146" spans="1:30" x14ac:dyDescent="0.2">
      <c r="A146" s="3">
        <f t="shared" si="31"/>
        <v>45489</v>
      </c>
      <c r="B146" s="3">
        <f t="shared" si="26"/>
        <v>45489.229166666664</v>
      </c>
      <c r="C146" s="6">
        <f t="shared" si="27"/>
        <v>45489.244074845839</v>
      </c>
      <c r="D146" s="6">
        <f>sunset(Lat,Long,B146)+TimeZone/24-0.000277777777777778</f>
        <v>45488.777807303282</v>
      </c>
      <c r="E146" s="6">
        <f>PlanetRiseSet(Lat,Long,B146,1,1)+TimeZone/24+0.00103009259259259</f>
        <v>45488.551276565682</v>
      </c>
      <c r="F146" s="6">
        <f>PlanetRiseSet(Lat,Long,B146+1,1,2)+TimeZone/24+0.00103009259259259</f>
        <v>45490.070871393349</v>
      </c>
      <c r="G146" s="17">
        <f>Panchanga!$C146-TimeZone/24</f>
        <v>45489.014908179175</v>
      </c>
      <c r="H146" s="13" t="str">
        <f>INT(P[[#This Row],[Sun]]/30)&amp;"s"&amp;ROUNDUP(MOD(P[[#This Row],[Sun]],30),2)</f>
        <v>2s29.79</v>
      </c>
      <c r="I146" s="13" t="str">
        <f>INT(P[[#This Row],[Moon]]/30)&amp;"s"&amp;ROUNDUP(MOD(P[[#This Row],[Moon]],30),2)</f>
        <v>6s22.75</v>
      </c>
      <c r="J146" s="14">
        <f t="shared" si="30"/>
        <v>45489.014908179175</v>
      </c>
      <c r="K146" s="10" t="str">
        <f>naks(P[[#This Row],[Moon]])</f>
        <v>Visakha</v>
      </c>
      <c r="L146" s="15">
        <f>(C147-P[[#This Row],[SunRise]])/(MOD(360+V147-P[[#This Row],[Moon]],360))*(13.3333333333333-MOD(P[[#This Row],[Moon]],13.333333333333))+P[[#This Row],[SunRise]]</f>
        <v>45490.091205301149</v>
      </c>
      <c r="M146" s="4" t="str">
        <f>IF(Panchanga!$R146&gt;15,"K","S")&amp;ROUNDUP(MOD(Panchanga!$R146,15),0)&amp;" ("&amp;ROUND(Panchanga!$R146,2)&amp;")"</f>
        <v>S10 (9.41)</v>
      </c>
      <c r="N146" s="4">
        <f>IF(AND(Panchanga!$R146&lt;28.5,Panchanga!$R146&gt;0.49999),MOD((Panchanga!$R146-0.5)*2,7),MOD((Panchanga!$R146+30-28.5),30)*2+7)</f>
        <v>3.8274000000000008</v>
      </c>
      <c r="O146" s="4" t="str">
        <f>CHOOSE(ROUNDUP(Panchanga!$N146,0),"Bhava","Baalava","Kaulava","Taitula","Garija","Vanija","Vishti","Shakuni","Chatushapda","Naaga","Kimstugna")</f>
        <v>Taitula</v>
      </c>
      <c r="P146" s="11" t="str">
        <f>CHOOSE(ROUNDUP(Panchanga!$S146,0),"viṣkambha","prīti","āyuṣmāna","saubhāgya","śobhana","atigaṇḍa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("&amp;Panchanga!$S146&amp;")"</f>
        <v>sādhya (21.94)</v>
      </c>
      <c r="Q146" s="4">
        <f>IF(AND(Panchanga!$R146&lt;28.5,Panchanga!$R146&gt;0.49999),MOD((Panchanga!$R146-0.5)*2,7),MOD((Panchanga!$R146+30-28.5),30)*2+7)</f>
        <v>3.8274000000000008</v>
      </c>
      <c r="R146" s="4">
        <f>ROUNDUP(MOD(360+P[[#This Row],[Moon]]-P[[#This Row],[Sun]],360)/12,4)</f>
        <v>9.4137000000000004</v>
      </c>
      <c r="S146" s="4">
        <f>ROUNDUP(MOD(P[[#This Row],[Sun]]+P[[#This Row],[Moon]],360)/13.333333333,2)</f>
        <v>21.94</v>
      </c>
      <c r="T146" s="4" t="str">
        <f>SIGN(W147-Panchanga!$W146)*INT(Panchanga!$W146/30+1)&amp;"Ma,"&amp;SIGN(X147-Panchanga!$X146)*INT(Panchanga!$X146/30+1)&amp;"Me,"&amp;SIGN(Y147-Panchanga!$Y146)*INT(Panchanga!$Y146/30+1)&amp;"J, "&amp;SIGN(Z147-Panchanga!$Z146)*INT(Panchanga!$Z146/30+1)&amp;"V,"&amp;SIGN(AA147-Panchanga!$AA146)*INT(Panchanga!$AA146/30+1)&amp;"S,"&amp;INT(Panchanga!$AB146/30+1)&amp;"R"</f>
        <v>2Ma,4Me,2J, 4V,-11S,12R</v>
      </c>
      <c r="U146" s="4">
        <f t="shared" si="28"/>
        <v>89.783076753539291</v>
      </c>
      <c r="V146" s="4">
        <f t="shared" si="29"/>
        <v>202.74729190802088</v>
      </c>
      <c r="W146" s="4">
        <f>Planet(Panchanga!$G146,4)</f>
        <v>32.424733381170462</v>
      </c>
      <c r="X146" s="4">
        <f>Planet(Panchanga!$G146,2)</f>
        <v>115.82695464648187</v>
      </c>
      <c r="Y146" s="4">
        <f>Planet(Panchanga!$G146,5)</f>
        <v>47.159507041302597</v>
      </c>
      <c r="Z146" s="4">
        <f>Planet(Panchanga!$G146,3)</f>
        <v>101.12790145269956</v>
      </c>
      <c r="AA146" s="4">
        <f>Planet(Panchanga!$G146,6)</f>
        <v>325.01173876657901</v>
      </c>
      <c r="AB146" s="4">
        <f>Planet(Panchanga!$G146,10)</f>
        <v>346.24583759524296</v>
      </c>
      <c r="AC146" s="4" t="str">
        <f>TEXT(Panchanga!$C146+($C147-Panchanga!$C146)/ABS(IF($R147&lt;1,$R147+30,$R147)-Panchanga!$R146)*(ROUNDUP(Panchanga!$R146,0)-Panchanga!$R146),"hh:mm AM/PM")</f>
        <v>08:29 PM</v>
      </c>
      <c r="AD146" s="4"/>
    </row>
    <row r="147" spans="1:30" x14ac:dyDescent="0.2">
      <c r="A147" s="3">
        <f t="shared" si="31"/>
        <v>45490</v>
      </c>
      <c r="B147" s="3">
        <f t="shared" si="26"/>
        <v>45490.229166666664</v>
      </c>
      <c r="C147" s="6">
        <f t="shared" si="27"/>
        <v>45490.244267610055</v>
      </c>
      <c r="D147" s="6">
        <f>sunset(Lat,Long,B147)+TimeZone/24-0.000277777777777778</f>
        <v>45489.77773891906</v>
      </c>
      <c r="E147" s="6">
        <f>PlanetRiseSet(Lat,Long,B147,1,1)+TimeZone/24+0.00103009259259259</f>
        <v>45489.586795735791</v>
      </c>
      <c r="F147" s="6">
        <f>PlanetRiseSet(Lat,Long,B147+1,1,2)+TimeZone/24+0.00103009259259259</f>
        <v>45491.104633005489</v>
      </c>
      <c r="G147" s="17">
        <f>Panchanga!$C147-TimeZone/24</f>
        <v>45490.01510094339</v>
      </c>
      <c r="H147" s="13" t="str">
        <f>INT(P[[#This Row],[Sun]]/30)&amp;"s"&amp;ROUNDUP(MOD(P[[#This Row],[Sun]],30),2)</f>
        <v>3s0.74</v>
      </c>
      <c r="I147" s="13" t="str">
        <f>INT(P[[#This Row],[Moon]]/30)&amp;"s"&amp;ROUNDUP(MOD(P[[#This Row],[Moon]],30),2)</f>
        <v>7s5.25</v>
      </c>
      <c r="J147" s="14">
        <f t="shared" si="30"/>
        <v>45490.01510094339</v>
      </c>
      <c r="K147" s="10" t="str">
        <f>naks(P[[#This Row],[Moon]])</f>
        <v>Anuradha</v>
      </c>
      <c r="L147" s="15">
        <f>(C148-P[[#This Row],[SunRise]])/(MOD(360+V148-P[[#This Row],[Moon]],360))*(13.3333333333333-MOD(P[[#This Row],[Moon]],13.333333333333))+P[[#This Row],[SunRise]]</f>
        <v>45491.13232450471</v>
      </c>
      <c r="M147" s="4" t="str">
        <f>IF(Panchanga!$R147&gt;15,"K","S")&amp;ROUNDUP(MOD(Panchanga!$R147,15),0)&amp;" ("&amp;ROUND(Panchanga!$R147,2)&amp;")"</f>
        <v>S11 (10.38)</v>
      </c>
      <c r="N147" s="4">
        <f>IF(AND(Panchanga!$R147&lt;28.5,Panchanga!$R147&gt;0.49999),MOD((Panchanga!$R147-0.5)*2,7),MOD((Panchanga!$R147+30-28.5),30)*2+7)</f>
        <v>5.7515999999999998</v>
      </c>
      <c r="O147" s="4" t="str">
        <f>CHOOSE(ROUNDUP(Panchanga!$N147,0),"Bhava","Baalava","Kaulava","Taitula","Garija","Vanija","Vishti","Shakuni","Chatushapda","Naaga","Kimstugna")</f>
        <v>Vanija</v>
      </c>
      <c r="P147" s="11" t="str">
        <f>CHOOSE(ROUNDUP(Panchanga!$S147,0),"viṣkambha","prīti","āyuṣmāna","saubhāgya","śobhana","atigaṇḍa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("&amp;Panchanga!$S147&amp;")"</f>
        <v>śubha (22.95)</v>
      </c>
      <c r="Q147" s="4">
        <f>IF(AND(Panchanga!$R147&lt;28.5,Panchanga!$R147&gt;0.49999),MOD((Panchanga!$R147-0.5)*2,7),MOD((Panchanga!$R147+30-28.5),30)*2+7)</f>
        <v>5.7515999999999998</v>
      </c>
      <c r="R147" s="4">
        <f>ROUNDUP(MOD(360+P[[#This Row],[Moon]]-P[[#This Row],[Sun]],360)/12,4)</f>
        <v>10.3758</v>
      </c>
      <c r="S147" s="4">
        <f>ROUNDUP(MOD(P[[#This Row],[Sun]]+P[[#This Row],[Moon]],360)/13.333333333,2)</f>
        <v>22.950000000000003</v>
      </c>
      <c r="T147" s="4" t="str">
        <f>SIGN(W148-Panchanga!$W147)*INT(Panchanga!$W147/30+1)&amp;"Ma,"&amp;SIGN(X148-Panchanga!$X147)*INT(Panchanga!$X147/30+1)&amp;"Me,"&amp;SIGN(Y148-Panchanga!$Y147)*INT(Panchanga!$Y147/30+1)&amp;"J, "&amp;SIGN(Z148-Panchanga!$Z147)*INT(Panchanga!$Z147/30+1)&amp;"V,"&amp;SIGN(AA148-Panchanga!$AA147)*INT(Panchanga!$AA147/30+1)&amp;"S,"&amp;INT(Panchanga!$AB147/30+1)&amp;"R"</f>
        <v>2Ma,4Me,2J, 4V,-11S,12R</v>
      </c>
      <c r="U147" s="4">
        <f t="shared" si="28"/>
        <v>90.737035877202814</v>
      </c>
      <c r="V147" s="4">
        <f t="shared" si="29"/>
        <v>215.24605401592231</v>
      </c>
      <c r="W147" s="4">
        <f>Planet(Panchanga!$G147,4)</f>
        <v>33.123878924430635</v>
      </c>
      <c r="X147" s="4">
        <f>Planet(Panchanga!$G147,2)</f>
        <v>117.03683971228368</v>
      </c>
      <c r="Y147" s="4">
        <f>Planet(Panchanga!$G147,5)</f>
        <v>47.359826832050892</v>
      </c>
      <c r="Z147" s="4">
        <f>Planet(Panchanga!$G147,3)</f>
        <v>102.35679590280741</v>
      </c>
      <c r="AA147" s="4">
        <f>Planet(Panchanga!$G147,6)</f>
        <v>324.98442385818976</v>
      </c>
      <c r="AB147" s="4">
        <f>Planet(Panchanga!$G147,10)</f>
        <v>346.19283539312141</v>
      </c>
      <c r="AC147" s="4" t="str">
        <f>TEXT(Panchanga!$C147+($C148-Panchanga!$C147)/ABS(IF($R148&lt;1,$R148+30,$R148)-Panchanga!$R147)*(ROUNDUP(Panchanga!$R147,0)-Panchanga!$R147),"hh:mm AM/PM")</f>
        <v>08:57 PM</v>
      </c>
      <c r="AD147" s="4"/>
    </row>
    <row r="148" spans="1:30" x14ac:dyDescent="0.2">
      <c r="A148" s="3">
        <f t="shared" si="31"/>
        <v>45491</v>
      </c>
      <c r="B148" s="3">
        <f t="shared" si="26"/>
        <v>45491.229166666664</v>
      </c>
      <c r="C148" s="6">
        <f t="shared" si="27"/>
        <v>45491.244458375651</v>
      </c>
      <c r="D148" s="6">
        <f>sunset(Lat,Long,B148)+TimeZone/24-0.000277777777777778</f>
        <v>45490.777659878644</v>
      </c>
      <c r="E148" s="6">
        <f>PlanetRiseSet(Lat,Long,B148,1,1)+TimeZone/24+0.00103009259259259</f>
        <v>45490.624901726995</v>
      </c>
      <c r="F148" s="6">
        <f>PlanetRiseSet(Lat,Long,B148+1,1,2)+TimeZone/24+0.00103009259259259</f>
        <v>45492.142623874977</v>
      </c>
      <c r="G148" s="17">
        <f>Panchanga!$C148-TimeZone/24</f>
        <v>45491.015291708987</v>
      </c>
      <c r="H148" s="13" t="str">
        <f>INT(P[[#This Row],[Sun]]/30)&amp;"s"&amp;ROUNDUP(MOD(P[[#This Row],[Sun]],30),2)</f>
        <v>3s1.7</v>
      </c>
      <c r="I148" s="13" t="str">
        <f>INT(P[[#This Row],[Moon]]/30)&amp;"s"&amp;ROUNDUP(MOD(P[[#This Row],[Moon]],30),2)</f>
        <v>7s18.11</v>
      </c>
      <c r="J148" s="14">
        <f t="shared" si="30"/>
        <v>45491.015291708987</v>
      </c>
      <c r="K148" s="10" t="str">
        <f>naks(P[[#This Row],[Moon]])</f>
        <v>Jyestha</v>
      </c>
      <c r="L148" s="15">
        <f>(C149-P[[#This Row],[SunRise]])/(MOD(360+V149-P[[#This Row],[Moon]],360))*(13.3333333333333-MOD(P[[#This Row],[Moon]],13.333333333333))+P[[#This Row],[SunRise]]</f>
        <v>45492.141216929544</v>
      </c>
      <c r="M148" s="4" t="str">
        <f>IF(Panchanga!$R148&gt;15,"K","S")&amp;ROUNDUP(MOD(Panchanga!$R148,15),0)&amp;" ("&amp;ROUND(Panchanga!$R148,2)&amp;")"</f>
        <v>S12 (11.37)</v>
      </c>
      <c r="N148" s="4">
        <f>IF(AND(Panchanga!$R148&lt;28.5,Panchanga!$R148&gt;0.49999),MOD((Panchanga!$R148-0.5)*2,7),MOD((Panchanga!$R148+30-28.5),30)*2+7)</f>
        <v>0.73639999999999972</v>
      </c>
      <c r="O148" s="4" t="str">
        <f>CHOOSE(ROUNDUP(Panchanga!$N148,0),"Bhava","Baalava","Kaulava","Taitula","Garija","Vanija","Vishti","Shakuni","Chatushapda","Naaga","Kimstugna")</f>
        <v>Bhava</v>
      </c>
      <c r="P148" s="11" t="str">
        <f>CHOOSE(ROUNDUP(Panchanga!$S148,0),"viṣkambha","prīti","āyuṣmāna","saubhāgya","śobhana","atigaṇḍa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("&amp;Panchanga!$S148&amp;")"</f>
        <v>śukla (23.99)</v>
      </c>
      <c r="Q148" s="4">
        <f>IF(AND(Panchanga!$R148&lt;28.5,Panchanga!$R148&gt;0.49999),MOD((Panchanga!$R148-0.5)*2,7),MOD((Panchanga!$R148+30-28.5),30)*2+7)</f>
        <v>0.73639999999999972</v>
      </c>
      <c r="R148" s="4">
        <f>ROUNDUP(MOD(360+P[[#This Row],[Moon]]-P[[#This Row],[Sun]],360)/12,4)</f>
        <v>11.3682</v>
      </c>
      <c r="S148" s="4">
        <f>ROUNDUP(MOD(P[[#This Row],[Sun]]+P[[#This Row],[Moon]],360)/13.333333333,2)</f>
        <v>23.990000000000002</v>
      </c>
      <c r="T148" s="4" t="str">
        <f>SIGN(W149-Panchanga!$W148)*INT(Panchanga!$W148/30+1)&amp;"Ma,"&amp;SIGN(X149-Panchanga!$X148)*INT(Panchanga!$X148/30+1)&amp;"Me,"&amp;SIGN(Y149-Panchanga!$Y148)*INT(Panchanga!$Y148/30+1)&amp;"J, "&amp;SIGN(Z149-Panchanga!$Z148)*INT(Panchanga!$Z148/30+1)&amp;"V,"&amp;SIGN(AA149-Panchanga!$AA148)*INT(Panchanga!$AA148/30+1)&amp;"S,"&amp;INT(Panchanga!$AB148/30+1)&amp;"R"</f>
        <v>2Ma,4Me,2J, 4V,-11S,12R</v>
      </c>
      <c r="U148" s="4">
        <f t="shared" si="28"/>
        <v>91.691036399839561</v>
      </c>
      <c r="V148" s="4">
        <f t="shared" si="29"/>
        <v>228.10873362516614</v>
      </c>
      <c r="W148" s="4">
        <f>Planet(Panchanga!$G148,4)</f>
        <v>33.821595326822091</v>
      </c>
      <c r="X148" s="4">
        <f>Planet(Panchanga!$G148,2)</f>
        <v>118.204670016685</v>
      </c>
      <c r="Y148" s="4">
        <f>Planet(Panchanga!$G148,5)</f>
        <v>47.558908248823691</v>
      </c>
      <c r="Z148" s="4">
        <f>Planet(Panchanga!$G148,3)</f>
        <v>103.58563732844728</v>
      </c>
      <c r="AA148" s="4">
        <f>Planet(Panchanga!$G148,6)</f>
        <v>324.95556204860844</v>
      </c>
      <c r="AB148" s="4">
        <f>Planet(Panchanga!$G148,10)</f>
        <v>346.13983329691018</v>
      </c>
      <c r="AC148" s="4" t="str">
        <f>TEXT(Panchanga!$C148+($C149-Panchanga!$C148)/ABS(IF($R149&lt;1,$R149+30,$R149)-Panchanga!$R148)*(ROUNDUP(Panchanga!$R148,0)-Panchanga!$R148),"hh:mm AM/PM")</f>
        <v>08:39 PM</v>
      </c>
      <c r="AD148" s="4"/>
    </row>
    <row r="149" spans="1:30" x14ac:dyDescent="0.2">
      <c r="A149" s="3">
        <f t="shared" si="31"/>
        <v>45492</v>
      </c>
      <c r="B149" s="3">
        <f t="shared" si="26"/>
        <v>45492.229166666664</v>
      </c>
      <c r="C149" s="6">
        <f t="shared" si="27"/>
        <v>45492.244646962419</v>
      </c>
      <c r="D149" s="6">
        <f>sunset(Lat,Long,B149)+TimeZone/24-0.000277777777777778</f>
        <v>45491.77757016434</v>
      </c>
      <c r="E149" s="6">
        <f>PlanetRiseSet(Lat,Long,B149,1,1)+TimeZone/24+0.00103009259259259</f>
        <v>45491.665365035798</v>
      </c>
      <c r="F149" s="6">
        <f>PlanetRiseSet(Lat,Long,B149+1,1,2)+TimeZone/24+0.00103009259259259</f>
        <v>45493.184321383167</v>
      </c>
      <c r="G149" s="17">
        <f>Panchanga!$C149-TimeZone/24</f>
        <v>45492.015480295755</v>
      </c>
      <c r="H149" s="13" t="str">
        <f>INT(P[[#This Row],[Sun]]/30)&amp;"s"&amp;ROUNDUP(MOD(P[[#This Row],[Sun]],30),2)</f>
        <v>3s2.65</v>
      </c>
      <c r="I149" s="13" t="str">
        <f>INT(P[[#This Row],[Moon]]/30)&amp;"s"&amp;ROUNDUP(MOD(P[[#This Row],[Moon]],30),2)</f>
        <v>8s1.38</v>
      </c>
      <c r="J149" s="14">
        <f t="shared" si="30"/>
        <v>45492.015480295755</v>
      </c>
      <c r="K149" s="10" t="str">
        <f>naks(P[[#This Row],[Moon]])</f>
        <v>Moola</v>
      </c>
      <c r="L149" s="15">
        <f>(C150-P[[#This Row],[SunRise]])/(MOD(360+V150-P[[#This Row],[Moon]],360))*(13.3333333333333-MOD(P[[#This Row],[Moon]],13.333333333333))+P[[#This Row],[SunRise]]</f>
        <v>45493.120176594341</v>
      </c>
      <c r="M149" s="4" t="str">
        <f>IF(Panchanga!$R149&gt;15,"K","S")&amp;ROUNDUP(MOD(Panchanga!$R149,15),0)&amp;" ("&amp;ROUND(Panchanga!$R149,2)&amp;")"</f>
        <v>S13 (12.39)</v>
      </c>
      <c r="N149" s="4">
        <f>IF(AND(Panchanga!$R149&lt;28.5,Panchanga!$R149&gt;0.49999),MOD((Panchanga!$R149-0.5)*2,7),MOD((Panchanga!$R149+30-28.5),30)*2+7)</f>
        <v>2.7878000000000007</v>
      </c>
      <c r="O149" s="4" t="str">
        <f>CHOOSE(ROUNDUP(Panchanga!$N149,0),"Bhava","Baalava","Kaulava","Taitula","Garija","Vanija","Vishti","Shakuni","Chatushapda","Naaga","Kimstugna")</f>
        <v>Kaulava</v>
      </c>
      <c r="P149" s="11" t="str">
        <f>CHOOSE(ROUNDUP(Panchanga!$S149,0),"viṣkambha","prīti","āyuṣmāna","saubhāgya","śobhana","atigaṇḍa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("&amp;Panchanga!$S149&amp;")"</f>
        <v>mahendra (25.06)</v>
      </c>
      <c r="Q149" s="4">
        <f>IF(AND(Panchanga!$R149&lt;28.5,Panchanga!$R149&gt;0.49999),MOD((Panchanga!$R149-0.5)*2,7),MOD((Panchanga!$R149+30-28.5),30)*2+7)</f>
        <v>2.7878000000000007</v>
      </c>
      <c r="R149" s="4">
        <f>ROUNDUP(MOD(360+P[[#This Row],[Moon]]-P[[#This Row],[Sun]],360)/12,4)</f>
        <v>12.3939</v>
      </c>
      <c r="S149" s="4">
        <f>ROUNDUP(MOD(P[[#This Row],[Sun]]+P[[#This Row],[Moon]],360)/13.333333333,2)</f>
        <v>25.060000000000002</v>
      </c>
      <c r="T149" s="4" t="str">
        <f>SIGN(W150-Panchanga!$W149)*INT(Panchanga!$W149/30+1)&amp;"Ma,"&amp;SIGN(X150-Panchanga!$X149)*INT(Panchanga!$X149/30+1)&amp;"Me,"&amp;SIGN(Y150-Panchanga!$Y149)*INT(Panchanga!$Y149/30+1)&amp;"J, "&amp;SIGN(Z150-Panchanga!$Z149)*INT(Panchanga!$Z149/30+1)&amp;"V,"&amp;SIGN(AA150-Panchanga!$AA149)*INT(Panchanga!$AA149/30+1)&amp;"S,"&amp;INT(Panchanga!$AB149/30+1)&amp;"R"</f>
        <v>2Ma,4Me,2J, 4V,-11S,12R</v>
      </c>
      <c r="U149" s="4">
        <f t="shared" si="28"/>
        <v>92.645095956629305</v>
      </c>
      <c r="V149" s="4">
        <f t="shared" si="29"/>
        <v>241.37151083395764</v>
      </c>
      <c r="W149" s="4">
        <f>Planet(Panchanga!$G149,4)</f>
        <v>34.51787892664013</v>
      </c>
      <c r="X149" s="4">
        <f>Planet(Panchanga!$G149,2)</f>
        <v>119.32919905145704</v>
      </c>
      <c r="Y149" s="4">
        <f>Planet(Panchanga!$G149,5)</f>
        <v>47.756730918111622</v>
      </c>
      <c r="Z149" s="4">
        <f>Planet(Panchanga!$G149,3)</f>
        <v>104.81442620062404</v>
      </c>
      <c r="AA149" s="4">
        <f>Planet(Panchanga!$G149,6)</f>
        <v>324.92516656045098</v>
      </c>
      <c r="AB149" s="4">
        <f>Planet(Panchanga!$G149,10)</f>
        <v>346.08683131615305</v>
      </c>
      <c r="AC149" s="4" t="str">
        <f>TEXT(Panchanga!$C149+($C150-Panchanga!$C149)/ABS(IF($R150&lt;1,$R150+30,$R150)-Panchanga!$R149)*(ROUNDUP(Panchanga!$R149,0)-Panchanga!$R149),"hh:mm AM/PM")</f>
        <v>07:36 PM</v>
      </c>
      <c r="AD149" s="4"/>
    </row>
    <row r="150" spans="1:30" x14ac:dyDescent="0.2">
      <c r="A150" s="3">
        <f t="shared" si="31"/>
        <v>45493</v>
      </c>
      <c r="B150" s="3">
        <f t="shared" si="26"/>
        <v>45493.229166666664</v>
      </c>
      <c r="C150" s="6">
        <f t="shared" si="27"/>
        <v>45493.244833208773</v>
      </c>
      <c r="D150" s="6">
        <f>sunset(Lat,Long,B150)+TimeZone/24-0.000277777777777778</f>
        <v>45492.777469775683</v>
      </c>
      <c r="E150" s="6">
        <f>PlanetRiseSet(Lat,Long,B150,1,1)+TimeZone/24+0.00103009259259259</f>
        <v>45492.707141310129</v>
      </c>
      <c r="F150" s="6">
        <f>PlanetRiseSet(Lat,Long,B150+1,1,2)+TimeZone/24+0.00103009259259259</f>
        <v>45494.228246313673</v>
      </c>
      <c r="G150" s="17">
        <f>Panchanga!$C150-TimeZone/24</f>
        <v>45493.015666542109</v>
      </c>
      <c r="H150" s="13" t="str">
        <f>INT(P[[#This Row],[Sun]]/30)&amp;"s"&amp;ROUNDUP(MOD(P[[#This Row],[Sun]],30),2)</f>
        <v>3s3.6</v>
      </c>
      <c r="I150" s="13" t="str">
        <f>INT(P[[#This Row],[Moon]]/30)&amp;"s"&amp;ROUNDUP(MOD(P[[#This Row],[Moon]],30),2)</f>
        <v>8s15.04</v>
      </c>
      <c r="J150" s="14">
        <f t="shared" si="30"/>
        <v>45493.015666542109</v>
      </c>
      <c r="K150" s="10" t="str">
        <f>naks(P[[#This Row],[Moon]])</f>
        <v>Purva Asadha</v>
      </c>
      <c r="L150" s="15">
        <f>(C151-P[[#This Row],[SunRise]])/(MOD(360+V151-P[[#This Row],[Moon]],360))*(13.3333333333333-MOD(P[[#This Row],[Moon]],13.333333333333))+P[[#This Row],[SunRise]]</f>
        <v>45494.073910082319</v>
      </c>
      <c r="M150" s="4" t="str">
        <f>IF(Panchanga!$R150&gt;15,"K","S")&amp;ROUNDUP(MOD(Panchanga!$R150,15),0)&amp;" ("&amp;ROUND(Panchanga!$R150,2)&amp;")"</f>
        <v>S14 (13.45)</v>
      </c>
      <c r="N150" s="4">
        <f>IF(AND(Panchanga!$R150&lt;28.5,Panchanga!$R150&gt;0.49999),MOD((Panchanga!$R150-0.5)*2,7),MOD((Panchanga!$R150+30-28.5),30)*2+7)</f>
        <v>4.9063999999999979</v>
      </c>
      <c r="O150" s="4" t="str">
        <f>CHOOSE(ROUNDUP(Panchanga!$N150,0),"Bhava","Baalava","Kaulava","Taitula","Garija","Vanija","Vishti","Shakuni","Chatushapda","Naaga","Kimstugna")</f>
        <v>Garija</v>
      </c>
      <c r="P150" s="11" t="str">
        <f>CHOOSE(ROUNDUP(Panchanga!$S150,0),"viṣkambha","prīti","āyuṣmāna","saubhāgya","śobhana","atigaṇḍa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("&amp;Panchanga!$S150&amp;")"</f>
        <v>vaidhṛti (26.15)</v>
      </c>
      <c r="Q150" s="4">
        <f>IF(AND(Panchanga!$R150&lt;28.5,Panchanga!$R150&gt;0.49999),MOD((Panchanga!$R150-0.5)*2,7),MOD((Panchanga!$R150+30-28.5),30)*2+7)</f>
        <v>4.9063999999999979</v>
      </c>
      <c r="R150" s="4">
        <f>ROUNDUP(MOD(360+P[[#This Row],[Moon]]-P[[#This Row],[Sun]],360)/12,4)</f>
        <v>13.453199999999999</v>
      </c>
      <c r="S150" s="4">
        <f>ROUNDUP(MOD(P[[#This Row],[Sun]]+P[[#This Row],[Moon]],360)/13.333333333,2)</f>
        <v>26.150000000000002</v>
      </c>
      <c r="T150" s="4" t="str">
        <f>SIGN(W151-Panchanga!$W150)*INT(Panchanga!$W150/30+1)&amp;"Ma,"&amp;SIGN(X151-Panchanga!$X150)*INT(Panchanga!$X150/30+1)&amp;"Me,"&amp;SIGN(Y151-Panchanga!$Y150)*INT(Panchanga!$Y150/30+1)&amp;"J, "&amp;SIGN(Z151-Panchanga!$Z150)*INT(Panchanga!$Z150/30+1)&amp;"V,"&amp;SIGN(AA151-Panchanga!$AA150)*INT(Panchanga!$AA150/30+1)&amp;"S,"&amp;INT(Panchanga!$AB150/30+1)&amp;"R"</f>
        <v>2Ma,5Me,2J, 4V,-11S,12R</v>
      </c>
      <c r="U150" s="4">
        <f t="shared" si="28"/>
        <v>93.59923560692809</v>
      </c>
      <c r="V150" s="4">
        <f t="shared" si="29"/>
        <v>255.03643993399334</v>
      </c>
      <c r="W150" s="4">
        <f>Planet(Panchanga!$G150,4)</f>
        <v>35.212726444829627</v>
      </c>
      <c r="X150" s="4">
        <f>Planet(Panchanga!$G150,2)</f>
        <v>120.40904115352505</v>
      </c>
      <c r="Y150" s="4">
        <f>Planet(Panchanga!$G150,5)</f>
        <v>47.953274612459445</v>
      </c>
      <c r="Z150" s="4">
        <f>Planet(Panchanga!$G150,3)</f>
        <v>106.04316492398301</v>
      </c>
      <c r="AA150" s="4">
        <f>Planet(Panchanga!$G150,6)</f>
        <v>324.89325082975722</v>
      </c>
      <c r="AB150" s="4">
        <f>Planet(Panchanga!$G150,10)</f>
        <v>346.03382945941604</v>
      </c>
      <c r="AC150" s="4" t="str">
        <f>TEXT(Panchanga!$C150+($C151-Panchanga!$C150)/ABS(IF($R151&lt;1,$R151+30,$R151)-Panchanga!$R150)*(ROUNDUP(Panchanga!$R150,0)-Panchanga!$R150),"hh:mm AM/PM")</f>
        <v>05:55 PM</v>
      </c>
      <c r="AD150" s="4"/>
    </row>
    <row r="151" spans="1:30" x14ac:dyDescent="0.2">
      <c r="A151" s="3">
        <f t="shared" si="31"/>
        <v>45494</v>
      </c>
      <c r="B151" s="3">
        <f t="shared" si="26"/>
        <v>45494.229166666664</v>
      </c>
      <c r="C151" s="6">
        <f t="shared" si="27"/>
        <v>45494.245016968962</v>
      </c>
      <c r="D151" s="6">
        <f>sunset(Lat,Long,B151)+TimeZone/24-0.000277777777777778</f>
        <v>45493.777358730833</v>
      </c>
      <c r="E151" s="6">
        <f>PlanetRiseSet(Lat,Long,B151,1,1)+TimeZone/24+0.00103009259259259</f>
        <v>45493.748527946103</v>
      </c>
      <c r="F151" s="6">
        <f>PlanetRiseSet(Lat,Long,B151+1,1,2)+TimeZone/24+0.00103009259259259</f>
        <v>45495.272483495217</v>
      </c>
      <c r="G151" s="17">
        <f>Panchanga!$C151-TimeZone/24</f>
        <v>45494.015850302298</v>
      </c>
      <c r="H151" s="13" t="str">
        <f>INT(P[[#This Row],[Sun]]/30)&amp;"s"&amp;ROUNDUP(MOD(P[[#This Row],[Sun]],30),2)</f>
        <v>3s4.56</v>
      </c>
      <c r="I151" s="13" t="str">
        <f>INT(P[[#This Row],[Moon]]/30)&amp;"s"&amp;ROUNDUP(MOD(P[[#This Row],[Moon]],30),2)</f>
        <v>8s29.07</v>
      </c>
      <c r="J151" s="14">
        <f t="shared" si="30"/>
        <v>45494.015850302298</v>
      </c>
      <c r="K151" s="10" t="str">
        <f>naks(P[[#This Row],[Moon]])</f>
        <v>Uttara Asadha</v>
      </c>
      <c r="L151" s="15">
        <f>(C152-P[[#This Row],[SunRise]])/(MOD(360+V152-P[[#This Row],[Moon]],360))*(13.3333333333333-MOD(P[[#This Row],[Moon]],13.333333333333))+P[[#This Row],[SunRise]]</f>
        <v>45495.008498917894</v>
      </c>
      <c r="M151" s="4" t="str">
        <f>IF(Panchanga!$R151&gt;15,"K","S")&amp;ROUNDUP(MOD(Panchanga!$R151,15),0)&amp;" ("&amp;ROUND(Panchanga!$R151,2)&amp;")"</f>
        <v>S15 (14.54)</v>
      </c>
      <c r="N151" s="4">
        <f>IF(AND(Panchanga!$R151&lt;28.5,Panchanga!$R151&gt;0.49999),MOD((Panchanga!$R151-0.5)*2,7),MOD((Panchanga!$R151+30-28.5),30)*2+7)</f>
        <v>8.5599999999999454E-2</v>
      </c>
      <c r="O151" s="4" t="str">
        <f>CHOOSE(ROUNDUP(Panchanga!$N151,0),"Bhava","Baalava","Kaulava","Taitula","Garija","Vanija","Vishti","Shakuni","Chatushapda","Naaga","Kimstugna")</f>
        <v>Bhava</v>
      </c>
      <c r="P151" s="11" t="str">
        <f>CHOOSE(ROUNDUP(Panchanga!$S151,0),"viṣkambha","prīti","āyuṣmāna","saubhāgya","śobhana","atigaṇḍa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("&amp;Panchanga!$S151&amp;")"</f>
        <v>viṣkambha (0.28)</v>
      </c>
      <c r="Q151" s="4">
        <f>IF(AND(Panchanga!$R151&lt;28.5,Panchanga!$R151&gt;0.49999),MOD((Panchanga!$R151-0.5)*2,7),MOD((Panchanga!$R151+30-28.5),30)*2+7)</f>
        <v>8.5599999999999454E-2</v>
      </c>
      <c r="R151" s="4">
        <f>ROUNDUP(MOD(360+P[[#This Row],[Moon]]-P[[#This Row],[Sun]],360)/12,4)</f>
        <v>14.5428</v>
      </c>
      <c r="S151" s="4">
        <f>ROUNDUP(MOD(P[[#This Row],[Sun]]+P[[#This Row],[Moon]],360)/13.333333333,2)</f>
        <v>0.28000000000000003</v>
      </c>
      <c r="T151" s="4" t="str">
        <f>SIGN(W152-Panchanga!$W151)*INT(Panchanga!$W151/30+1)&amp;"Ma,"&amp;SIGN(X152-Panchanga!$X151)*INT(Panchanga!$X151/30+1)&amp;"Me,"&amp;SIGN(Y152-Panchanga!$Y151)*INT(Panchanga!$Y151/30+1)&amp;"J, "&amp;SIGN(Z152-Panchanga!$Z151)*INT(Panchanga!$Z151/30+1)&amp;"V,"&amp;SIGN(AA152-Panchanga!$AA151)*INT(Panchanga!$AA151/30+1)&amp;"S,"&amp;INT(Panchanga!$AB151/30+1)&amp;"R"</f>
        <v>2Ma,5Me,2J, 4V,-11S,12R</v>
      </c>
      <c r="U151" s="4">
        <f t="shared" si="28"/>
        <v>94.553479706821008</v>
      </c>
      <c r="V151" s="4">
        <f t="shared" si="29"/>
        <v>269.06694093633871</v>
      </c>
      <c r="W151" s="4">
        <f>Planet(Panchanga!$G151,4)</f>
        <v>35.906134300597834</v>
      </c>
      <c r="X151" s="4">
        <f>Planet(Panchanga!$G151,2)</f>
        <v>121.44266636620584</v>
      </c>
      <c r="Y151" s="4">
        <f>Planet(Panchanga!$G151,5)</f>
        <v>48.148519045731454</v>
      </c>
      <c r="Z151" s="4">
        <f>Planet(Panchanga!$G151,3)</f>
        <v>107.27185793615207</v>
      </c>
      <c r="AA151" s="4">
        <f>Planet(Panchanga!$G151,6)</f>
        <v>324.85982839475855</v>
      </c>
      <c r="AB151" s="4">
        <f>Planet(Panchanga!$G151,10)</f>
        <v>345.98082773446981</v>
      </c>
      <c r="AC151" s="4" t="str">
        <f>TEXT(Panchanga!$C151+($C152-Panchanga!$C151)/ABS(IF($R152&lt;1,$R152+30,$R152)-Panchanga!$R151)*(ROUNDUP(Panchanga!$R151,0)-Panchanga!$R151),"hh:mm AM/PM")</f>
        <v>03:43 PM</v>
      </c>
      <c r="AD151" s="4"/>
    </row>
    <row r="152" spans="1:30" x14ac:dyDescent="0.2">
      <c r="A152" s="3">
        <f t="shared" si="31"/>
        <v>45495</v>
      </c>
      <c r="B152" s="3">
        <f t="shared" si="26"/>
        <v>45495.229166666664</v>
      </c>
      <c r="C152" s="6">
        <f t="shared" si="27"/>
        <v>45495.245198116325</v>
      </c>
      <c r="D152" s="6">
        <f>sunset(Lat,Long,B152)+TimeZone/24-0.000277777777777778</f>
        <v>45494.777237061455</v>
      </c>
      <c r="E152" s="6">
        <f>PlanetRiseSet(Lat,Long,B152,1,1)+TimeZone/24+0.00103009259259259</f>
        <v>45494.787826153137</v>
      </c>
      <c r="F152" s="6">
        <f>PlanetRiseSet(Lat,Long,B152+1,1,2)+TimeZone/24+0.00103009259259259</f>
        <v>45496.315528458137</v>
      </c>
      <c r="G152" s="17">
        <f>Panchanga!$C152-TimeZone/24</f>
        <v>45495.016031449661</v>
      </c>
      <c r="H152" s="13" t="str">
        <f>INT(P[[#This Row],[Sun]]/30)&amp;"s"&amp;ROUNDUP(MOD(P[[#This Row],[Sun]],30),2)</f>
        <v>3s5.51</v>
      </c>
      <c r="I152" s="13" t="str">
        <f>INT(P[[#This Row],[Moon]]/30)&amp;"s"&amp;ROUNDUP(MOD(P[[#This Row],[Moon]],30),2)</f>
        <v>9s13.39</v>
      </c>
      <c r="J152" s="14">
        <f t="shared" si="30"/>
        <v>45495.016031449661</v>
      </c>
      <c r="K152" s="10" t="str">
        <f>naks(P[[#This Row],[Moon]])</f>
        <v>Sravana</v>
      </c>
      <c r="L152" s="15">
        <f>(C153-P[[#This Row],[SunRise]])/(MOD(360+V153-P[[#This Row],[Moon]],360))*(13.3333333333333-MOD(P[[#This Row],[Moon]],13.333333333333))+P[[#This Row],[SunRise]]</f>
        <v>45495.930441726618</v>
      </c>
      <c r="M152" s="4" t="str">
        <f>IF(Panchanga!$R152&gt;15,"K","S")&amp;ROUNDUP(MOD(Panchanga!$R152,15),0)&amp;" ("&amp;ROUND(Panchanga!$R152,2)&amp;")"</f>
        <v>K1 (15.66)</v>
      </c>
      <c r="N152" s="4">
        <f>IF(AND(Panchanga!$R152&lt;28.5,Panchanga!$R152&gt;0.49999),MOD((Panchanga!$R152-0.5)*2,7),MOD((Panchanga!$R152+30-28.5),30)*2+7)</f>
        <v>2.3138000000000005</v>
      </c>
      <c r="O152" s="4" t="str">
        <f>CHOOSE(ROUNDUP(Panchanga!$N152,0),"Bhava","Baalava","Kaulava","Taitula","Garija","Vanija","Vishti","Shakuni","Chatushapda","Naaga","Kimstugna")</f>
        <v>Kaulava</v>
      </c>
      <c r="P152" s="11" t="str">
        <f>CHOOSE(ROUNDUP(Panchanga!$S152,0),"viṣkambha","prīti","āyuṣmāna","saubhāgya","śobhana","atigaṇḍa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("&amp;Panchanga!$S152&amp;")"</f>
        <v>prīti (1.42)</v>
      </c>
      <c r="Q152" s="4">
        <f>IF(AND(Panchanga!$R152&lt;28.5,Panchanga!$R152&gt;0.49999),MOD((Panchanga!$R152-0.5)*2,7),MOD((Panchanga!$R152+30-28.5),30)*2+7)</f>
        <v>2.3138000000000005</v>
      </c>
      <c r="R152" s="4">
        <f>ROUNDUP(MOD(360+P[[#This Row],[Moon]]-P[[#This Row],[Sun]],360)/12,4)</f>
        <v>15.6569</v>
      </c>
      <c r="S152" s="4">
        <f>ROUNDUP(MOD(P[[#This Row],[Sun]]+P[[#This Row],[Moon]],360)/13.333333333,2)</f>
        <v>1.42</v>
      </c>
      <c r="T152" s="4" t="str">
        <f>SIGN(W153-Panchanga!$W152)*INT(Panchanga!$W152/30+1)&amp;"Ma,"&amp;SIGN(X153-Panchanga!$X152)*INT(Panchanga!$X152/30+1)&amp;"Me,"&amp;SIGN(Y153-Panchanga!$Y152)*INT(Panchanga!$Y152/30+1)&amp;"J, "&amp;SIGN(Z153-Panchanga!$Z152)*INT(Panchanga!$Z152/30+1)&amp;"V,"&amp;SIGN(AA153-Panchanga!$AA152)*INT(Panchanga!$AA152/30+1)&amp;"S,"&amp;INT(Panchanga!$AB152/30+1)&amp;"R"</f>
        <v>2Ma,5Me,2J, 4V,-11S,12R</v>
      </c>
      <c r="U152" s="4">
        <f t="shared" si="28"/>
        <v>95.507855364343072</v>
      </c>
      <c r="V152" s="4">
        <f t="shared" si="29"/>
        <v>283.38953176352146</v>
      </c>
      <c r="W152" s="4">
        <f>Planet(Panchanga!$G152,4)</f>
        <v>36.598097743257405</v>
      </c>
      <c r="X152" s="4">
        <f>Planet(Panchanga!$G152,2)</f>
        <v>122.42839555708701</v>
      </c>
      <c r="Y152" s="4">
        <f>Planet(Panchanga!$G152,5)</f>
        <v>48.342443598757832</v>
      </c>
      <c r="Z152" s="4">
        <f>Planet(Panchanga!$G152,3)</f>
        <v>108.50051159940759</v>
      </c>
      <c r="AA152" s="4">
        <f>Planet(Panchanga!$G152,6)</f>
        <v>324.82491282314669</v>
      </c>
      <c r="AB152" s="4">
        <f>Planet(Panchanga!$G152,10)</f>
        <v>345.92782614794197</v>
      </c>
      <c r="AC152" s="4" t="str">
        <f>TEXT(Panchanga!$C152+($C153-Panchanga!$C152)/ABS(IF($R153&lt;1,$R153+30,$R153)-Panchanga!$R152)*(ROUNDUP(Panchanga!$R152,0)-Panchanga!$R152),"hh:mm AM/PM")</f>
        <v>01:10 PM</v>
      </c>
      <c r="AD152" s="4"/>
    </row>
    <row r="153" spans="1:30" x14ac:dyDescent="0.2">
      <c r="A153" s="3">
        <f t="shared" si="31"/>
        <v>45496</v>
      </c>
      <c r="B153" s="3">
        <f t="shared" si="26"/>
        <v>45496.229166666664</v>
      </c>
      <c r="C153" s="6">
        <f t="shared" si="27"/>
        <v>45496.245376536775</v>
      </c>
      <c r="D153" s="6">
        <f>sunset(Lat,Long,B153)+TimeZone/24-0.000277777777777778</f>
        <v>45495.777104813649</v>
      </c>
      <c r="E153" s="6">
        <f>PlanetRiseSet(Lat,Long,B153,1,1)+TimeZone/24+0.00103009259259259</f>
        <v>45495.824059373852</v>
      </c>
      <c r="F153" s="6">
        <f>PlanetRiseSet(Lat,Long,B153+1,1,2)+TimeZone/24+0.00103009259259259</f>
        <v>45497.356771210827</v>
      </c>
      <c r="G153" s="17">
        <f>Panchanga!$C153-TimeZone/24</f>
        <v>45496.016209870111</v>
      </c>
      <c r="H153" s="13" t="str">
        <f>INT(P[[#This Row],[Sun]]/30)&amp;"s"&amp;ROUNDUP(MOD(P[[#This Row],[Sun]],30),2)</f>
        <v>3s6.47</v>
      </c>
      <c r="I153" s="13" t="str">
        <f>INT(P[[#This Row],[Moon]]/30)&amp;"s"&amp;ROUNDUP(MOD(P[[#This Row],[Moon]],30),2)</f>
        <v>9s27.91</v>
      </c>
      <c r="J153" s="14">
        <f t="shared" si="30"/>
        <v>45496.016209870111</v>
      </c>
      <c r="K153" s="10" t="str">
        <f>naks(P[[#This Row],[Moon]])</f>
        <v>Dhanistha</v>
      </c>
      <c r="L153" s="15">
        <f>(C154-P[[#This Row],[SunRise]])/(MOD(360+V154-P[[#This Row],[Moon]],360))*(13.3333333333333-MOD(P[[#This Row],[Moon]],13.333333333333))+P[[#This Row],[SunRise]]</f>
        <v>45496.845973835603</v>
      </c>
      <c r="M153" s="4" t="str">
        <f>IF(Panchanga!$R153&gt;15,"K","S")&amp;ROUNDUP(MOD(Panchanga!$R153,15),0)&amp;" ("&amp;ROUND(Panchanga!$R153,2)&amp;")"</f>
        <v>K2 (16.79)</v>
      </c>
      <c r="N153" s="4">
        <f>IF(AND(Panchanga!$R153&lt;28.5,Panchanga!$R153&gt;0.49999),MOD((Panchanga!$R153-0.5)*2,7),MOD((Panchanga!$R153+30-28.5),30)*2+7)</f>
        <v>4.573599999999999</v>
      </c>
      <c r="O153" s="4" t="str">
        <f>CHOOSE(ROUNDUP(Panchanga!$N153,0),"Bhava","Baalava","Kaulava","Taitula","Garija","Vanija","Vishti","Shakuni","Chatushapda","Naaga","Kimstugna")</f>
        <v>Garija</v>
      </c>
      <c r="P153" s="11" t="str">
        <f>CHOOSE(ROUNDUP(Panchanga!$S153,0),"viṣkambha","prīti","āyuṣmāna","saubhāgya","śobhana","atigaṇḍa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("&amp;Panchanga!$S153&amp;")"</f>
        <v>āyuṣmāna (2.58)</v>
      </c>
      <c r="Q153" s="4">
        <f>IF(AND(Panchanga!$R153&lt;28.5,Panchanga!$R153&gt;0.49999),MOD((Panchanga!$R153-0.5)*2,7),MOD((Panchanga!$R153+30-28.5),30)*2+7)</f>
        <v>4.573599999999999</v>
      </c>
      <c r="R153" s="4">
        <f>ROUNDUP(MOD(360+P[[#This Row],[Moon]]-P[[#This Row],[Sun]],360)/12,4)</f>
        <v>16.786799999999999</v>
      </c>
      <c r="S153" s="4">
        <f>ROUNDUP(MOD(P[[#This Row],[Sun]]+P[[#This Row],[Moon]],360)/13.333333333,2)</f>
        <v>2.5799999999999996</v>
      </c>
      <c r="T153" s="4" t="str">
        <f>SIGN(W154-Panchanga!$W153)*INT(Panchanga!$W153/30+1)&amp;"Ma,"&amp;SIGN(X154-Panchanga!$X153)*INT(Panchanga!$X153/30+1)&amp;"Me,"&amp;SIGN(Y154-Panchanga!$Y153)*INT(Panchanga!$Y153/30+1)&amp;"J, "&amp;SIGN(Z154-Panchanga!$Z153)*INT(Panchanga!$Z153/30+1)&amp;"V,"&amp;SIGN(AA154-Panchanga!$AA153)*INT(Panchanga!$AA153/30+1)&amp;"S,"&amp;INT(Panchanga!$AB153/30+1)&amp;"R"</f>
        <v>2Ma,5Me,2J, 4V,-11S,12R</v>
      </c>
      <c r="U153" s="4">
        <f t="shared" si="28"/>
        <v>96.462391400914186</v>
      </c>
      <c r="V153" s="4">
        <f t="shared" si="29"/>
        <v>297.90345877860551</v>
      </c>
      <c r="W153" s="4">
        <f>Planet(Panchanga!$G153,4)</f>
        <v>37.288609883893145</v>
      </c>
      <c r="X153" s="4">
        <f>Planet(Panchanga!$G153,2)</f>
        <v>123.36439583787939</v>
      </c>
      <c r="Y153" s="4">
        <f>Planet(Panchanga!$G153,5)</f>
        <v>48.535026993936462</v>
      </c>
      <c r="Z153" s="4">
        <f>Planet(Panchanga!$G153,3)</f>
        <v>109.72913379039557</v>
      </c>
      <c r="AA153" s="4">
        <f>Planet(Panchanga!$G153,6)</f>
        <v>324.78851770080809</v>
      </c>
      <c r="AB153" s="4">
        <f>Planet(Panchanga!$G153,10)</f>
        <v>345.87482470597956</v>
      </c>
      <c r="AC153" s="4" t="str">
        <f>TEXT(Panchanga!$C153+($C154-Panchanga!$C153)/ABS(IF($R154&lt;1,$R154+30,$R154)-Panchanga!$R153)*(ROUNDUP(Panchanga!$R153,0)-Panchanga!$R153),"hh:mm AM/PM")</f>
        <v>10:23 AM</v>
      </c>
      <c r="AD153" s="4"/>
    </row>
    <row r="154" spans="1:30" x14ac:dyDescent="0.2">
      <c r="A154" s="3">
        <f t="shared" si="31"/>
        <v>45497</v>
      </c>
      <c r="B154" s="3">
        <f t="shared" si="26"/>
        <v>45497.229166666664</v>
      </c>
      <c r="C154" s="6">
        <f t="shared" si="27"/>
        <v>45497.245552129731</v>
      </c>
      <c r="D154" s="6">
        <f>sunset(Lat,Long,B154)+TimeZone/24-0.000277777777777778</f>
        <v>45496.776962042364</v>
      </c>
      <c r="E154" s="6">
        <f>PlanetRiseSet(Lat,Long,B154,1,1)+TimeZone/24+0.00103009259259259</f>
        <v>45496.857191354189</v>
      </c>
      <c r="F154" s="6">
        <f>PlanetRiseSet(Lat,Long,B154+1,1,2)+TimeZone/24+0.00103009259259259</f>
        <v>45498.396416377895</v>
      </c>
      <c r="G154" s="17">
        <f>Panchanga!$C154-TimeZone/24</f>
        <v>45497.016385463066</v>
      </c>
      <c r="H154" s="13" t="str">
        <f>INT(P[[#This Row],[Sun]]/30)&amp;"s"&amp;ROUNDUP(MOD(P[[#This Row],[Sun]],30),2)</f>
        <v>3s7.42</v>
      </c>
      <c r="I154" s="13" t="str">
        <f>INT(P[[#This Row],[Moon]]/30)&amp;"s"&amp;ROUNDUP(MOD(P[[#This Row],[Moon]],30),2)</f>
        <v>10s12.5</v>
      </c>
      <c r="J154" s="14">
        <f t="shared" si="30"/>
        <v>45497.016385463066</v>
      </c>
      <c r="K154" s="10" t="str">
        <f>naks(P[[#This Row],[Moon]])</f>
        <v>Satabhisaj</v>
      </c>
      <c r="L154" s="15">
        <f>(C155-P[[#This Row],[SunRise]])/(MOD(360+V155-P[[#This Row],[Moon]],360))*(13.3333333333333-MOD(P[[#This Row],[Moon]],13.333333333333))+P[[#This Row],[SunRise]]</f>
        <v>45497.760691121235</v>
      </c>
      <c r="M154" s="4" t="str">
        <f>IF(Panchanga!$R154&gt;15,"K","S")&amp;ROUNDUP(MOD(Panchanga!$R154,15),0)&amp;" ("&amp;ROUND(Panchanga!$R154,2)&amp;")"</f>
        <v>K3 (17.92)</v>
      </c>
      <c r="N154" s="4">
        <f>IF(AND(Panchanga!$R154&lt;28.5,Panchanga!$R154&gt;0.49999),MOD((Panchanga!$R154-0.5)*2,7),MOD((Panchanga!$R154+30-28.5),30)*2+7)</f>
        <v>6.8468000000000018</v>
      </c>
      <c r="O154" s="4" t="str">
        <f>CHOOSE(ROUNDUP(Panchanga!$N154,0),"Bhava","Baalava","Kaulava","Taitula","Garija","Vanija","Vishti","Shakuni","Chatushapda","Naaga","Kimstugna")</f>
        <v>Vishti</v>
      </c>
      <c r="P154" s="11" t="str">
        <f>CHOOSE(ROUNDUP(Panchanga!$S154,0),"viṣkambha","prīti","āyuṣmāna","saubhāgya","śobhana","atigaṇḍa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("&amp;Panchanga!$S154&amp;")"</f>
        <v>saubhāgya (3.75)</v>
      </c>
      <c r="Q154" s="4">
        <f>IF(AND(Panchanga!$R154&lt;28.5,Panchanga!$R154&gt;0.49999),MOD((Panchanga!$R154-0.5)*2,7),MOD((Panchanga!$R154+30-28.5),30)*2+7)</f>
        <v>6.8468000000000018</v>
      </c>
      <c r="R154" s="4">
        <f>ROUNDUP(MOD(360+P[[#This Row],[Moon]]-P[[#This Row],[Sun]],360)/12,4)</f>
        <v>17.923400000000001</v>
      </c>
      <c r="S154" s="4">
        <f>ROUNDUP(MOD(P[[#This Row],[Sun]]+P[[#This Row],[Moon]],360)/13.333333333,2)</f>
        <v>3.75</v>
      </c>
      <c r="T154" s="4" t="str">
        <f>SIGN(W155-Panchanga!$W154)*INT(Panchanga!$W154/30+1)&amp;"Ma,"&amp;SIGN(X155-Panchanga!$X154)*INT(Panchanga!$X154/30+1)&amp;"Me,"&amp;SIGN(Y155-Panchanga!$Y154)*INT(Panchanga!$Y154/30+1)&amp;"J, "&amp;SIGN(Z155-Panchanga!$Z154)*INT(Panchanga!$Z154/30+1)&amp;"V,"&amp;SIGN(AA155-Panchanga!$AA154)*INT(Panchanga!$AA154/30+1)&amp;"S,"&amp;INT(Panchanga!$AB154/30+1)&amp;"R"</f>
        <v>2Ma,5Me,2J, 4V,-11S,12R</v>
      </c>
      <c r="U154" s="4">
        <f t="shared" si="28"/>
        <v>97.417116892589021</v>
      </c>
      <c r="V154" s="4">
        <f t="shared" si="29"/>
        <v>312.49684217006029</v>
      </c>
      <c r="W154" s="4">
        <f>Planet(Panchanga!$G154,4)</f>
        <v>37.977660790023663</v>
      </c>
      <c r="X154" s="4">
        <f>Planet(Panchanga!$G154,2)</f>
        <v>124.24867654041246</v>
      </c>
      <c r="Y154" s="4">
        <f>Planet(Panchanga!$G154,5)</f>
        <v>48.726246967398133</v>
      </c>
      <c r="Z154" s="4">
        <f>Planet(Panchanga!$G154,3)</f>
        <v>110.95773320807615</v>
      </c>
      <c r="AA154" s="4">
        <f>Planet(Panchanga!$G154,6)</f>
        <v>324.75065670427813</v>
      </c>
      <c r="AB154" s="4">
        <f>Planet(Panchanga!$G154,10)</f>
        <v>345.82182341380167</v>
      </c>
      <c r="AC154" s="4" t="str">
        <f>TEXT(Panchanga!$C154+($C155-Panchanga!$C154)/ABS(IF($R155&lt;1,$R155+30,$R155)-Panchanga!$R154)*(ROUNDUP(Panchanga!$R154,0)-Panchanga!$R154),"hh:mm AM/PM")</f>
        <v>07:30 AM</v>
      </c>
      <c r="AD154" s="4"/>
    </row>
    <row r="155" spans="1:30" x14ac:dyDescent="0.2">
      <c r="A155" s="3">
        <f t="shared" si="31"/>
        <v>45498</v>
      </c>
      <c r="B155" s="3">
        <f t="shared" si="26"/>
        <v>45498.229166666664</v>
      </c>
      <c r="C155" s="6">
        <f t="shared" si="27"/>
        <v>45498.245724800661</v>
      </c>
      <c r="D155" s="6">
        <f>sunset(Lat,Long,B155)+TimeZone/24-0.000277777777777778</f>
        <v>45497.776808809998</v>
      </c>
      <c r="E155" s="6">
        <f>PlanetRiseSet(Lat,Long,B155,1,1)+TimeZone/24+0.00103009259259259</f>
        <v>45497.887870729588</v>
      </c>
      <c r="F155" s="6">
        <f>PlanetRiseSet(Lat,Long,B155+1,1,2)+TimeZone/24+0.00103009259259259</f>
        <v>45499.435149662815</v>
      </c>
      <c r="G155" s="17">
        <f>Panchanga!$C155-TimeZone/24</f>
        <v>45498.016558133997</v>
      </c>
      <c r="H155" s="13" t="str">
        <f>INT(P[[#This Row],[Sun]]/30)&amp;"s"&amp;ROUNDUP(MOD(P[[#This Row],[Sun]],30),2)</f>
        <v>3s8.38</v>
      </c>
      <c r="I155" s="13" t="str">
        <f>INT(P[[#This Row],[Moon]]/30)&amp;"s"&amp;ROUNDUP(MOD(P[[#This Row],[Moon]],30),2)</f>
        <v>10s27.07</v>
      </c>
      <c r="J155" s="14">
        <f t="shared" si="30"/>
        <v>45498.016558133997</v>
      </c>
      <c r="K155" s="10" t="str">
        <f>naks(P[[#This Row],[Moon]])</f>
        <v>Purva Bhadrapada</v>
      </c>
      <c r="L155" s="15">
        <f>(C156-P[[#This Row],[SunRise]])/(MOD(360+V156-P[[#This Row],[Moon]],360))*(13.3333333333333-MOD(P[[#This Row],[Moon]],13.333333333333))+P[[#This Row],[SunRise]]</f>
        <v>45498.679370977246</v>
      </c>
      <c r="M155" s="4" t="str">
        <f>IF(Panchanga!$R155&gt;15,"K","S")&amp;ROUNDUP(MOD(Panchanga!$R155,15),0)&amp;" ("&amp;ROUND(Panchanga!$R155,2)&amp;")"</f>
        <v>K5 (19.06)</v>
      </c>
      <c r="N155" s="4">
        <f>IF(AND(Panchanga!$R155&lt;28.5,Panchanga!$R155&gt;0.49999),MOD((Panchanga!$R155-0.5)*2,7),MOD((Panchanga!$R155+30-28.5),30)*2+7)</f>
        <v>2.1156000000000006</v>
      </c>
      <c r="O155" s="4" t="str">
        <f>CHOOSE(ROUNDUP(Panchanga!$N155,0),"Bhava","Baalava","Kaulava","Taitula","Garija","Vanija","Vishti","Shakuni","Chatushapda","Naaga","Kimstugna")</f>
        <v>Kaulava</v>
      </c>
      <c r="P155" s="11" t="str">
        <f>CHOOSE(ROUNDUP(Panchanga!$S155,0),"viṣkambha","prīti","āyuṣmāna","saubhāgya","śobhana","atigaṇḍa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("&amp;Panchanga!$S155&amp;")"</f>
        <v>śobhana (4.91)</v>
      </c>
      <c r="Q155" s="4">
        <f>IF(AND(Panchanga!$R155&lt;28.5,Panchanga!$R155&gt;0.49999),MOD((Panchanga!$R155-0.5)*2,7),MOD((Panchanga!$R155+30-28.5),30)*2+7)</f>
        <v>2.1156000000000006</v>
      </c>
      <c r="R155" s="4">
        <f>ROUNDUP(MOD(360+P[[#This Row],[Moon]]-P[[#This Row],[Sun]],360)/12,4)</f>
        <v>19.0578</v>
      </c>
      <c r="S155" s="4">
        <f>ROUNDUP(MOD(P[[#This Row],[Sun]]+P[[#This Row],[Moon]],360)/13.333333333,2)</f>
        <v>4.91</v>
      </c>
      <c r="T155" s="4" t="str">
        <f>SIGN(W156-Panchanga!$W155)*INT(Panchanga!$W155/30+1)&amp;"Ma,"&amp;SIGN(X156-Panchanga!$X155)*INT(Panchanga!$X155/30+1)&amp;"Me,"&amp;SIGN(Y156-Panchanga!$Y155)*INT(Panchanga!$Y155/30+1)&amp;"J, "&amp;SIGN(Z156-Panchanga!$Z155)*INT(Panchanga!$Z155/30+1)&amp;"V,"&amp;SIGN(AA156-Panchanga!$AA155)*INT(Panchanga!$AA155/30+1)&amp;"S,"&amp;INT(Panchanga!$AB155/30+1)&amp;"R"</f>
        <v>2Ma,5Me,2J, 4V,-11S,12R</v>
      </c>
      <c r="U155" s="4">
        <f t="shared" si="28"/>
        <v>98.372059454704029</v>
      </c>
      <c r="V155" s="4">
        <f t="shared" si="29"/>
        <v>327.06466470123439</v>
      </c>
      <c r="W155" s="4">
        <f>Planet(Panchanga!$G155,4)</f>
        <v>38.665236817166573</v>
      </c>
      <c r="X155" s="4">
        <f>Planet(Panchanga!$G155,2)</f>
        <v>125.07908620270383</v>
      </c>
      <c r="Y155" s="4">
        <f>Planet(Panchanga!$G155,5)</f>
        <v>48.916079998674341</v>
      </c>
      <c r="Z155" s="4">
        <f>Planet(Panchanga!$G155,3)</f>
        <v>112.18631845030731</v>
      </c>
      <c r="AA155" s="4">
        <f>Planet(Panchanga!$G155,6)</f>
        <v>324.71134376523275</v>
      </c>
      <c r="AB155" s="4">
        <f>Planet(Panchanga!$G155,10)</f>
        <v>345.76882227649492</v>
      </c>
      <c r="AC155" s="4" t="str">
        <f>TEXT(Panchanga!$C155+($C156-Panchanga!$C155)/ABS(IF($R156&lt;1,$R156+30,$R156)-Panchanga!$R155)*(ROUNDUP(Panchanga!$R155,0)-Panchanga!$R155),"hh:mm AM/PM")</f>
        <v>01:59 AM</v>
      </c>
      <c r="AD155" s="4"/>
    </row>
    <row r="156" spans="1:30" x14ac:dyDescent="0.2">
      <c r="A156" s="3">
        <f t="shared" si="31"/>
        <v>45499</v>
      </c>
      <c r="B156" s="3">
        <f t="shared" si="26"/>
        <v>45499.229166666664</v>
      </c>
      <c r="C156" s="6">
        <f t="shared" si="27"/>
        <v>45499.245894455504</v>
      </c>
      <c r="D156" s="6">
        <f>sunset(Lat,Long,B156)+TimeZone/24-0.000277777777777778</f>
        <v>45498.776645183607</v>
      </c>
      <c r="E156" s="6">
        <f>PlanetRiseSet(Lat,Long,B156,1,1)+TimeZone/24+0.00103009259259259</f>
        <v>45498.917079677492</v>
      </c>
      <c r="F156" s="6">
        <f>PlanetRiseSet(Lat,Long,B156+1,1,2)+TimeZone/24+0.00103009259259259</f>
        <v>45500.473822288834</v>
      </c>
      <c r="G156" s="17">
        <f>Panchanga!$C156-TimeZone/24</f>
        <v>45499.016727788839</v>
      </c>
      <c r="H156" s="13" t="str">
        <f>INT(P[[#This Row],[Sun]]/30)&amp;"s"&amp;ROUNDUP(MOD(P[[#This Row],[Sun]],30),2)</f>
        <v>3s9.33</v>
      </c>
      <c r="I156" s="13" t="str">
        <f>INT(P[[#This Row],[Moon]]/30)&amp;"s"&amp;ROUNDUP(MOD(P[[#This Row],[Moon]],30),2)</f>
        <v>11s11.53</v>
      </c>
      <c r="J156" s="14">
        <f t="shared" si="30"/>
        <v>45499.016727788839</v>
      </c>
      <c r="K156" s="10" t="str">
        <f>naks(P[[#This Row],[Moon]])</f>
        <v>Uttara Bhadrapada</v>
      </c>
      <c r="L156" s="15">
        <f>(C157-P[[#This Row],[SunRise]])/(MOD(360+V157-P[[#This Row],[Moon]],360))*(13.3333333333333-MOD(P[[#This Row],[Moon]],13.333333333333))+P[[#This Row],[SunRise]]</f>
        <v>45499.605869303807</v>
      </c>
      <c r="M156" s="4" t="str">
        <f>IF(Panchanga!$R156&gt;15,"K","S")&amp;ROUNDUP(MOD(Panchanga!$R156,15),0)&amp;" ("&amp;ROUND(Panchanga!$R156,2)&amp;")"</f>
        <v>K6 (20.18)</v>
      </c>
      <c r="N156" s="4">
        <f>IF(AND(Panchanga!$R156&lt;28.5,Panchanga!$R156&gt;0.49999),MOD((Panchanga!$R156-0.5)*2,7),MOD((Panchanga!$R156+30-28.5),30)*2+7)</f>
        <v>4.3659999999999997</v>
      </c>
      <c r="O156" s="4" t="str">
        <f>CHOOSE(ROUNDUP(Panchanga!$N156,0),"Bhava","Baalava","Kaulava","Taitula","Garija","Vanija","Vishti","Shakuni","Chatushapda","Naaga","Kimstugna")</f>
        <v>Garija</v>
      </c>
      <c r="P156" s="11" t="str">
        <f>CHOOSE(ROUNDUP(Panchanga!$S156,0),"viṣkambha","prīti","āyuṣmāna","saubhāgya","śobhana","atigaṇḍa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("&amp;Panchanga!$S156&amp;")"</f>
        <v>sukarmā  (6.07)</v>
      </c>
      <c r="Q156" s="4">
        <f>IF(AND(Panchanga!$R156&lt;28.5,Panchanga!$R156&gt;0.49999),MOD((Panchanga!$R156-0.5)*2,7),MOD((Panchanga!$R156+30-28.5),30)*2+7)</f>
        <v>4.3659999999999997</v>
      </c>
      <c r="R156" s="4">
        <f>ROUNDUP(MOD(360+P[[#This Row],[Moon]]-P[[#This Row],[Sun]],360)/12,4)</f>
        <v>20.183</v>
      </c>
      <c r="S156" s="4">
        <f>ROUNDUP(MOD(P[[#This Row],[Sun]]+P[[#This Row],[Moon]],360)/13.333333333,2)</f>
        <v>6.0699999999999994</v>
      </c>
      <c r="T156" s="4" t="str">
        <f>SIGN(W157-Panchanga!$W156)*INT(Panchanga!$W156/30+1)&amp;"Ma,"&amp;SIGN(X157-Panchanga!$X156)*INT(Panchanga!$X156/30+1)&amp;"Me,"&amp;SIGN(Y157-Panchanga!$Y156)*INT(Panchanga!$Y156/30+1)&amp;"J, "&amp;SIGN(Z157-Panchanga!$Z156)*INT(Panchanga!$Z156/30+1)&amp;"V,"&amp;SIGN(AA157-Panchanga!$AA156)*INT(Panchanga!$AA156/30+1)&amp;"S,"&amp;INT(Panchanga!$AB156/30+1)&amp;"R"</f>
        <v>2Ma,5Me,2J, 4V,-11S,12R</v>
      </c>
      <c r="U156" s="4">
        <f t="shared" si="28"/>
        <v>99.327243561095983</v>
      </c>
      <c r="V156" s="4">
        <f t="shared" si="29"/>
        <v>341.52283931596713</v>
      </c>
      <c r="W156" s="4">
        <f>Planet(Panchanga!$G156,4)</f>
        <v>39.351320333139178</v>
      </c>
      <c r="X156" s="4">
        <f>Planet(Panchanga!$G156,2)</f>
        <v>125.85331135707395</v>
      </c>
      <c r="Y156" s="4">
        <f>Planet(Panchanga!$G156,5)</f>
        <v>49.104501153232853</v>
      </c>
      <c r="Z156" s="4">
        <f>Planet(Panchanga!$G156,3)</f>
        <v>113.41489700559862</v>
      </c>
      <c r="AA156" s="4">
        <f>Planet(Panchanga!$G156,6)</f>
        <v>324.67059330227158</v>
      </c>
      <c r="AB156" s="4">
        <f>Planet(Panchanga!$G156,10)</f>
        <v>345.7158212990135</v>
      </c>
      <c r="AC156" s="4" t="str">
        <f>TEXT(Panchanga!$C156+($C157-Panchanga!$C156)/ABS(IF($R157&lt;1,$R157+30,$R157)-Panchanga!$R156)*(ROUNDUP(Panchanga!$R156,0)-Panchanga!$R156),"hh:mm AM/PM")</f>
        <v>11:32 PM</v>
      </c>
      <c r="AD156" s="4"/>
    </row>
    <row r="157" spans="1:30" x14ac:dyDescent="0.2">
      <c r="A157" s="3">
        <f t="shared" si="31"/>
        <v>45500</v>
      </c>
      <c r="B157" s="3">
        <f t="shared" si="26"/>
        <v>45500.229166666664</v>
      </c>
      <c r="C157" s="6">
        <f t="shared" si="27"/>
        <v>45500.246060996469</v>
      </c>
      <c r="D157" s="6">
        <f>sunset(Lat,Long,B157)+TimeZone/24-0.000277777777777778</f>
        <v>45499.776471228848</v>
      </c>
      <c r="E157" s="6">
        <f>PlanetRiseSet(Lat,Long,B157,1,1)+TimeZone/24+0.00103009259259259</f>
        <v>45499.945903776366</v>
      </c>
      <c r="F157" s="6">
        <f>PlanetRiseSet(Lat,Long,B157+1,1,2)+TimeZone/24+0.00103009259259259</f>
        <v>45500.473822389416</v>
      </c>
      <c r="G157" s="17">
        <f>Panchanga!$C157-TimeZone/24</f>
        <v>45500.016894329805</v>
      </c>
      <c r="H157" s="13" t="str">
        <f>INT(P[[#This Row],[Sun]]/30)&amp;"s"&amp;ROUNDUP(MOD(P[[#This Row],[Sun]],30),2)</f>
        <v>3s10.29</v>
      </c>
      <c r="I157" s="13" t="str">
        <f>INT(P[[#This Row],[Moon]]/30)&amp;"s"&amp;ROUNDUP(MOD(P[[#This Row],[Moon]],30),2)</f>
        <v>11s25.82</v>
      </c>
      <c r="J157" s="14">
        <f t="shared" si="30"/>
        <v>45500.016894329805</v>
      </c>
      <c r="K157" s="10" t="str">
        <f>naks(P[[#This Row],[Moon]])</f>
        <v>Revati</v>
      </c>
      <c r="L157" s="15">
        <f>(C158-P[[#This Row],[SunRise]])/(MOD(360+V158-P[[#This Row],[Moon]],360))*(13.3333333333333-MOD(P[[#This Row],[Moon]],13.333333333333))+P[[#This Row],[SunRise]]</f>
        <v>45500.543056927912</v>
      </c>
      <c r="M157" s="4" t="str">
        <f>IF(Panchanga!$R157&gt;15,"K","S")&amp;ROUNDUP(MOD(Panchanga!$R157,15),0)&amp;" ("&amp;ROUND(Panchanga!$R157,2)&amp;")"</f>
        <v>K7 (21.29)</v>
      </c>
      <c r="N157" s="4">
        <f>IF(AND(Panchanga!$R157&lt;28.5,Panchanga!$R157&gt;0.49999),MOD((Panchanga!$R157-0.5)*2,7),MOD((Panchanga!$R157+30-28.5),30)*2+7)</f>
        <v>6.5887999999999991</v>
      </c>
      <c r="O157" s="4" t="str">
        <f>CHOOSE(ROUNDUP(Panchanga!$N157,0),"Bhava","Baalava","Kaulava","Taitula","Garija","Vanija","Vishti","Shakuni","Chatushapda","Naaga","Kimstugna")</f>
        <v>Vishti</v>
      </c>
      <c r="P157" s="11" t="str">
        <f>CHOOSE(ROUNDUP(Panchanga!$S157,0),"viṣkambha","prīti","āyuṣmāna","saubhāgya","śobhana","atigaṇḍa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("&amp;Panchanga!$S157&amp;")"</f>
        <v>dhṛti  (7.21)</v>
      </c>
      <c r="Q157" s="4">
        <f>IF(AND(Panchanga!$R157&lt;28.5,Panchanga!$R157&gt;0.49999),MOD((Panchanga!$R157-0.5)*2,7),MOD((Panchanga!$R157+30-28.5),30)*2+7)</f>
        <v>6.5887999999999991</v>
      </c>
      <c r="R157" s="4">
        <f>ROUNDUP(MOD(360+P[[#This Row],[Moon]]-P[[#This Row],[Sun]],360)/12,4)</f>
        <v>21.2944</v>
      </c>
      <c r="S157" s="4">
        <f>ROUNDUP(MOD(P[[#This Row],[Sun]]+P[[#This Row],[Moon]],360)/13.333333333,2)</f>
        <v>7.21</v>
      </c>
      <c r="T157" s="4" t="str">
        <f>SIGN(W158-Panchanga!$W157)*INT(Panchanga!$W157/30+1)&amp;"Ma,"&amp;SIGN(X158-Panchanga!$X157)*INT(Panchanga!$X157/30+1)&amp;"Me,"&amp;SIGN(Y158-Panchanga!$Y157)*INT(Panchanga!$Y157/30+1)&amp;"J, "&amp;SIGN(Z158-Panchanga!$Z157)*INT(Panchanga!$Z157/30+1)&amp;"V,"&amp;SIGN(AA158-Panchanga!$AA157)*INT(Panchanga!$AA157/30+1)&amp;"S,"&amp;INT(Panchanga!$AB157/30+1)&amp;"R"</f>
        <v>2Ma,5Me,2J, 4V,-11S,12R</v>
      </c>
      <c r="U157" s="4">
        <f t="shared" si="28"/>
        <v>100.28268922300889</v>
      </c>
      <c r="V157" s="4">
        <f t="shared" si="29"/>
        <v>355.81462673652049</v>
      </c>
      <c r="W157" s="4">
        <f>Planet(Panchanga!$G157,4)</f>
        <v>40.035889917790556</v>
      </c>
      <c r="X157" s="4">
        <f>Planet(Panchanga!$G157,2)</f>
        <v>126.56887825431203</v>
      </c>
      <c r="Y157" s="4">
        <f>Planet(Panchanga!$G157,5)</f>
        <v>49.291484078922011</v>
      </c>
      <c r="Z157" s="4">
        <f>Planet(Panchanga!$G157,3)</f>
        <v>114.6434743513268</v>
      </c>
      <c r="AA157" s="4">
        <f>Planet(Panchanga!$G157,6)</f>
        <v>324.62842049279652</v>
      </c>
      <c r="AB157" s="4">
        <f>Planet(Panchanga!$G157,10)</f>
        <v>345.66282048654335</v>
      </c>
      <c r="AC157" s="4" t="str">
        <f>TEXT(Panchanga!$C157+($C158-Panchanga!$C157)/ABS(IF($R158&lt;1,$R158+30,$R158)-Panchanga!$R157)*(ROUNDUP(Panchanga!$R157,0)-Panchanga!$R157),"hh:mm AM/PM")</f>
        <v>09:22 PM</v>
      </c>
      <c r="AD157" s="4"/>
    </row>
    <row r="158" spans="1:30" x14ac:dyDescent="0.2">
      <c r="A158" s="3">
        <f t="shared" si="31"/>
        <v>45501</v>
      </c>
      <c r="B158" s="3">
        <f t="shared" si="26"/>
        <v>45501.229166666664</v>
      </c>
      <c r="C158" s="6">
        <f t="shared" si="27"/>
        <v>45501.246224317387</v>
      </c>
      <c r="D158" s="6">
        <f>sunset(Lat,Long,B158)+TimeZone/24-0.000277777777777778</f>
        <v>45500.776287010915</v>
      </c>
      <c r="E158" s="6">
        <f>PlanetRiseSet(Lat,Long,B158,1,1)+TimeZone/24+0.00103009259259259</f>
        <v>45500.975419306349</v>
      </c>
      <c r="F158" s="6">
        <f>PlanetRiseSet(Lat,Long,B158+1,1,2)+TimeZone/24+0.00103009259259259</f>
        <v>45501.513203445043</v>
      </c>
      <c r="G158" s="17">
        <f>Panchanga!$C158-TimeZone/24</f>
        <v>45501.017057650723</v>
      </c>
      <c r="H158" s="13" t="str">
        <f>INT(P[[#This Row],[Sun]]/30)&amp;"s"&amp;ROUNDUP(MOD(P[[#This Row],[Sun]],30),2)</f>
        <v>3s11.24</v>
      </c>
      <c r="I158" s="13" t="str">
        <f>INT(P[[#This Row],[Moon]]/30)&amp;"s"&amp;ROUNDUP(MOD(P[[#This Row],[Moon]],30),2)</f>
        <v>0s9.91</v>
      </c>
      <c r="J158" s="14">
        <f t="shared" si="30"/>
        <v>45501.017057650723</v>
      </c>
      <c r="K158" s="10" t="str">
        <f>naks(P[[#This Row],[Moon]])</f>
        <v>Aswini</v>
      </c>
      <c r="L158" s="15">
        <f>(C159-P[[#This Row],[SunRise]])/(MOD(360+V159-P[[#This Row],[Moon]],360))*(13.3333333333333-MOD(P[[#This Row],[Moon]],13.333333333333))+P[[#This Row],[SunRise]]</f>
        <v>45501.492841462059</v>
      </c>
      <c r="M158" s="4" t="str">
        <f>IF(Panchanga!$R158&gt;15,"K","S")&amp;ROUNDUP(MOD(Panchanga!$R158,15),0)&amp;" ("&amp;ROUND(Panchanga!$R158,2)&amp;")"</f>
        <v>K8 (22.39)</v>
      </c>
      <c r="N158" s="4">
        <f>IF(AND(Panchanga!$R158&lt;28.5,Panchanga!$R158&gt;0.49999),MOD((Panchanga!$R158-0.5)*2,7),MOD((Panchanga!$R158+30-28.5),30)*2+7)</f>
        <v>1.7785999999999973</v>
      </c>
      <c r="O158" s="4" t="str">
        <f>CHOOSE(ROUNDUP(Panchanga!$N158,0),"Bhava","Baalava","Kaulava","Taitula","Garija","Vanija","Vishti","Shakuni","Chatushapda","Naaga","Kimstugna")</f>
        <v>Baalava</v>
      </c>
      <c r="P158" s="11" t="str">
        <f>CHOOSE(ROUNDUP(Panchanga!$S158,0),"viṣkambha","prīti","āyuṣmāna","saubhāgya","śobhana","atigaṇḍa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("&amp;Panchanga!$S158&amp;")"</f>
        <v>śūla  (8.34)</v>
      </c>
      <c r="Q158" s="4">
        <f>IF(AND(Panchanga!$R158&lt;28.5,Panchanga!$R158&gt;0.49999),MOD((Panchanga!$R158-0.5)*2,7),MOD((Panchanga!$R158+30-28.5),30)*2+7)</f>
        <v>1.7785999999999973</v>
      </c>
      <c r="R158" s="4">
        <f>ROUNDUP(MOD(360+P[[#This Row],[Moon]]-P[[#This Row],[Sun]],360)/12,4)</f>
        <v>22.389299999999999</v>
      </c>
      <c r="S158" s="4">
        <f>ROUNDUP(MOD(P[[#This Row],[Sun]]+P[[#This Row],[Moon]],360)/13.333333333,2)</f>
        <v>8.34</v>
      </c>
      <c r="T158" s="4" t="str">
        <f>SIGN(W159-Panchanga!$W158)*INT(Panchanga!$W158/30+1)&amp;"Ma,"&amp;SIGN(X159-Panchanga!$X158)*INT(Panchanga!$X158/30+1)&amp;"Me,"&amp;SIGN(Y159-Panchanga!$Y158)*INT(Panchanga!$Y158/30+1)&amp;"J, "&amp;SIGN(Z159-Panchanga!$Z158)*INT(Panchanga!$Z158/30+1)&amp;"V,"&amp;SIGN(AA159-Panchanga!$AA158)*INT(Panchanga!$AA158/30+1)&amp;"S,"&amp;INT(Panchanga!$AB158/30+1)&amp;"R"</f>
        <v>2Ma,5Me,2J, 4V,-11S,12R</v>
      </c>
      <c r="U158" s="4">
        <f t="shared" si="28"/>
        <v>101.23841126731362</v>
      </c>
      <c r="V158" s="4">
        <f t="shared" si="29"/>
        <v>9.9092872327090404</v>
      </c>
      <c r="W158" s="4">
        <f>Planet(Panchanga!$G158,4)</f>
        <v>40.718920985310625</v>
      </c>
      <c r="X158" s="4">
        <f>Planet(Panchanga!$G158,2)</f>
        <v>127.2231589412339</v>
      </c>
      <c r="Y158" s="4">
        <f>Planet(Panchanga!$G158,5)</f>
        <v>49.477001151792336</v>
      </c>
      <c r="Z158" s="4">
        <f>Planet(Panchanga!$G158,3)</f>
        <v>115.8720533284189</v>
      </c>
      <c r="AA158" s="4">
        <f>Planet(Panchanga!$G158,6)</f>
        <v>324.58484152698804</v>
      </c>
      <c r="AB158" s="4">
        <f>Planet(Panchanga!$G158,10)</f>
        <v>345.60981984473449</v>
      </c>
      <c r="AC158" s="4" t="str">
        <f>TEXT(Panchanga!$C158+($C159-Panchanga!$C158)/ABS(IF($R159&lt;1,$R159+30,$R159)-Panchanga!$R158)*(ROUNDUP(Panchanga!$R158,0)-Panchanga!$R158),"hh:mm AM/PM")</f>
        <v>07:30 PM</v>
      </c>
      <c r="AD158" s="4"/>
    </row>
    <row r="159" spans="1:30" x14ac:dyDescent="0.2">
      <c r="A159" s="3">
        <f t="shared" si="31"/>
        <v>45502</v>
      </c>
      <c r="B159" s="3">
        <f t="shared" si="26"/>
        <v>45502.229166666664</v>
      </c>
      <c r="C159" s="6">
        <f t="shared" si="27"/>
        <v>45502.246384303704</v>
      </c>
      <c r="D159" s="6">
        <f>sunset(Lat,Long,B159)+TimeZone/24-0.000277777777777778</f>
        <v>45501.776092589876</v>
      </c>
      <c r="E159" s="6">
        <f>PlanetRiseSet(Lat,Long,B159,1,1)+TimeZone/24+0.00103009259259259</f>
        <v>45502.006613799524</v>
      </c>
      <c r="F159" s="6">
        <f>PlanetRiseSet(Lat,Long,B159+1,1,2)+TimeZone/24+0.00103009259259259</f>
        <v>45502.553745993566</v>
      </c>
      <c r="G159" s="17">
        <f>Panchanga!$C159-TimeZone/24</f>
        <v>45502.01721763704</v>
      </c>
      <c r="H159" s="13" t="str">
        <f>INT(P[[#This Row],[Sun]]/30)&amp;"s"&amp;ROUNDUP(MOD(P[[#This Row],[Sun]],30),2)</f>
        <v>3s12.2</v>
      </c>
      <c r="I159" s="13" t="str">
        <f>INT(P[[#This Row],[Moon]]/30)&amp;"s"&amp;ROUNDUP(MOD(P[[#This Row],[Moon]],30),2)</f>
        <v>0s23.8</v>
      </c>
      <c r="J159" s="14">
        <f t="shared" si="30"/>
        <v>45502.01721763704</v>
      </c>
      <c r="K159" s="10" t="str">
        <f>naks(P[[#This Row],[Moon]])</f>
        <v>Bharani</v>
      </c>
      <c r="L159" s="15">
        <f>(C160-P[[#This Row],[SunRise]])/(MOD(360+V160-P[[#This Row],[Moon]],360))*(13.3333333333333-MOD(P[[#This Row],[Moon]],13.333333333333))+P[[#This Row],[SunRise]]</f>
        <v>45502.456328216482</v>
      </c>
      <c r="M159" s="4" t="str">
        <f>IF(Panchanga!$R159&gt;15,"K","S")&amp;ROUNDUP(MOD(Panchanga!$R159,15),0)&amp;" ("&amp;ROUND(Panchanga!$R159,2)&amp;")"</f>
        <v>K9 (23.47)</v>
      </c>
      <c r="N159" s="4">
        <f>IF(AND(Panchanga!$R159&lt;28.5,Panchanga!$R159&gt;0.49999),MOD((Panchanga!$R159-0.5)*2,7),MOD((Panchanga!$R159+30-28.5),30)*2+7)</f>
        <v>3.9335999999999984</v>
      </c>
      <c r="O159" s="4" t="str">
        <f>CHOOSE(ROUNDUP(Panchanga!$N159,0),"Bhava","Baalava","Kaulava","Taitula","Garija","Vanija","Vishti","Shakuni","Chatushapda","Naaga","Kimstugna")</f>
        <v>Taitula</v>
      </c>
      <c r="P159" s="11" t="str">
        <f>CHOOSE(ROUNDUP(Panchanga!$S159,0),"viṣkambha","prīti","āyuṣmāna","saubhāgya","śobhana","atigaṇḍa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("&amp;Panchanga!$S159&amp;")"</f>
        <v>gaṇḍa  (9.45)</v>
      </c>
      <c r="Q159" s="4">
        <f>IF(AND(Panchanga!$R159&lt;28.5,Panchanga!$R159&gt;0.49999),MOD((Panchanga!$R159-0.5)*2,7),MOD((Panchanga!$R159+30-28.5),30)*2+7)</f>
        <v>3.9335999999999984</v>
      </c>
      <c r="R159" s="4">
        <f>ROUNDUP(MOD(360+P[[#This Row],[Moon]]-P[[#This Row],[Sun]],360)/12,4)</f>
        <v>23.466799999999999</v>
      </c>
      <c r="S159" s="4">
        <f>ROUNDUP(MOD(P[[#This Row],[Sun]]+P[[#This Row],[Moon]],360)/13.333333333,2)</f>
        <v>9.4499999999999993</v>
      </c>
      <c r="T159" s="4" t="str">
        <f>SIGN(W160-Panchanga!$W159)*INT(Panchanga!$W159/30+1)&amp;"Ma,"&amp;SIGN(X160-Panchanga!$X159)*INT(Panchanga!$X159/30+1)&amp;"Me,"&amp;SIGN(Y160-Panchanga!$Y159)*INT(Panchanga!$Y159/30+1)&amp;"J, "&amp;SIGN(Z160-Panchanga!$Z159)*INT(Panchanga!$Z159/30+1)&amp;"V,"&amp;SIGN(AA160-Panchanga!$AA159)*INT(Panchanga!$AA159/30+1)&amp;"S,"&amp;INT(Panchanga!$AB159/30+1)&amp;"R"</f>
        <v>2Ma,5Me,2J, 4V,-11S,12R</v>
      </c>
      <c r="U159" s="4">
        <f t="shared" si="28"/>
        <v>102.19441928227191</v>
      </c>
      <c r="V159" s="4">
        <f t="shared" si="29"/>
        <v>23.79556389715912</v>
      </c>
      <c r="W159" s="4">
        <f>Planet(Panchanga!$G159,4)</f>
        <v>41.400386667563644</v>
      </c>
      <c r="X159" s="4">
        <f>Planet(Panchanga!$G159,2)</f>
        <v>127.81338328067582</v>
      </c>
      <c r="Y159" s="4">
        <f>Planet(Panchanga!$G159,5)</f>
        <v>49.661023728303149</v>
      </c>
      <c r="Z159" s="4">
        <f>Planet(Panchanga!$G159,3)</f>
        <v>117.1006338759084</v>
      </c>
      <c r="AA159" s="4">
        <f>Planet(Panchanga!$G159,6)</f>
        <v>324.53987379698611</v>
      </c>
      <c r="AB159" s="4">
        <f>Planet(Panchanga!$G159,10)</f>
        <v>345.55681937958474</v>
      </c>
      <c r="AC159" s="4" t="str">
        <f>TEXT(Panchanga!$C159+($C160-Panchanga!$C159)/ABS(IF($R160&lt;1,$R160+30,$R160)-Panchanga!$R159)*(ROUNDUP(Panchanga!$R159,0)-Panchanga!$R159),"hh:mm AM/PM")</f>
        <v>05:59 PM</v>
      </c>
      <c r="AD159" s="4"/>
    </row>
    <row r="160" spans="1:30" x14ac:dyDescent="0.2">
      <c r="A160" s="3">
        <f t="shared" si="31"/>
        <v>45503</v>
      </c>
      <c r="B160" s="3">
        <f t="shared" si="26"/>
        <v>45503.229166666664</v>
      </c>
      <c r="C160" s="6">
        <f t="shared" si="27"/>
        <v>45503.246540833883</v>
      </c>
      <c r="D160" s="6">
        <f>sunset(Lat,Long,B160)+TimeZone/24-0.000277777777777778</f>
        <v>45502.775888022079</v>
      </c>
      <c r="E160" s="6">
        <f>PlanetRiseSet(Lat,Long,B160,1,1)+TimeZone/24+0.00103009259259259</f>
        <v>45503.040255441949</v>
      </c>
      <c r="F160" s="6">
        <f>PlanetRiseSet(Lat,Long,B160+1,1,2)+TimeZone/24+0.00103009259259259</f>
        <v>45503.595343752451</v>
      </c>
      <c r="G160" s="17">
        <f>Panchanga!$C160-TimeZone/24</f>
        <v>45503.017374167219</v>
      </c>
      <c r="H160" s="13" t="str">
        <f>INT(P[[#This Row],[Sun]]/30)&amp;"s"&amp;ROUNDUP(MOD(P[[#This Row],[Sun]],30),2)</f>
        <v>3s13.16</v>
      </c>
      <c r="I160" s="13" t="str">
        <f>INT(P[[#This Row],[Moon]]/30)&amp;"s"&amp;ROUNDUP(MOD(P[[#This Row],[Moon]],30),2)</f>
        <v>1s7.48</v>
      </c>
      <c r="J160" s="14">
        <f t="shared" si="30"/>
        <v>45503.017374167219</v>
      </c>
      <c r="K160" s="10" t="str">
        <f>naks(P[[#This Row],[Moon]])</f>
        <v>Krittika</v>
      </c>
      <c r="L160" s="15">
        <f>(C161-P[[#This Row],[SunRise]])/(MOD(360+V161-P[[#This Row],[Moon]],360))*(13.3333333333333-MOD(P[[#This Row],[Moon]],13.333333333333))+P[[#This Row],[SunRise]]</f>
        <v>45503.434118428464</v>
      </c>
      <c r="M160" s="4" t="str">
        <f>IF(Panchanga!$R160&gt;15,"K","S")&amp;ROUNDUP(MOD(Panchanga!$R160,15),0)&amp;" ("&amp;ROUND(Panchanga!$R160,2)&amp;")"</f>
        <v>K10 (24.53)</v>
      </c>
      <c r="N160" s="4">
        <f>IF(AND(Panchanga!$R160&lt;28.5,Panchanga!$R160&gt;0.49999),MOD((Panchanga!$R160-0.5)*2,7),MOD((Panchanga!$R160+30-28.5),30)*2+7)</f>
        <v>6.0538000000000025</v>
      </c>
      <c r="O160" s="4" t="str">
        <f>CHOOSE(ROUNDUP(Panchanga!$N160,0),"Bhava","Baalava","Kaulava","Taitula","Garija","Vanija","Vishti","Shakuni","Chatushapda","Naaga","Kimstugna")</f>
        <v>Vishti</v>
      </c>
      <c r="P160" s="11" t="str">
        <f>CHOOSE(ROUNDUP(Panchanga!$S160,0),"viṣkambha","prīti","āyuṣmāna","saubhāgya","śobhana","atigaṇḍa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("&amp;Panchanga!$S160&amp;")"</f>
        <v>vṛddhi  (10.55)</v>
      </c>
      <c r="Q160" s="4">
        <f>IF(AND(Panchanga!$R160&lt;28.5,Panchanga!$R160&gt;0.49999),MOD((Panchanga!$R160-0.5)*2,7),MOD((Panchanga!$R160+30-28.5),30)*2+7)</f>
        <v>6.0538000000000025</v>
      </c>
      <c r="R160" s="4">
        <f>ROUNDUP(MOD(360+P[[#This Row],[Moon]]-P[[#This Row],[Sun]],360)/12,4)</f>
        <v>24.526900000000001</v>
      </c>
      <c r="S160" s="4">
        <f>ROUNDUP(MOD(P[[#This Row],[Sun]]+P[[#This Row],[Moon]],360)/13.333333333,2)</f>
        <v>10.549999999999999</v>
      </c>
      <c r="T160" s="4" t="str">
        <f>SIGN(W161-Panchanga!$W160)*INT(Panchanga!$W160/30+1)&amp;"Ma,"&amp;SIGN(X161-Panchanga!$X160)*INT(Panchanga!$X160/30+1)&amp;"Me,"&amp;SIGN(Y161-Panchanga!$Y160)*INT(Panchanga!$Y160/30+1)&amp;"J, "&amp;SIGN(Z161-Panchanga!$Z160)*INT(Panchanga!$Z160/30+1)&amp;"V,"&amp;SIGN(AA161-Panchanga!$AA160)*INT(Panchanga!$AA160/30+1)&amp;"S,"&amp;INT(Panchanga!$AB160/30+1)&amp;"R"</f>
        <v>2Ma,5Me,2J, 4V,-11S,12R</v>
      </c>
      <c r="U160" s="4">
        <f t="shared" si="28"/>
        <v>103.15071810506228</v>
      </c>
      <c r="V160" s="4">
        <f t="shared" si="29"/>
        <v>37.473274985467008</v>
      </c>
      <c r="W160" s="4">
        <f>Planet(Panchanga!$G160,4)</f>
        <v>42.080258752467181</v>
      </c>
      <c r="X160" s="4">
        <f>Planet(Panchanga!$G160,2)</f>
        <v>128.33665855490523</v>
      </c>
      <c r="Y160" s="4">
        <f>Planet(Panchanga!$G160,5)</f>
        <v>49.843522443040015</v>
      </c>
      <c r="Z160" s="4">
        <f>Planet(Panchanga!$G160,3)</f>
        <v>118.32921310330282</v>
      </c>
      <c r="AA160" s="4">
        <f>Planet(Panchanga!$G160,6)</f>
        <v>324.49353601661255</v>
      </c>
      <c r="AB160" s="4">
        <f>Planet(Panchanga!$G160,10)</f>
        <v>345.50381909763883</v>
      </c>
      <c r="AC160" s="4" t="str">
        <f>TEXT(Panchanga!$C160+($C161-Panchanga!$C160)/ABS(IF($R161&lt;1,$R161+30,$R161)-Panchanga!$R160)*(ROUNDUP(Panchanga!$R160,0)-Panchanga!$R160),"hh:mm AM/PM")</f>
        <v>04:48 PM</v>
      </c>
      <c r="AD160" s="4"/>
    </row>
    <row r="161" spans="1:30" x14ac:dyDescent="0.2">
      <c r="A161" s="3">
        <f t="shared" si="31"/>
        <v>45504</v>
      </c>
      <c r="B161" s="3">
        <f t="shared" si="26"/>
        <v>45504.229166666664</v>
      </c>
      <c r="C161" s="6">
        <f t="shared" si="27"/>
        <v>45504.246693782661</v>
      </c>
      <c r="D161" s="6">
        <f>sunset(Lat,Long,B161)+TimeZone/24-0.000277777777777778</f>
        <v>45503.775673361073</v>
      </c>
      <c r="E161" s="6">
        <f>PlanetRiseSet(Lat,Long,B161,1,1)+TimeZone/24+0.00103009259259259</f>
        <v>45504.07666839302</v>
      </c>
      <c r="F161" s="6">
        <f>PlanetRiseSet(Lat,Long,B161+1,1,2)+TimeZone/24+0.00103009259259259</f>
        <v>45504.63718078487</v>
      </c>
      <c r="G161" s="17">
        <f>Panchanga!$C161-TimeZone/24</f>
        <v>45504.017527115997</v>
      </c>
      <c r="H161" s="13" t="str">
        <f>INT(P[[#This Row],[Sun]]/30)&amp;"s"&amp;ROUNDUP(MOD(P[[#This Row],[Sun]],30),2)</f>
        <v>3s14.11</v>
      </c>
      <c r="I161" s="13" t="str">
        <f>INT(P[[#This Row],[Moon]]/30)&amp;"s"&amp;ROUNDUP(MOD(P[[#This Row],[Moon]],30),2)</f>
        <v>1s20.95</v>
      </c>
      <c r="J161" s="14">
        <f t="shared" si="30"/>
        <v>45504.017527115997</v>
      </c>
      <c r="K161" s="10" t="str">
        <f>naks(P[[#This Row],[Moon]])</f>
        <v>Rohini</v>
      </c>
      <c r="L161" s="15">
        <f>(C162-P[[#This Row],[SunRise]])/(MOD(360+V162-P[[#This Row],[Moon]],360))*(13.3333333333333-MOD(P[[#This Row],[Moon]],13.333333333333))+P[[#This Row],[SunRise]]</f>
        <v>45504.426675904753</v>
      </c>
      <c r="M161" s="4" t="str">
        <f>IF(Panchanga!$R161&gt;15,"K","S")&amp;ROUNDUP(MOD(Panchanga!$R161,15),0)&amp;" ("&amp;ROUND(Panchanga!$R161,2)&amp;")"</f>
        <v>K11 (25.57)</v>
      </c>
      <c r="N161" s="4">
        <f>IF(AND(Panchanga!$R161&lt;28.5,Panchanga!$R161&gt;0.49999),MOD((Panchanga!$R161-0.5)*2,7),MOD((Panchanga!$R161+30-28.5),30)*2+7)</f>
        <v>1.139800000000001</v>
      </c>
      <c r="O161" s="4" t="str">
        <f>CHOOSE(ROUNDUP(Panchanga!$N161,0),"Bhava","Baalava","Kaulava","Taitula","Garija","Vanija","Vishti","Shakuni","Chatushapda","Naaga","Kimstugna")</f>
        <v>Baalava</v>
      </c>
      <c r="P161" s="11" t="str">
        <f>CHOOSE(ROUNDUP(Panchanga!$S161,0),"viṣkambha","prīti","āyuṣmāna","saubhāgya","śobhana","atigaṇḍa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("&amp;Panchanga!$S161&amp;")"</f>
        <v>dhruva  (11.63)</v>
      </c>
      <c r="Q161" s="4">
        <f>IF(AND(Panchanga!$R161&lt;28.5,Panchanga!$R161&gt;0.49999),MOD((Panchanga!$R161-0.5)*2,7),MOD((Panchanga!$R161+30-28.5),30)*2+7)</f>
        <v>1.139800000000001</v>
      </c>
      <c r="R161" s="4">
        <f>ROUNDUP(MOD(360+P[[#This Row],[Moon]]-P[[#This Row],[Sun]],360)/12,4)</f>
        <v>25.569900000000001</v>
      </c>
      <c r="S161" s="4">
        <f>ROUNDUP(MOD(P[[#This Row],[Sun]]+P[[#This Row],[Moon]],360)/13.333333333,2)</f>
        <v>11.629999999999999</v>
      </c>
      <c r="T161" s="4" t="str">
        <f>SIGN(W162-Panchanga!$W161)*INT(Panchanga!$W161/30+1)&amp;"Ma,"&amp;SIGN(X162-Panchanga!$X161)*INT(Panchanga!$X161/30+1)&amp;"Me,"&amp;SIGN(Y162-Panchanga!$Y161)*INT(Panchanga!$Y161/30+1)&amp;"J, "&amp;SIGN(Z162-Panchanga!$Z161)*INT(Panchanga!$Z161/30+1)&amp;"V,"&amp;SIGN(AA162-Panchanga!$AA161)*INT(Panchanga!$AA161/30+1)&amp;"S,"&amp;INT(Panchanga!$AB161/30+1)&amp;"R"</f>
        <v>2Ma,5Me,2J, 4V,-11S,12R</v>
      </c>
      <c r="U161" s="4">
        <f t="shared" si="28"/>
        <v>104.10730860665787</v>
      </c>
      <c r="V161" s="4">
        <f t="shared" si="29"/>
        <v>50.94562747890707</v>
      </c>
      <c r="W161" s="4">
        <f>Planet(Panchanga!$G161,4)</f>
        <v>42.758508507922471</v>
      </c>
      <c r="X161" s="4">
        <f>Planet(Panchanga!$G161,2)</f>
        <v>128.7899983230534</v>
      </c>
      <c r="Y161" s="4">
        <f>Planet(Panchanga!$G161,5)</f>
        <v>50.024467490325996</v>
      </c>
      <c r="Z161" s="4">
        <f>Planet(Panchanga!$G161,3)</f>
        <v>119.55778558457223</v>
      </c>
      <c r="AA161" s="4">
        <f>Planet(Panchanga!$G161,6)</f>
        <v>324.44584825591227</v>
      </c>
      <c r="AB161" s="4">
        <f>Planet(Panchanga!$G161,10)</f>
        <v>345.45081900540828</v>
      </c>
      <c r="AC161" s="4" t="str">
        <f>TEXT(Panchanga!$C161+($C162-Panchanga!$C161)/ABS(IF($R162&lt;1,$R162+30,$R162)-Panchanga!$R161)*(ROUNDUP(Panchanga!$R161,0)-Panchanga!$R161),"hh:mm AM/PM")</f>
        <v>03:58 PM</v>
      </c>
      <c r="AD161" s="4"/>
    </row>
    <row r="162" spans="1:30" x14ac:dyDescent="0.2">
      <c r="A162" s="3">
        <f t="shared" si="31"/>
        <v>45505</v>
      </c>
      <c r="B162" s="3">
        <f t="shared" si="26"/>
        <v>45505.229166666664</v>
      </c>
      <c r="C162" s="6">
        <f t="shared" si="27"/>
        <v>45505.246843022913</v>
      </c>
      <c r="D162" s="6">
        <f>sunset(Lat,Long,B162)+TimeZone/24-0.000277777777777778</f>
        <v>45504.77544866041</v>
      </c>
      <c r="E162" s="6">
        <f>PlanetRiseSet(Lat,Long,B162,1,1)+TimeZone/24+0.00103009259259259</f>
        <v>45505.115485459719</v>
      </c>
      <c r="F162" s="6">
        <f>PlanetRiseSet(Lat,Long,B162+1,1,2)+TimeZone/24+0.00103009259259259</f>
        <v>45505.677884979792</v>
      </c>
      <c r="G162" s="17">
        <f>Panchanga!$C162-TimeZone/24</f>
        <v>45505.017676356249</v>
      </c>
      <c r="H162" s="13" t="str">
        <f>INT(P[[#This Row],[Sun]]/30)&amp;"s"&amp;ROUNDUP(MOD(P[[#This Row],[Sun]],30),2)</f>
        <v>3s15.07</v>
      </c>
      <c r="I162" s="13" t="str">
        <f>INT(P[[#This Row],[Moon]]/30)&amp;"s"&amp;ROUNDUP(MOD(P[[#This Row],[Moon]],30),2)</f>
        <v>2s4.22</v>
      </c>
      <c r="J162" s="14">
        <f t="shared" si="30"/>
        <v>45505.017676356249</v>
      </c>
      <c r="K162" s="10" t="str">
        <f>naks(P[[#This Row],[Moon]])</f>
        <v>Mrigashira</v>
      </c>
      <c r="L162" s="15">
        <f>(C163-P[[#This Row],[SunRise]])/(MOD(360+V163-P[[#This Row],[Moon]],360))*(13.3333333333333-MOD(P[[#This Row],[Moon]],13.333333333333))+P[[#This Row],[SunRise]]</f>
        <v>45505.434647362141</v>
      </c>
      <c r="M162" s="4" t="str">
        <f>IF(Panchanga!$R162&gt;15,"K","S")&amp;ROUNDUP(MOD(Panchanga!$R162,15),0)&amp;" ("&amp;ROUND(Panchanga!$R162,2)&amp;")"</f>
        <v>K12 (26.6)</v>
      </c>
      <c r="N162" s="4">
        <f>IF(AND(Panchanga!$R162&lt;28.5,Panchanga!$R162&gt;0.49999),MOD((Panchanga!$R162-0.5)*2,7),MOD((Panchanga!$R162+30-28.5),30)*2+7)</f>
        <v>3.1918000000000006</v>
      </c>
      <c r="O162" s="4" t="str">
        <f>CHOOSE(ROUNDUP(Panchanga!$N162,0),"Bhava","Baalava","Kaulava","Taitula","Garija","Vanija","Vishti","Shakuni","Chatushapda","Naaga","Kimstugna")</f>
        <v>Taitula</v>
      </c>
      <c r="P162" s="11" t="str">
        <f>CHOOSE(ROUNDUP(Panchanga!$S162,0),"viṣkambha","prīti","āyuṣmāna","saubhāgya","śobhana","atigaṇḍa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("&amp;Panchanga!$S162&amp;")"</f>
        <v>vyāghāta (12.7)</v>
      </c>
      <c r="Q162" s="4">
        <f>IF(AND(Panchanga!$R162&lt;28.5,Panchanga!$R162&gt;0.49999),MOD((Panchanga!$R162-0.5)*2,7),MOD((Panchanga!$R162+30-28.5),30)*2+7)</f>
        <v>3.1918000000000006</v>
      </c>
      <c r="R162" s="4">
        <f>ROUNDUP(MOD(360+P[[#This Row],[Moon]]-P[[#This Row],[Sun]],360)/12,4)</f>
        <v>26.5959</v>
      </c>
      <c r="S162" s="4">
        <f>ROUNDUP(MOD(P[[#This Row],[Sun]]+P[[#This Row],[Moon]],360)/13.333333333,2)</f>
        <v>12.7</v>
      </c>
      <c r="T162" s="4" t="str">
        <f>SIGN(W163-Panchanga!$W162)*INT(Panchanga!$W162/30+1)&amp;"Ma,"&amp;SIGN(X163-Panchanga!$X162)*INT(Panchanga!$X162/30+1)&amp;"Me,"&amp;SIGN(Y163-Panchanga!$Y162)*INT(Panchanga!$Y162/30+1)&amp;"J, "&amp;SIGN(Z163-Panchanga!$Z162)*INT(Panchanga!$Z162/30+1)&amp;"V,"&amp;SIGN(AA163-Panchanga!$AA162)*INT(Panchanga!$AA162/30+1)&amp;"S,"&amp;INT(Panchanga!$AB162/30+1)&amp;"R"</f>
        <v>2Ma,5Me,2J, 5V,-11S,12R</v>
      </c>
      <c r="U162" s="4">
        <f t="shared" si="28"/>
        <v>105.06418852928246</v>
      </c>
      <c r="V162" s="4">
        <f t="shared" si="29"/>
        <v>64.213957513634341</v>
      </c>
      <c r="W162" s="4">
        <f>Planet(Panchanga!$G162,4)</f>
        <v>43.435107314065164</v>
      </c>
      <c r="X162" s="4">
        <f>Planet(Panchanga!$G162,2)</f>
        <v>129.1703623097051</v>
      </c>
      <c r="Y162" s="4">
        <f>Planet(Panchanga!$G162,5)</f>
        <v>50.203828856333402</v>
      </c>
      <c r="Z162" s="4">
        <f>Planet(Panchanga!$G162,3)</f>
        <v>120.78634372832254</v>
      </c>
      <c r="AA162" s="4">
        <f>Planet(Panchanga!$G162,6)</f>
        <v>324.39683192402902</v>
      </c>
      <c r="AB162" s="4">
        <f>Planet(Panchanga!$G162,10)</f>
        <v>345.3978191097691</v>
      </c>
      <c r="AC162" s="4" t="str">
        <f>TEXT(Panchanga!$C162+($C163-Panchanga!$C162)/ABS(IF($R163&lt;1,$R163+30,$R163)-Panchanga!$R162)*(ROUNDUP(Panchanga!$R162,0)-Panchanga!$R162),"hh:mm AM/PM")</f>
        <v>03:32 PM</v>
      </c>
      <c r="AD162" s="4"/>
    </row>
    <row r="163" spans="1:30" x14ac:dyDescent="0.2">
      <c r="A163" s="3">
        <f t="shared" si="31"/>
        <v>45506</v>
      </c>
      <c r="B163" s="3">
        <f t="shared" si="26"/>
        <v>45506.229166666664</v>
      </c>
      <c r="C163" s="6">
        <f t="shared" si="27"/>
        <v>45506.246988430772</v>
      </c>
      <c r="D163" s="6">
        <f>sunset(Lat,Long,B163)+TimeZone/24-0.000277777777777778</f>
        <v>45505.775213972709</v>
      </c>
      <c r="E163" s="6">
        <f>PlanetRiseSet(Lat,Long,B163,1,1)+TimeZone/24+0.00103009259259259</f>
        <v>45506.155606866967</v>
      </c>
      <c r="F163" s="6">
        <f>PlanetRiseSet(Lat,Long,B163+1,1,2)+TimeZone/24+0.00103009259259259</f>
        <v>45506.71604644895</v>
      </c>
      <c r="G163" s="17">
        <f>Panchanga!$C163-TimeZone/24</f>
        <v>45506.017821764108</v>
      </c>
      <c r="H163" s="13" t="str">
        <f>INT(P[[#This Row],[Sun]]/30)&amp;"s"&amp;ROUNDUP(MOD(P[[#This Row],[Sun]],30),2)</f>
        <v>3s16.03</v>
      </c>
      <c r="I163" s="13" t="str">
        <f>INT(P[[#This Row],[Moon]]/30)&amp;"s"&amp;ROUNDUP(MOD(P[[#This Row],[Moon]],30),2)</f>
        <v>2s17.28</v>
      </c>
      <c r="J163" s="14">
        <f t="shared" si="30"/>
        <v>45506.017821764108</v>
      </c>
      <c r="K163" s="10" t="str">
        <f>naks(P[[#This Row],[Moon]])</f>
        <v>Ardra</v>
      </c>
      <c r="L163" s="15">
        <f>(C164-P[[#This Row],[SunRise]])/(MOD(360+V164-P[[#This Row],[Moon]],360))*(13.3333333333333-MOD(P[[#This Row],[Moon]],13.333333333333))+P[[#This Row],[SunRise]]</f>
        <v>45506.459016094719</v>
      </c>
      <c r="M163" s="4" t="str">
        <f>IF(Panchanga!$R163&gt;15,"K","S")&amp;ROUNDUP(MOD(Panchanga!$R163,15),0)&amp;" ("&amp;ROUND(Panchanga!$R163,2)&amp;")"</f>
        <v>K13 (27.6)</v>
      </c>
      <c r="N163" s="4">
        <f>IF(AND(Panchanga!$R163&lt;28.5,Panchanga!$R163&gt;0.49999),MOD((Panchanga!$R163-0.5)*2,7),MOD((Panchanga!$R163+30-28.5),30)*2+7)</f>
        <v>5.2092000000000027</v>
      </c>
      <c r="O163" s="4" t="str">
        <f>CHOOSE(ROUNDUP(Panchanga!$N163,0),"Bhava","Baalava","Kaulava","Taitula","Garija","Vanija","Vishti","Shakuni","Chatushapda","Naaga","Kimstugna")</f>
        <v>Vanija</v>
      </c>
      <c r="P163" s="11" t="str">
        <f>CHOOSE(ROUNDUP(Panchanga!$S163,0),"viṣkambha","prīti","āyuṣmāna","saubhāgya","śobhana","atigaṇḍa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("&amp;Panchanga!$S163&amp;")"</f>
        <v>harṣaṇa (13.75)</v>
      </c>
      <c r="Q163" s="4">
        <f>IF(AND(Panchanga!$R163&lt;28.5,Panchanga!$R163&gt;0.49999),MOD((Panchanga!$R163-0.5)*2,7),MOD((Panchanga!$R163+30-28.5),30)*2+7)</f>
        <v>5.2092000000000027</v>
      </c>
      <c r="R163" s="4">
        <f>ROUNDUP(MOD(360+P[[#This Row],[Moon]]-P[[#This Row],[Sun]],360)/12,4)</f>
        <v>27.604600000000001</v>
      </c>
      <c r="S163" s="4">
        <f>ROUNDUP(MOD(P[[#This Row],[Sun]]+P[[#This Row],[Moon]],360)/13.333333333,2)</f>
        <v>13.75</v>
      </c>
      <c r="T163" s="4" t="str">
        <f>SIGN(W164-Panchanga!$W163)*INT(Panchanga!$W163/30+1)&amp;"Ma,"&amp;SIGN(X164-Panchanga!$X163)*INT(Panchanga!$X163/30+1)&amp;"Me,"&amp;SIGN(Y164-Panchanga!$Y163)*INT(Panchanga!$Y163/30+1)&amp;"J, "&amp;SIGN(Z164-Panchanga!$Z163)*INT(Panchanga!$Z163/30+1)&amp;"V,"&amp;SIGN(AA164-Panchanga!$AA163)*INT(Panchanga!$AA163/30+1)&amp;"S,"&amp;INT(Panchanga!$AB163/30+1)&amp;"R"</f>
        <v>2Ma,5Me,2J, 5V,-11S,12R</v>
      </c>
      <c r="U163" s="4">
        <f t="shared" si="28"/>
        <v>106.02135326022936</v>
      </c>
      <c r="V163" s="4">
        <f t="shared" si="29"/>
        <v>77.275773903620092</v>
      </c>
      <c r="W163" s="4">
        <f>Planet(Panchanga!$G163,4)</f>
        <v>44.110027138073001</v>
      </c>
      <c r="X163" s="4">
        <f>Planet(Panchanga!$G163,2)</f>
        <v>129.47470935071951</v>
      </c>
      <c r="Y163" s="4">
        <f>Planet(Panchanga!$G163,5)</f>
        <v>50.381576506708583</v>
      </c>
      <c r="Z163" s="4">
        <f>Planet(Panchanga!$G163,3)</f>
        <v>122.01487815175072</v>
      </c>
      <c r="AA163" s="4">
        <f>Planet(Panchanga!$G163,6)</f>
        <v>324.34650973160586</v>
      </c>
      <c r="AB163" s="4">
        <f>Planet(Panchanga!$G163,10)</f>
        <v>345.3448194171998</v>
      </c>
      <c r="AC163" s="4" t="str">
        <f>TEXT(Panchanga!$C163+($C164-Panchanga!$C163)/ABS(IF($R164&lt;1,$R164+30,$R164)-Panchanga!$R163)*(ROUNDUP(Panchanga!$R163,0)-Panchanga!$R163),"hh:mm AM/PM")</f>
        <v>03:30 PM</v>
      </c>
      <c r="AD163" s="4"/>
    </row>
    <row r="164" spans="1:30" x14ac:dyDescent="0.2">
      <c r="A164" s="3">
        <f t="shared" si="31"/>
        <v>45507</v>
      </c>
      <c r="B164" s="3">
        <f t="shared" si="26"/>
        <v>45507.229166666664</v>
      </c>
      <c r="C164" s="6">
        <f t="shared" si="27"/>
        <v>45507.247129886564</v>
      </c>
      <c r="D164" s="6">
        <f>sunset(Lat,Long,B164)+TimeZone/24-0.000277777777777778</f>
        <v>45506.774969356178</v>
      </c>
      <c r="E164" s="6">
        <f>PlanetRiseSet(Lat,Long,B164,1,1)+TimeZone/24+0.00103009259259259</f>
        <v>45507.195557635896</v>
      </c>
      <c r="F164" s="6">
        <f>PlanetRiseSet(Lat,Long,B164+1,1,2)+TimeZone/24+0.00103009259259259</f>
        <v>45507.750779792819</v>
      </c>
      <c r="G164" s="17">
        <f>Panchanga!$C164-TimeZone/24</f>
        <v>45507.0179632199</v>
      </c>
      <c r="H164" s="13" t="str">
        <f>INT(P[[#This Row],[Sun]]/30)&amp;"s"&amp;ROUNDUP(MOD(P[[#This Row],[Sun]],30),2)</f>
        <v>3s16.98</v>
      </c>
      <c r="I164" s="13" t="str">
        <f>INT(P[[#This Row],[Moon]]/30)&amp;"s"&amp;ROUNDUP(MOD(P[[#This Row],[Moon]],30),2)</f>
        <v>3s0.13</v>
      </c>
      <c r="J164" s="14">
        <f t="shared" si="30"/>
        <v>45507.0179632199</v>
      </c>
      <c r="K164" s="10" t="str">
        <f>naks(P[[#This Row],[Moon]])</f>
        <v>Punarvasu</v>
      </c>
      <c r="L164" s="15">
        <f>(C165-P[[#This Row],[SunRise]])/(MOD(360+V165-P[[#This Row],[Moon]],360))*(13.3333333333333-MOD(P[[#This Row],[Moon]],13.333333333333))+P[[#This Row],[SunRise]]</f>
        <v>45507.501013726556</v>
      </c>
      <c r="M164" s="4" t="str">
        <f>IF(Panchanga!$R164&gt;15,"K","S")&amp;ROUNDUP(MOD(Panchanga!$R164,15),0)&amp;" ("&amp;ROUND(Panchanga!$R164,2)&amp;")"</f>
        <v>K14 (28.6)</v>
      </c>
      <c r="N164" s="4">
        <f>IF(AND(Panchanga!$R164&lt;28.5,Panchanga!$R164&gt;0.49999),MOD((Panchanga!$R164-0.5)*2,7),MOD((Panchanga!$R164+30-28.5),30)*2+7)</f>
        <v>7.1914000000000016</v>
      </c>
      <c r="O164" s="4" t="str">
        <f>CHOOSE(ROUNDUP(Panchanga!$N164,0),"Bhava","Baalava","Kaulava","Taitula","Garija","Vanija","Vishti","Shakuni","Chatushapda","Naaga","Kimstugna")</f>
        <v>Shakuni</v>
      </c>
      <c r="P164" s="11" t="str">
        <f>CHOOSE(ROUNDUP(Panchanga!$S164,0),"viṣkambha","prīti","āyuṣmāna","saubhāgya","śobhana","atigaṇḍa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("&amp;Panchanga!$S164&amp;")"</f>
        <v>vajra (14.79)</v>
      </c>
      <c r="Q164" s="4">
        <f>IF(AND(Panchanga!$R164&lt;28.5,Panchanga!$R164&gt;0.49999),MOD((Panchanga!$R164-0.5)*2,7),MOD((Panchanga!$R164+30-28.5),30)*2+7)</f>
        <v>7.1914000000000016</v>
      </c>
      <c r="R164" s="4">
        <f>ROUNDUP(MOD(360+P[[#This Row],[Moon]]-P[[#This Row],[Sun]],360)/12,4)</f>
        <v>28.595700000000001</v>
      </c>
      <c r="S164" s="4">
        <f>ROUNDUP(MOD(P[[#This Row],[Sun]]+P[[#This Row],[Moon]],360)/13.333333333,2)</f>
        <v>14.79</v>
      </c>
      <c r="T164" s="4" t="str">
        <f>SIGN(W165-Panchanga!$W164)*INT(Panchanga!$W164/30+1)&amp;"Ma,"&amp;SIGN(X165-Panchanga!$X164)*INT(Panchanga!$X164/30+1)&amp;"Me,"&amp;SIGN(Y165-Panchanga!$Y164)*INT(Panchanga!$Y164/30+1)&amp;"J, "&amp;SIGN(Z165-Panchanga!$Z164)*INT(Panchanga!$Z164/30+1)&amp;"V,"&amp;SIGN(AA165-Panchanga!$AA164)*INT(Panchanga!$AA164/30+1)&amp;"S,"&amp;INT(Panchanga!$AB164/30+1)&amp;"R"</f>
        <v>2Ma,5Me,2J, 5V,-11S,12R</v>
      </c>
      <c r="U164" s="4">
        <f t="shared" si="28"/>
        <v>106.97879651253857</v>
      </c>
      <c r="V164" s="4">
        <f t="shared" si="29"/>
        <v>90.126037888965783</v>
      </c>
      <c r="W164" s="4">
        <f>Planet(Panchanga!$G164,4)</f>
        <v>44.783240902407599</v>
      </c>
      <c r="X164" s="4">
        <f>Planet(Panchanga!$G164,2)</f>
        <v>129.70006569603171</v>
      </c>
      <c r="Y164" s="4">
        <f>Planet(Panchanga!$G164,5)</f>
        <v>50.557680536493564</v>
      </c>
      <c r="Z164" s="4">
        <f>Planet(Panchanga!$G164,3)</f>
        <v>123.24337800962026</v>
      </c>
      <c r="AA164" s="4">
        <f>Planet(Panchanga!$G164,6)</f>
        <v>324.29490563085898</v>
      </c>
      <c r="AB164" s="4">
        <f>Planet(Panchanga!$G164,10)</f>
        <v>345.29181993406269</v>
      </c>
      <c r="AC164" s="4" t="str">
        <f>TEXT(Panchanga!$C164+($C165-Panchanga!$C164)/ABS(IF($R165&lt;1,$R165+30,$R165)-Panchanga!$R164)*(ROUNDUP(Panchanga!$R164,0)-Panchanga!$R164),"hh:mm AM/PM")</f>
        <v>03:54 PM</v>
      </c>
      <c r="AD164" s="4"/>
    </row>
    <row r="165" spans="1:30" x14ac:dyDescent="0.2">
      <c r="A165" s="3">
        <f t="shared" si="31"/>
        <v>45508</v>
      </c>
      <c r="B165" s="3">
        <f t="shared" si="26"/>
        <v>45508.229166666664</v>
      </c>
      <c r="C165" s="6">
        <f t="shared" si="27"/>
        <v>45508.247267278995</v>
      </c>
      <c r="D165" s="6">
        <f>sunset(Lat,Long,B165)+TimeZone/24-0.000277777777777778</f>
        <v>45507.774714871819</v>
      </c>
      <c r="E165" s="6">
        <f>PlanetRiseSet(Lat,Long,B165,1,1)+TimeZone/24+0.00103009259259259</f>
        <v>45508.234070883751</v>
      </c>
      <c r="F165" s="6">
        <f>PlanetRiseSet(Lat,Long,B165+1,1,2)+TimeZone/24+0.00103009259259259</f>
        <v>45508.781931813028</v>
      </c>
      <c r="G165" s="17">
        <f>Panchanga!$C165-TimeZone/24</f>
        <v>45508.018100612331</v>
      </c>
      <c r="H165" s="13" t="str">
        <f>INT(P[[#This Row],[Sun]]/30)&amp;"s"&amp;ROUNDUP(MOD(P[[#This Row],[Sun]],30),2)</f>
        <v>3s17.94</v>
      </c>
      <c r="I165" s="13" t="str">
        <f>INT(P[[#This Row],[Moon]]/30)&amp;"s"&amp;ROUNDUP(MOD(P[[#This Row],[Moon]],30),2)</f>
        <v>3s12.77</v>
      </c>
      <c r="J165" s="14">
        <f t="shared" si="30"/>
        <v>45508.018100612331</v>
      </c>
      <c r="K165" s="10" t="str">
        <f>naks(P[[#This Row],[Moon]])</f>
        <v>Pushya</v>
      </c>
      <c r="L165" s="15">
        <f>(C166-P[[#This Row],[SunRise]])/(MOD(360+V166-P[[#This Row],[Moon]],360))*(13.3333333333333-MOD(P[[#This Row],[Moon]],13.333333333333))+P[[#This Row],[SunRise]]</f>
        <v>45508.5617895061</v>
      </c>
      <c r="M165" s="4" t="str">
        <f>IF(Panchanga!$R165&gt;15,"K","S")&amp;ROUNDUP(MOD(Panchanga!$R165,15),0)&amp;" ("&amp;ROUND(Panchanga!$R165,2)&amp;")"</f>
        <v>K15 (29.57)</v>
      </c>
      <c r="N165" s="4">
        <f>IF(AND(Panchanga!$R165&lt;28.5,Panchanga!$R165&gt;0.49999),MOD((Panchanga!$R165-0.5)*2,7),MOD((Panchanga!$R165+30-28.5),30)*2+7)</f>
        <v>9.1373999999999995</v>
      </c>
      <c r="O165" s="4" t="str">
        <f>CHOOSE(ROUNDUP(Panchanga!$N165,0),"Bhava","Baalava","Kaulava","Taitula","Garija","Vanija","Vishti","Shakuni","Chatushapda","Naaga","Kimstugna")</f>
        <v>Naaga</v>
      </c>
      <c r="P165" s="11" t="str">
        <f>CHOOSE(ROUNDUP(Panchanga!$S165,0),"viṣkambha","prīti","āyuṣmāna","saubhāgya","śobhana","atigaṇḍa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("&amp;Panchanga!$S165&amp;")"</f>
        <v>siddhi (15.81)</v>
      </c>
      <c r="Q165" s="4">
        <f>IF(AND(Panchanga!$R165&lt;28.5,Panchanga!$R165&gt;0.49999),MOD((Panchanga!$R165-0.5)*2,7),MOD((Panchanga!$R165+30-28.5),30)*2+7)</f>
        <v>9.1373999999999995</v>
      </c>
      <c r="R165" s="4">
        <f>ROUNDUP(MOD(360+P[[#This Row],[Moon]]-P[[#This Row],[Sun]],360)/12,4)</f>
        <v>29.5687</v>
      </c>
      <c r="S165" s="4">
        <f>ROUNDUP(MOD(P[[#This Row],[Sun]]+P[[#This Row],[Moon]],360)/13.333333333,2)</f>
        <v>15.81</v>
      </c>
      <c r="T165" s="4" t="str">
        <f>SIGN(W166-Panchanga!$W165)*INT(Panchanga!$W165/30+1)&amp;"Ma,"&amp;SIGN(X166-Panchanga!$X165)*INT(Panchanga!$X165/30+1)&amp;"Me,"&amp;SIGN(Y166-Panchanga!$Y165)*INT(Panchanga!$Y165/30+1)&amp;"J, "&amp;SIGN(Z166-Panchanga!$Z165)*INT(Panchanga!$Z165/30+1)&amp;"V,"&amp;SIGN(AA166-Panchanga!$AA165)*INT(Panchanga!$AA165/30+1)&amp;"S,"&amp;INT(Panchanga!$AB165/30+1)&amp;"R"</f>
        <v>2Ma,5Me,2J, 5V,-11S,12R</v>
      </c>
      <c r="U165" s="4">
        <f t="shared" si="28"/>
        <v>107.93651099252905</v>
      </c>
      <c r="V165" s="4">
        <f t="shared" si="29"/>
        <v>102.76069830122975</v>
      </c>
      <c r="W165" s="4">
        <f>Planet(Panchanga!$G165,4)</f>
        <v>45.454722803444767</v>
      </c>
      <c r="X165" s="4">
        <f>Planet(Panchanga!$G165,2)</f>
        <v>129.84361117994496</v>
      </c>
      <c r="Y165" s="4">
        <f>Planet(Panchanga!$G165,5)</f>
        <v>50.732111304102268</v>
      </c>
      <c r="Z165" s="4">
        <f>Planet(Panchanga!$G165,3)</f>
        <v>124.47183133086112</v>
      </c>
      <c r="AA165" s="4">
        <f>Planet(Panchanga!$G165,6)</f>
        <v>324.24204474440086</v>
      </c>
      <c r="AB165" s="4">
        <f>Planet(Panchanga!$G165,10)</f>
        <v>345.23882066623975</v>
      </c>
      <c r="AC165" s="4" t="str">
        <f>TEXT(Panchanga!$C165+($C166-Panchanga!$C165)/ABS(IF($R166&lt;1,$R166+30,$R166)-Panchanga!$R165)*(ROUNDUP(Panchanga!$R165,0)-Panchanga!$R165),"hh:mm AM/PM")</f>
        <v>04:46 PM</v>
      </c>
      <c r="AD165" s="4"/>
    </row>
    <row r="166" spans="1:30" x14ac:dyDescent="0.2">
      <c r="A166" s="3">
        <f t="shared" si="31"/>
        <v>45509</v>
      </c>
      <c r="B166" s="3">
        <f t="shared" si="26"/>
        <v>45509.229166666664</v>
      </c>
      <c r="C166" s="6">
        <f t="shared" si="27"/>
        <v>45509.247400506087</v>
      </c>
      <c r="D166" s="6">
        <f>sunset(Lat,Long,B166)+TimeZone/24-0.000277777777777778</f>
        <v>45508.774450589481</v>
      </c>
      <c r="E166" s="6">
        <f>PlanetRiseSet(Lat,Long,B166,1,1)+TimeZone/24+0.00103009259259259</f>
        <v>45509.270477447812</v>
      </c>
      <c r="F166" s="6">
        <f>PlanetRiseSet(Lat,Long,B166+1,1,2)+TimeZone/24+0.00103009259259259</f>
        <v>45509.809918294348</v>
      </c>
      <c r="G166" s="17">
        <f>Panchanga!$C166-TimeZone/24</f>
        <v>45509.018233839422</v>
      </c>
      <c r="H166" s="13" t="str">
        <f>INT(P[[#This Row],[Sun]]/30)&amp;"s"&amp;ROUNDUP(MOD(P[[#This Row],[Sun]],30),2)</f>
        <v>3s18.9</v>
      </c>
      <c r="I166" s="13" t="str">
        <f>INT(P[[#This Row],[Moon]]/30)&amp;"s"&amp;ROUNDUP(MOD(P[[#This Row],[Moon]],30),2)</f>
        <v>3s25.19</v>
      </c>
      <c r="J166" s="14">
        <f t="shared" si="30"/>
        <v>45509.018233839422</v>
      </c>
      <c r="K166" s="10" t="str">
        <f>naks(P[[#This Row],[Moon]])</f>
        <v>Aslesha</v>
      </c>
      <c r="L166" s="15">
        <f>(C167-P[[#This Row],[SunRise]])/(MOD(360+V167-P[[#This Row],[Moon]],360))*(13.3333333333333-MOD(P[[#This Row],[Moon]],13.333333333333))+P[[#This Row],[SunRise]]</f>
        <v>45509.641897048466</v>
      </c>
      <c r="M166" s="4" t="str">
        <f>IF(Panchanga!$R166&gt;15,"K","S")&amp;ROUNDUP(MOD(Panchanga!$R166,15),0)&amp;" ("&amp;ROUND(Panchanga!$R166,2)&amp;")"</f>
        <v>S1 (0.52)</v>
      </c>
      <c r="N166" s="4">
        <f>IF(AND(Panchanga!$R166&lt;28.5,Panchanga!$R166&gt;0.49999),MOD((Panchanga!$R166-0.5)*2,7),MOD((Panchanga!$R166+30-28.5),30)*2+7)</f>
        <v>4.7800000000000065E-2</v>
      </c>
      <c r="O166" s="4" t="str">
        <f>CHOOSE(ROUNDUP(Panchanga!$N166,0),"Bhava","Baalava","Kaulava","Taitula","Garija","Vanija","Vishti","Shakuni","Chatushapda","Naaga","Kimstugna")</f>
        <v>Bhava</v>
      </c>
      <c r="P166" s="11" t="str">
        <f>CHOOSE(ROUNDUP(Panchanga!$S166,0),"viṣkambha","prīti","āyuṣmāna","saubhāgya","śobhana","atigaṇḍa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("&amp;Panchanga!$S166&amp;")"</f>
        <v>vyatipāta (16.81)</v>
      </c>
      <c r="Q166" s="4">
        <f>IF(AND(Panchanga!$R166&lt;28.5,Panchanga!$R166&gt;0.49999),MOD((Panchanga!$R166-0.5)*2,7),MOD((Panchanga!$R166+30-28.5),30)*2+7)</f>
        <v>4.7800000000000065E-2</v>
      </c>
      <c r="R166" s="4">
        <f>ROUNDUP(MOD(360+P[[#This Row],[Moon]]-P[[#This Row],[Sun]],360)/12,4)</f>
        <v>0.52390000000000003</v>
      </c>
      <c r="S166" s="4">
        <f>ROUNDUP(MOD(P[[#This Row],[Sun]]+P[[#This Row],[Moon]],360)/13.333333333,2)</f>
        <v>16.810000000000002</v>
      </c>
      <c r="T166" s="4" t="str">
        <f>SIGN(W167-Panchanga!$W166)*INT(Panchanga!$W166/30+1)&amp;"Ma,"&amp;SIGN(X167-Panchanga!$X166)*INT(Panchanga!$X166/30+1)&amp;"Me,"&amp;SIGN(Y167-Panchanga!$Y166)*INT(Panchanga!$Y166/30+1)&amp;"J, "&amp;SIGN(Z167-Panchanga!$Z166)*INT(Panchanga!$Z166/30+1)&amp;"V,"&amp;SIGN(AA167-Panchanga!$AA166)*INT(Panchanga!$AA166/30+1)&amp;"S,"&amp;INT(Panchanga!$AB166/30+1)&amp;"R"</f>
        <v>2Ma,-5Me,2J, 5V,-11S,12R</v>
      </c>
      <c r="U166" s="4">
        <f t="shared" si="28"/>
        <v>108.89448908570515</v>
      </c>
      <c r="V166" s="4">
        <f t="shared" si="29"/>
        <v>115.1810883709919</v>
      </c>
      <c r="W166" s="4">
        <f>Planet(Panchanga!$G166,4)</f>
        <v>46.124448566524656</v>
      </c>
      <c r="X166" s="4">
        <f>Planet(Panchanga!$G166,2)</f>
        <v>129.90278564730266</v>
      </c>
      <c r="Y166" s="4">
        <f>Planet(Panchanga!$G166,5)</f>
        <v>50.904839542423687</v>
      </c>
      <c r="Z166" s="4">
        <f>Planet(Panchanga!$G166,3)</f>
        <v>125.70022538323083</v>
      </c>
      <c r="AA166" s="4">
        <f>Planet(Panchanga!$G166,6)</f>
        <v>324.1879532763113</v>
      </c>
      <c r="AB166" s="4">
        <f>Planet(Panchanga!$G166,10)</f>
        <v>345.18582161916555</v>
      </c>
      <c r="AC166" s="4" t="str">
        <f>TEXT(Panchanga!$C166+($C167-Panchanga!$C166)/ABS(IF($R167&lt;1,$R167+30,$R167)-Panchanga!$R166)*(ROUNDUP(Panchanga!$R166,0)-Panchanga!$R166),"hh:mm AM/PM")</f>
        <v>06:07 PM</v>
      </c>
      <c r="AD166" s="4"/>
    </row>
    <row r="167" spans="1:30" x14ac:dyDescent="0.2">
      <c r="A167" s="3">
        <f t="shared" si="31"/>
        <v>45510</v>
      </c>
      <c r="B167" s="3">
        <f t="shared" si="26"/>
        <v>45510.229166666664</v>
      </c>
      <c r="C167" s="6">
        <f t="shared" si="27"/>
        <v>45510.247529478896</v>
      </c>
      <c r="D167" s="6">
        <f>sunset(Lat,Long,B167)+TimeZone/24-0.000277777777777778</f>
        <v>45509.774176585997</v>
      </c>
      <c r="E167" s="6">
        <f>PlanetRiseSet(Lat,Long,B167,1,1)+TimeZone/24+0.00103009259259259</f>
        <v>45510.30472755168</v>
      </c>
      <c r="F167" s="6">
        <f>PlanetRiseSet(Lat,Long,B167+1,1,2)+TimeZone/24+0.00103009259259259</f>
        <v>45510.835449350219</v>
      </c>
      <c r="G167" s="17">
        <f>Panchanga!$C167-TimeZone/24</f>
        <v>45510.018362812232</v>
      </c>
      <c r="H167" s="13" t="str">
        <f>INT(P[[#This Row],[Sun]]/30)&amp;"s"&amp;ROUNDUP(MOD(P[[#This Row],[Sun]],30),2)</f>
        <v>3s19.86</v>
      </c>
      <c r="I167" s="13" t="str">
        <f>INT(P[[#This Row],[Moon]]/30)&amp;"s"&amp;ROUNDUP(MOD(P[[#This Row],[Moon]],30),2)</f>
        <v>4s7.4</v>
      </c>
      <c r="J167" s="14">
        <f t="shared" si="30"/>
        <v>45510.018362812232</v>
      </c>
      <c r="K167" s="10" t="str">
        <f>naks(P[[#This Row],[Moon]])</f>
        <v>Makha</v>
      </c>
      <c r="L167" s="15">
        <f>(C168-P[[#This Row],[SunRise]])/(MOD(360+V168-P[[#This Row],[Moon]],360))*(13.3333333333333-MOD(P[[#This Row],[Moon]],13.333333333333))+P[[#This Row],[SunRise]]</f>
        <v>45510.740690185325</v>
      </c>
      <c r="M167" s="4" t="str">
        <f>IF(Panchanga!$R167&gt;15,"K","S")&amp;ROUNDUP(MOD(Panchanga!$R167,15),0)&amp;" ("&amp;ROUND(Panchanga!$R167,2)&amp;")"</f>
        <v>S2 (1.46)</v>
      </c>
      <c r="N167" s="4">
        <f>IF(AND(Panchanga!$R167&lt;28.5,Panchanga!$R167&gt;0.49999),MOD((Panchanga!$R167-0.5)*2,7),MOD((Panchanga!$R167+30-28.5),30)*2+7)</f>
        <v>1.9243999999999999</v>
      </c>
      <c r="O167" s="4" t="str">
        <f>CHOOSE(ROUNDUP(Panchanga!$N167,0),"Bhava","Baalava","Kaulava","Taitula","Garija","Vanija","Vishti","Shakuni","Chatushapda","Naaga","Kimstugna")</f>
        <v>Baalava</v>
      </c>
      <c r="P167" s="11" t="str">
        <f>CHOOSE(ROUNDUP(Panchanga!$S167,0),"viṣkambha","prīti","āyuṣmāna","saubhāgya","śobhana","atigaṇḍa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("&amp;Panchanga!$S167&amp;")"</f>
        <v>varīyas (17.8)</v>
      </c>
      <c r="Q167" s="4">
        <f>IF(AND(Panchanga!$R167&lt;28.5,Panchanga!$R167&gt;0.49999),MOD((Panchanga!$R167-0.5)*2,7),MOD((Panchanga!$R167+30-28.5),30)*2+7)</f>
        <v>1.9243999999999999</v>
      </c>
      <c r="R167" s="4">
        <f>ROUNDUP(MOD(360+P[[#This Row],[Moon]]-P[[#This Row],[Sun]],360)/12,4)</f>
        <v>1.4621999999999999</v>
      </c>
      <c r="S167" s="4">
        <f>ROUNDUP(MOD(P[[#This Row],[Sun]]+P[[#This Row],[Moon]],360)/13.333333333,2)</f>
        <v>17.8</v>
      </c>
      <c r="T167" s="4" t="str">
        <f>SIGN(W168-Panchanga!$W167)*INT(Panchanga!$W167/30+1)&amp;"Ma,"&amp;SIGN(X168-Panchanga!$X167)*INT(Panchanga!$X167/30+1)&amp;"Me,"&amp;SIGN(Y168-Panchanga!$Y167)*INT(Panchanga!$Y167/30+1)&amp;"J, "&amp;SIGN(Z168-Panchanga!$Z167)*INT(Panchanga!$Z167/30+1)&amp;"V,"&amp;SIGN(AA168-Panchanga!$AA167)*INT(Panchanga!$AA167/30+1)&amp;"S,"&amp;INT(Panchanga!$AB167/30+1)&amp;"R"</f>
        <v>2Ma,-5Me,2J, 5V,-11S,12R</v>
      </c>
      <c r="U167" s="4">
        <f t="shared" si="28"/>
        <v>109.85272354303581</v>
      </c>
      <c r="V167" s="4">
        <f t="shared" si="29"/>
        <v>127.39800948403338</v>
      </c>
      <c r="W167" s="4">
        <f>Planet(Panchanga!$G167,4)</f>
        <v>46.792395594860189</v>
      </c>
      <c r="X167" s="4">
        <f>Planet(Panchanga!$G167,2)</f>
        <v>129.87541748337227</v>
      </c>
      <c r="Y167" s="4">
        <f>Planet(Panchanga!$G167,5)</f>
        <v>51.075836434393374</v>
      </c>
      <c r="Z167" s="4">
        <f>Planet(Panchanga!$G167,3)</f>
        <v>126.92854707163734</v>
      </c>
      <c r="AA167" s="4">
        <f>Planet(Panchanga!$G167,6)</f>
        <v>324.13265840414385</v>
      </c>
      <c r="AB167" s="4">
        <f>Planet(Panchanga!$G167,10)</f>
        <v>345.132822797529</v>
      </c>
      <c r="AC167" s="4" t="str">
        <f>TEXT(Panchanga!$C167+($C168-Panchanga!$C167)/ABS(IF($R168&lt;1,$R168+30,$R168)-Panchanga!$R167)*(ROUNDUP(Panchanga!$R167,0)-Panchanga!$R167),"hh:mm AM/PM")</f>
        <v>07:55 PM</v>
      </c>
      <c r="AD167" s="4"/>
    </row>
    <row r="168" spans="1:30" x14ac:dyDescent="0.2">
      <c r="A168" s="3">
        <f t="shared" si="31"/>
        <v>45511</v>
      </c>
      <c r="B168" s="3">
        <f t="shared" si="26"/>
        <v>45511.229166666664</v>
      </c>
      <c r="C168" s="6">
        <f t="shared" si="27"/>
        <v>45511.247654120591</v>
      </c>
      <c r="D168" s="6">
        <f>sunset(Lat,Long,B168)+TimeZone/24-0.000277777777777778</f>
        <v>45510.77389295031</v>
      </c>
      <c r="E168" s="6">
        <f>PlanetRiseSet(Lat,Long,B168,1,1)+TimeZone/24+0.00103009259259259</f>
        <v>45511.337203347743</v>
      </c>
      <c r="F168" s="6">
        <f>PlanetRiseSet(Lat,Long,B168+1,1,2)+TimeZone/24+0.00103009259259259</f>
        <v>45511.859331477121</v>
      </c>
      <c r="G168" s="17">
        <f>Panchanga!$C168-TimeZone/24</f>
        <v>45511.018487453926</v>
      </c>
      <c r="H168" s="13" t="str">
        <f>INT(P[[#This Row],[Sun]]/30)&amp;"s"&amp;ROUNDUP(MOD(P[[#This Row],[Sun]],30),2)</f>
        <v>3s20.82</v>
      </c>
      <c r="I168" s="13" t="str">
        <f>INT(P[[#This Row],[Moon]]/30)&amp;"s"&amp;ROUNDUP(MOD(P[[#This Row],[Moon]],30),2)</f>
        <v>4s19.44</v>
      </c>
      <c r="J168" s="14">
        <f t="shared" si="30"/>
        <v>45511.018487453926</v>
      </c>
      <c r="K168" s="10" t="str">
        <f>naks(P[[#This Row],[Moon]])</f>
        <v>Purva Phalguni</v>
      </c>
      <c r="L168" s="15">
        <f>(C169-P[[#This Row],[SunRise]])/(MOD(360+V169-P[[#This Row],[Moon]],360))*(13.3333333333333-MOD(P[[#This Row],[Moon]],13.333333333333))+P[[#This Row],[SunRise]]</f>
        <v>45511.855749863789</v>
      </c>
      <c r="M168" s="4" t="str">
        <f>IF(Panchanga!$R168&gt;15,"K","S")&amp;ROUNDUP(MOD(Panchanga!$R168,15),0)&amp;" ("&amp;ROUND(Panchanga!$R168,2)&amp;")"</f>
        <v>S3 (2.39)</v>
      </c>
      <c r="N168" s="4">
        <f>IF(AND(Panchanga!$R168&lt;28.5,Panchanga!$R168&gt;0.49999),MOD((Panchanga!$R168-0.5)*2,7),MOD((Panchanga!$R168+30-28.5),30)*2+7)</f>
        <v>3.7706000000000008</v>
      </c>
      <c r="O168" s="4" t="str">
        <f>CHOOSE(ROUNDUP(Panchanga!$N168,0),"Bhava","Baalava","Kaulava","Taitula","Garija","Vanija","Vishti","Shakuni","Chatushapda","Naaga","Kimstugna")</f>
        <v>Taitula</v>
      </c>
      <c r="P168" s="11" t="str">
        <f>CHOOSE(ROUNDUP(Panchanga!$S168,0),"viṣkambha","prīti","āyuṣmāna","saubhāgya","śobhana","atigaṇḍa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("&amp;Panchanga!$S168&amp;")"</f>
        <v>parigha (18.77)</v>
      </c>
      <c r="Q168" s="4">
        <f>IF(AND(Panchanga!$R168&lt;28.5,Panchanga!$R168&gt;0.49999),MOD((Panchanga!$R168-0.5)*2,7),MOD((Panchanga!$R168+30-28.5),30)*2+7)</f>
        <v>3.7706000000000008</v>
      </c>
      <c r="R168" s="4">
        <f>ROUNDUP(MOD(360+P[[#This Row],[Moon]]-P[[#This Row],[Sun]],360)/12,4)</f>
        <v>2.3853000000000004</v>
      </c>
      <c r="S168" s="4">
        <f>ROUNDUP(MOD(P[[#This Row],[Sun]]+P[[#This Row],[Moon]],360)/13.333333333,2)</f>
        <v>18.770000000000003</v>
      </c>
      <c r="T168" s="4" t="str">
        <f>SIGN(W169-Panchanga!$W168)*INT(Panchanga!$W168/30+1)&amp;"Ma,"&amp;SIGN(X169-Panchanga!$X168)*INT(Panchanga!$X168/30+1)&amp;"Me,"&amp;SIGN(Y169-Panchanga!$Y168)*INT(Panchanga!$Y168/30+1)&amp;"J, "&amp;SIGN(Z169-Panchanga!$Z168)*INT(Panchanga!$Z168/30+1)&amp;"V,"&amp;SIGN(AA169-Panchanga!$AA168)*INT(Panchanga!$AA168/30+1)&amp;"S,"&amp;INT(Panchanga!$AB168/30+1)&amp;"R"</f>
        <v>2Ma,-5Me,2J, 5V,-11S,12R</v>
      </c>
      <c r="U168" s="4">
        <f t="shared" si="28"/>
        <v>110.81120807286744</v>
      </c>
      <c r="V168" s="4">
        <f t="shared" si="29"/>
        <v>139.43478281319207</v>
      </c>
      <c r="W168" s="4">
        <f>Planet(Panchanga!$G168,4)</f>
        <v>47.458542970565325</v>
      </c>
      <c r="X168" s="4">
        <f>Planet(Panchanga!$G168,2)</f>
        <v>129.75987502359646</v>
      </c>
      <c r="Y168" s="4">
        <f>Planet(Panchanga!$G168,5)</f>
        <v>51.245073641330592</v>
      </c>
      <c r="Z168" s="4">
        <f>Planet(Panchanga!$G168,3)</f>
        <v>128.15678331874619</v>
      </c>
      <c r="AA168" s="4">
        <f>Planet(Panchanga!$G168,6)</f>
        <v>324.07618815899065</v>
      </c>
      <c r="AB168" s="4">
        <f>Planet(Panchanga!$G168,10)</f>
        <v>345.07982420542271</v>
      </c>
      <c r="AC168" s="4" t="str">
        <f>TEXT(Panchanga!$C168+($C169-Panchanga!$C168)/ABS(IF($R169&lt;1,$R169+30,$R169)-Panchanga!$R168)*(ROUNDUP(Panchanga!$R168,0)-Panchanga!$R168),"hh:mm AM/PM")</f>
        <v>10:08 PM</v>
      </c>
      <c r="AD168" s="4"/>
    </row>
    <row r="169" spans="1:30" x14ac:dyDescent="0.2">
      <c r="A169" s="3">
        <f t="shared" si="31"/>
        <v>45512</v>
      </c>
      <c r="B169" s="3">
        <f t="shared" si="26"/>
        <v>45512.229166666664</v>
      </c>
      <c r="C169" s="6">
        <f t="shared" si="27"/>
        <v>45512.247774369236</v>
      </c>
      <c r="D169" s="6">
        <f>sunset(Lat,Long,B169)+TimeZone/24-0.000277777777777778</f>
        <v>45511.773599782071</v>
      </c>
      <c r="E169" s="6">
        <f>PlanetRiseSet(Lat,Long,B169,1,1)+TimeZone/24+0.00103009259259259</f>
        <v>45512.368521140575</v>
      </c>
      <c r="F169" s="6">
        <f>PlanetRiseSet(Lat,Long,B169+1,1,2)+TimeZone/24+0.00103009259259259</f>
        <v>45512.882378873102</v>
      </c>
      <c r="G169" s="17">
        <f>Panchanga!$C169-TimeZone/24</f>
        <v>45512.018607702572</v>
      </c>
      <c r="H169" s="13" t="str">
        <f>INT(P[[#This Row],[Sun]]/30)&amp;"s"&amp;ROUNDUP(MOD(P[[#This Row],[Sun]],30),2)</f>
        <v>3s21.77</v>
      </c>
      <c r="I169" s="13" t="str">
        <f>INT(P[[#This Row],[Moon]]/30)&amp;"s"&amp;ROUNDUP(MOD(P[[#This Row],[Moon]],30),2)</f>
        <v>5s1.33</v>
      </c>
      <c r="J169" s="14">
        <f t="shared" si="30"/>
        <v>45512.018607702572</v>
      </c>
      <c r="K169" s="10" t="str">
        <f>naks(P[[#This Row],[Moon]])</f>
        <v>Uttara Phalguni</v>
      </c>
      <c r="L169" s="15">
        <f>(C170-P[[#This Row],[SunRise]])/(MOD(360+V170-P[[#This Row],[Moon]],360))*(13.3333333333333-MOD(P[[#This Row],[Moon]],13.333333333333))+P[[#This Row],[SunRise]]</f>
        <v>45512.982502123261</v>
      </c>
      <c r="M169" s="4" t="str">
        <f>IF(Panchanga!$R169&gt;15,"K","S")&amp;ROUNDUP(MOD(Panchanga!$R169,15),0)&amp;" ("&amp;ROUND(Panchanga!$R169,2)&amp;")"</f>
        <v>S4 (3.3)</v>
      </c>
      <c r="N169" s="4">
        <f>IF(AND(Panchanga!$R169&lt;28.5,Panchanga!$R169&gt;0.49999),MOD((Panchanga!$R169-0.5)*2,7),MOD((Panchanga!$R169+30-28.5),30)*2+7)</f>
        <v>5.5932000000000004</v>
      </c>
      <c r="O169" s="4" t="str">
        <f>CHOOSE(ROUNDUP(Panchanga!$N169,0),"Bhava","Baalava","Kaulava","Taitula","Garija","Vanija","Vishti","Shakuni","Chatushapda","Naaga","Kimstugna")</f>
        <v>Vanija</v>
      </c>
      <c r="P169" s="11" t="str">
        <f>CHOOSE(ROUNDUP(Panchanga!$S169,0),"viṣkambha","prīti","āyuṣmāna","saubhāgya","śobhana","atigaṇḍa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("&amp;Panchanga!$S169&amp;")"</f>
        <v>śiva (19.74)</v>
      </c>
      <c r="Q169" s="4">
        <f>IF(AND(Panchanga!$R169&lt;28.5,Panchanga!$R169&gt;0.49999),MOD((Panchanga!$R169-0.5)*2,7),MOD((Panchanga!$R169+30-28.5),30)*2+7)</f>
        <v>5.5932000000000004</v>
      </c>
      <c r="R169" s="4">
        <f>ROUNDUP(MOD(360+P[[#This Row],[Moon]]-P[[#This Row],[Sun]],360)/12,4)</f>
        <v>3.2966000000000002</v>
      </c>
      <c r="S169" s="4">
        <f>ROUNDUP(MOD(P[[#This Row],[Sun]]+P[[#This Row],[Moon]],360)/13.333333333,2)</f>
        <v>19.740000000000002</v>
      </c>
      <c r="T169" s="4" t="str">
        <f>SIGN(W170-Panchanga!$W169)*INT(Panchanga!$W169/30+1)&amp;"Ma,"&amp;SIGN(X170-Panchanga!$X169)*INT(Panchanga!$X169/30+1)&amp;"Me,"&amp;SIGN(Y170-Panchanga!$Y169)*INT(Panchanga!$Y169/30+1)&amp;"J, "&amp;SIGN(Z170-Panchanga!$Z169)*INT(Panchanga!$Z169/30+1)&amp;"V,"&amp;SIGN(AA170-Panchanga!$AA169)*INT(Panchanga!$AA169/30+1)&amp;"S,"&amp;INT(Panchanga!$AB169/30+1)&amp;"R"</f>
        <v>2Ma,-5Me,2J, 5V,-11S,12R</v>
      </c>
      <c r="U169" s="4">
        <f t="shared" si="28"/>
        <v>111.76993775309352</v>
      </c>
      <c r="V169" s="4">
        <f t="shared" si="29"/>
        <v>151.32888593523674</v>
      </c>
      <c r="W169" s="4">
        <f>Planet(Panchanga!$G169,4)</f>
        <v>48.122871317208912</v>
      </c>
      <c r="X169" s="4">
        <f>Planet(Panchanga!$G169,2)</f>
        <v>129.55524003799806</v>
      </c>
      <c r="Y169" s="4">
        <f>Planet(Panchanga!$G169,5)</f>
        <v>51.412523280449193</v>
      </c>
      <c r="Z169" s="4">
        <f>Planet(Panchanga!$G169,3)</f>
        <v>129.38492137040936</v>
      </c>
      <c r="AA169" s="4">
        <f>Planet(Panchanga!$G169,6)</f>
        <v>324.01857131486958</v>
      </c>
      <c r="AB169" s="4">
        <f>Planet(Panchanga!$G169,10)</f>
        <v>345.02682584609403</v>
      </c>
      <c r="AC169" s="4" t="str">
        <f>TEXT(Panchanga!$C169+($C170-Panchanga!$C169)/ABS(IF($R170&lt;1,$R170+30,$R170)-Panchanga!$R169)*(ROUNDUP(Panchanga!$R169,0)-Panchanga!$R169),"hh:mm AM/PM")</f>
        <v>12:37 AM</v>
      </c>
      <c r="AD169" s="4"/>
    </row>
    <row r="170" spans="1:30" x14ac:dyDescent="0.2">
      <c r="A170" s="3">
        <f t="shared" si="31"/>
        <v>45513</v>
      </c>
      <c r="B170" s="3">
        <f t="shared" si="26"/>
        <v>45513.229166666664</v>
      </c>
      <c r="C170" s="6">
        <f t="shared" si="27"/>
        <v>45513.24789017687</v>
      </c>
      <c r="D170" s="6">
        <f>sunset(Lat,Long,B170)+TimeZone/24-0.000277777777777778</f>
        <v>45512.773297192572</v>
      </c>
      <c r="E170" s="6">
        <f>PlanetRiseSet(Lat,Long,B170,1,1)+TimeZone/24+0.00103009259259259</f>
        <v>45513.399402516116</v>
      </c>
      <c r="F170" s="6">
        <f>PlanetRiseSet(Lat,Long,B170+1,1,2)+TimeZone/24+0.00103009259259259</f>
        <v>45513.905398321025</v>
      </c>
      <c r="G170" s="17">
        <f>Panchanga!$C170-TimeZone/24</f>
        <v>45513.018723510206</v>
      </c>
      <c r="H170" s="13" t="str">
        <f>INT(P[[#This Row],[Sun]]/30)&amp;"s"&amp;ROUNDUP(MOD(P[[#This Row],[Sun]],30),2)</f>
        <v>3s22.73</v>
      </c>
      <c r="I170" s="13" t="str">
        <f>INT(P[[#This Row],[Moon]]/30)&amp;"s"&amp;ROUNDUP(MOD(P[[#This Row],[Moon]],30),2)</f>
        <v>5s13.14</v>
      </c>
      <c r="J170" s="14">
        <f t="shared" si="30"/>
        <v>45513.018723510206</v>
      </c>
      <c r="K170" s="10" t="str">
        <f>naks(P[[#This Row],[Moon]])</f>
        <v>Hasta</v>
      </c>
      <c r="L170" s="15">
        <f>(C171-P[[#This Row],[SunRise]])/(MOD(360+V171-P[[#This Row],[Moon]],360))*(13.3333333333333-MOD(P[[#This Row],[Moon]],13.333333333333))+P[[#This Row],[SunRise]]</f>
        <v>45514.114188978812</v>
      </c>
      <c r="M170" s="4" t="str">
        <f>IF(Panchanga!$R170&gt;15,"K","S")&amp;ROUNDUP(MOD(Panchanga!$R170,15),0)&amp;" ("&amp;ROUND(Panchanga!$R170,2)&amp;")"</f>
        <v>S5 (4.2)</v>
      </c>
      <c r="N170" s="4">
        <f>IF(AND(Panchanga!$R170&lt;28.5,Panchanga!$R170&gt;0.49999),MOD((Panchanga!$R170-0.5)*2,7),MOD((Panchanga!$R170+30-28.5),30)*2+7)</f>
        <v>0.40059999999999896</v>
      </c>
      <c r="O170" s="4" t="str">
        <f>CHOOSE(ROUNDUP(Panchanga!$N170,0),"Bhava","Baalava","Kaulava","Taitula","Garija","Vanija","Vishti","Shakuni","Chatushapda","Naaga","Kimstugna")</f>
        <v>Bhava</v>
      </c>
      <c r="P170" s="11" t="str">
        <f>CHOOSE(ROUNDUP(Panchanga!$S170,0),"viṣkambha","prīti","āyuṣmāna","saubhāgya","śobhana","atigaṇḍa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("&amp;Panchanga!$S170&amp;")"</f>
        <v>siddha (20.69)</v>
      </c>
      <c r="Q170" s="4">
        <f>IF(AND(Panchanga!$R170&lt;28.5,Panchanga!$R170&gt;0.49999),MOD((Panchanga!$R170-0.5)*2,7),MOD((Panchanga!$R170+30-28.5),30)*2+7)</f>
        <v>0.40059999999999896</v>
      </c>
      <c r="R170" s="4">
        <f>ROUNDUP(MOD(360+P[[#This Row],[Moon]]-P[[#This Row],[Sun]],360)/12,4)</f>
        <v>4.2002999999999995</v>
      </c>
      <c r="S170" s="4">
        <f>ROUNDUP(MOD(P[[#This Row],[Sun]]+P[[#This Row],[Moon]],360)/13.333333333,2)</f>
        <v>20.69</v>
      </c>
      <c r="T170" s="4" t="str">
        <f>SIGN(W171-Panchanga!$W170)*INT(Panchanga!$W170/30+1)&amp;"Ma,"&amp;SIGN(X171-Panchanga!$X170)*INT(Panchanga!$X170/30+1)&amp;"Me,"&amp;SIGN(Y171-Panchanga!$Y170)*INT(Panchanga!$Y170/30+1)&amp;"J, "&amp;SIGN(Z171-Panchanga!$Z170)*INT(Panchanga!$Z170/30+1)&amp;"V,"&amp;SIGN(AA171-Panchanga!$AA170)*INT(Panchanga!$AA170/30+1)&amp;"S,"&amp;INT(Panchanga!$AB170/30+1)&amp;"R"</f>
        <v>2Ma,-5Me,2J, 5V,-11S,12R</v>
      </c>
      <c r="U170" s="4">
        <f t="shared" si="28"/>
        <v>112.72890922646111</v>
      </c>
      <c r="V170" s="4">
        <f t="shared" si="29"/>
        <v>163.1320581966022</v>
      </c>
      <c r="W170" s="4">
        <f>Planet(Panchanga!$G170,4)</f>
        <v>48.785362585830299</v>
      </c>
      <c r="X170" s="4">
        <f>Planet(Panchanga!$G170,2)</f>
        <v>129.26150039640194</v>
      </c>
      <c r="Y170" s="4">
        <f>Planet(Panchanga!$G170,5)</f>
        <v>51.578157873738483</v>
      </c>
      <c r="Z170" s="4">
        <f>Planet(Panchanga!$G170,3)</f>
        <v>130.61294897874345</v>
      </c>
      <c r="AA170" s="4">
        <f>Planet(Panchanga!$G170,6)</f>
        <v>323.95983729777203</v>
      </c>
      <c r="AB170" s="4">
        <f>Planet(Panchanga!$G170,10)</f>
        <v>344.97382772214422</v>
      </c>
      <c r="AC170" s="4" t="str">
        <f>TEXT(Panchanga!$C170+($C171-Panchanga!$C170)/ABS(IF($R171&lt;1,$R171+30,$R171)-Panchanga!$R170)*(ROUNDUP(Panchanga!$R170,0)-Panchanga!$R170),"hh:mm AM/PM")</f>
        <v>03:14 AM</v>
      </c>
      <c r="AD170" s="4"/>
    </row>
    <row r="171" spans="1:30" x14ac:dyDescent="0.2">
      <c r="A171" s="3">
        <f t="shared" si="31"/>
        <v>45514</v>
      </c>
      <c r="B171" s="3">
        <f t="shared" si="26"/>
        <v>45514.229166666664</v>
      </c>
      <c r="C171" s="6">
        <f t="shared" si="27"/>
        <v>45514.248001509965</v>
      </c>
      <c r="D171" s="6">
        <f>sunset(Lat,Long,B171)+TimeZone/24-0.000277777777777778</f>
        <v>45513.772985305681</v>
      </c>
      <c r="E171" s="6">
        <f>PlanetRiseSet(Lat,Long,B171,1,1)+TimeZone/24+0.00103009259259259</f>
        <v>45514.430606757443</v>
      </c>
      <c r="F171" s="6">
        <f>PlanetRiseSet(Lat,Long,B171+1,1,2)+TimeZone/24+0.00103009259259259</f>
        <v>45514.92920882177</v>
      </c>
      <c r="G171" s="17">
        <f>Panchanga!$C171-TimeZone/24</f>
        <v>45514.0188348433</v>
      </c>
      <c r="H171" s="13" t="str">
        <f>INT(P[[#This Row],[Sun]]/30)&amp;"s"&amp;ROUNDUP(MOD(P[[#This Row],[Sun]],30),2)</f>
        <v>3s23.69</v>
      </c>
      <c r="I171" s="13" t="str">
        <f>INT(P[[#This Row],[Moon]]/30)&amp;"s"&amp;ROUNDUP(MOD(P[[#This Row],[Moon]],30),2)</f>
        <v>5s24.91</v>
      </c>
      <c r="J171" s="14">
        <f t="shared" si="30"/>
        <v>45514.0188348433</v>
      </c>
      <c r="K171" s="10" t="str">
        <f>naks(P[[#This Row],[Moon]])</f>
        <v>Chitra</v>
      </c>
      <c r="L171" s="15">
        <f>(C172-P[[#This Row],[SunRise]])/(MOD(360+V172-P[[#This Row],[Moon]],360))*(13.3333333333333-MOD(P[[#This Row],[Moon]],13.333333333333))+P[[#This Row],[SunRise]]</f>
        <v>45515.242287181973</v>
      </c>
      <c r="M171" s="4" t="str">
        <f>IF(Panchanga!$R171&gt;15,"K","S")&amp;ROUNDUP(MOD(Panchanga!$R171,15),0)&amp;" ("&amp;ROUND(Panchanga!$R171,2)&amp;")"</f>
        <v>S6 (5.1)</v>
      </c>
      <c r="N171" s="4">
        <f>IF(AND(Panchanga!$R171&lt;28.5,Panchanga!$R171&gt;0.49999),MOD((Panchanga!$R171-0.5)*2,7),MOD((Panchanga!$R171+30-28.5),30)*2+7)</f>
        <v>2.2035999999999998</v>
      </c>
      <c r="O171" s="4" t="str">
        <f>CHOOSE(ROUNDUP(Panchanga!$N171,0),"Bhava","Baalava","Kaulava","Taitula","Garija","Vanija","Vishti","Shakuni","Chatushapda","Naaga","Kimstugna")</f>
        <v>Kaulava</v>
      </c>
      <c r="P171" s="11" t="str">
        <f>CHOOSE(ROUNDUP(Panchanga!$S171,0),"viṣkambha","prīti","āyuṣmāna","saubhāgya","śobhana","atigaṇḍa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("&amp;Panchanga!$S171&amp;")"</f>
        <v>sādhya (21.65)</v>
      </c>
      <c r="Q171" s="4">
        <f>IF(AND(Panchanga!$R171&lt;28.5,Panchanga!$R171&gt;0.49999),MOD((Panchanga!$R171-0.5)*2,7),MOD((Panchanga!$R171+30-28.5),30)*2+7)</f>
        <v>2.2035999999999998</v>
      </c>
      <c r="R171" s="4">
        <f>ROUNDUP(MOD(360+P[[#This Row],[Moon]]-P[[#This Row],[Sun]],360)/12,4)</f>
        <v>5.1017999999999999</v>
      </c>
      <c r="S171" s="4">
        <f>ROUNDUP(MOD(P[[#This Row],[Sun]]+P[[#This Row],[Moon]],360)/13.333333333,2)</f>
        <v>21.650000000000002</v>
      </c>
      <c r="T171" s="4" t="str">
        <f>SIGN(W172-Panchanga!$W171)*INT(Panchanga!$W171/30+1)&amp;"Ma,"&amp;SIGN(X172-Panchanga!$X171)*INT(Panchanga!$X171/30+1)&amp;"Me,"&amp;SIGN(Y172-Panchanga!$Y171)*INT(Panchanga!$Y171/30+1)&amp;"J, "&amp;SIGN(Z172-Panchanga!$Z171)*INT(Panchanga!$Z171/30+1)&amp;"V,"&amp;SIGN(AA172-Panchanga!$AA171)*INT(Panchanga!$AA171/30+1)&amp;"S,"&amp;INT(Panchanga!$AB171/30+1)&amp;"R"</f>
        <v>2Ma,-5Me,2J, 5V,-11S,12R</v>
      </c>
      <c r="U171" s="4">
        <f t="shared" si="28"/>
        <v>113.68812074298395</v>
      </c>
      <c r="V171" s="4">
        <f t="shared" si="29"/>
        <v>174.90906960808721</v>
      </c>
      <c r="W171" s="4">
        <f>Planet(Panchanga!$G171,4)</f>
        <v>49.445999862746284</v>
      </c>
      <c r="X171" s="4">
        <f>Planet(Panchanga!$G171,2)</f>
        <v>128.87975640870997</v>
      </c>
      <c r="Y171" s="4">
        <f>Planet(Panchanga!$G171,5)</f>
        <v>51.741950295488493</v>
      </c>
      <c r="Z171" s="4">
        <f>Planet(Panchanga!$G171,3)</f>
        <v>131.84085448030777</v>
      </c>
      <c r="AA171" s="4">
        <f>Planet(Panchanga!$G171,6)</f>
        <v>323.90001612058836</v>
      </c>
      <c r="AB171" s="4">
        <f>Planet(Panchanga!$G171,10)</f>
        <v>344.92082983528007</v>
      </c>
      <c r="AC171" s="4" t="str">
        <f>TEXT(Panchanga!$C171+($C172-Panchanga!$C171)/ABS(IF($R172&lt;1,$R172+30,$R172)-Panchanga!$R171)*(ROUNDUP(Panchanga!$R171,0)-Panchanga!$R171),"hh:mm AM/PM")</f>
        <v>05:45 AM</v>
      </c>
      <c r="AD171" s="4"/>
    </row>
    <row r="172" spans="1:30" x14ac:dyDescent="0.2">
      <c r="A172" s="3">
        <f t="shared" si="31"/>
        <v>45515</v>
      </c>
      <c r="B172" s="3">
        <f t="shared" si="26"/>
        <v>45515.229166666664</v>
      </c>
      <c r="C172" s="6">
        <f t="shared" si="27"/>
        <v>45515.248108348031</v>
      </c>
      <c r="D172" s="6">
        <f>sunset(Lat,Long,B172)+TimeZone/24-0.000277777777777778</f>
        <v>45514.772664256903</v>
      </c>
      <c r="E172" s="6">
        <f>PlanetRiseSet(Lat,Long,B172,1,1)+TimeZone/24+0.00103009259259259</f>
        <v>45515.462888539922</v>
      </c>
      <c r="F172" s="6">
        <f>PlanetRiseSet(Lat,Long,B172+1,1,2)+TimeZone/24+0.00103009259259259</f>
        <v>45515.954666523881</v>
      </c>
      <c r="G172" s="17">
        <f>Panchanga!$C172-TimeZone/24</f>
        <v>45515.018941681366</v>
      </c>
      <c r="H172" s="13" t="str">
        <f>INT(P[[#This Row],[Sun]]/30)&amp;"s"&amp;ROUNDUP(MOD(P[[#This Row],[Sun]],30),2)</f>
        <v>3s24.65</v>
      </c>
      <c r="I172" s="13" t="str">
        <f>INT(P[[#This Row],[Moon]]/30)&amp;"s"&amp;ROUNDUP(MOD(P[[#This Row],[Moon]],30),2)</f>
        <v>6s6.74</v>
      </c>
      <c r="J172" s="14">
        <f t="shared" si="30"/>
        <v>45515.018941681366</v>
      </c>
      <c r="K172" s="10" t="str">
        <f>naks(P[[#This Row],[Moon]])</f>
        <v>Swati</v>
      </c>
      <c r="L172" s="15">
        <f>(C173-P[[#This Row],[SunRise]])/(MOD(360+V173-P[[#This Row],[Moon]],360))*(13.3333333333333-MOD(P[[#This Row],[Moon]],13.333333333333))+P[[#This Row],[SunRise]]</f>
        <v>45516.357371429935</v>
      </c>
      <c r="M172" s="4" t="str">
        <f>IF(Panchanga!$R172&gt;15,"K","S")&amp;ROUNDUP(MOD(Panchanga!$R172,15),0)&amp;" ("&amp;ROUND(Panchanga!$R172,2)&amp;")"</f>
        <v>S7 (6.01)</v>
      </c>
      <c r="N172" s="4">
        <f>IF(AND(Panchanga!$R172&lt;28.5,Panchanga!$R172&gt;0.49999),MOD((Panchanga!$R172-0.5)*2,7),MOD((Panchanga!$R172+30-28.5),30)*2+7)</f>
        <v>4.0147999999999993</v>
      </c>
      <c r="O172" s="4" t="str">
        <f>CHOOSE(ROUNDUP(Panchanga!$N172,0),"Bhava","Baalava","Kaulava","Taitula","Garija","Vanija","Vishti","Shakuni","Chatushapda","Naaga","Kimstugna")</f>
        <v>Garija</v>
      </c>
      <c r="P172" s="11" t="str">
        <f>CHOOSE(ROUNDUP(Panchanga!$S172,0),"viṣkambha","prīti","āyuṣmāna","saubhāgya","śobhana","atigaṇḍa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("&amp;Panchanga!$S172&amp;")"</f>
        <v>śubha (22.61)</v>
      </c>
      <c r="Q172" s="4">
        <f>IF(AND(Panchanga!$R172&lt;28.5,Panchanga!$R172&gt;0.49999),MOD((Panchanga!$R172-0.5)*2,7),MOD((Panchanga!$R172+30-28.5),30)*2+7)</f>
        <v>4.0147999999999993</v>
      </c>
      <c r="R172" s="4">
        <f>ROUNDUP(MOD(360+P[[#This Row],[Moon]]-P[[#This Row],[Sun]],360)/12,4)</f>
        <v>6.0073999999999996</v>
      </c>
      <c r="S172" s="4">
        <f>ROUNDUP(MOD(P[[#This Row],[Sun]]+P[[#This Row],[Moon]],360)/13.333333333,2)</f>
        <v>22.610000000000003</v>
      </c>
      <c r="T172" s="4" t="str">
        <f>SIGN(W173-Panchanga!$W172)*INT(Panchanga!$W172/30+1)&amp;"Ma,"&amp;SIGN(X173-Panchanga!$X172)*INT(Panchanga!$X172/30+1)&amp;"Me,"&amp;SIGN(Y173-Panchanga!$Y172)*INT(Panchanga!$Y172/30+1)&amp;"J, "&amp;SIGN(Z173-Panchanga!$Z172)*INT(Panchanga!$Z172/30+1)&amp;"V,"&amp;SIGN(AA173-Panchanga!$AA172)*INT(Panchanga!$AA172/30+1)&amp;"S,"&amp;INT(Panchanga!$AB172/30+1)&amp;"R"</f>
        <v>2Ma,-5Me,2J, 5V,-11S,12R</v>
      </c>
      <c r="U172" s="4">
        <f t="shared" si="28"/>
        <v>114.64757215550254</v>
      </c>
      <c r="V172" s="4">
        <f t="shared" si="29"/>
        <v>186.73550294467896</v>
      </c>
      <c r="W172" s="4">
        <f>Planet(Panchanga!$G172,4)</f>
        <v>50.104767264551789</v>
      </c>
      <c r="X172" s="4">
        <f>Planet(Panchanga!$G172,2)</f>
        <v>128.41243219195408</v>
      </c>
      <c r="Y172" s="4">
        <f>Planet(Panchanga!$G172,5)</f>
        <v>51.903873741176106</v>
      </c>
      <c r="Z172" s="4">
        <f>Planet(Panchanga!$G172,3)</f>
        <v>133.06862681184714</v>
      </c>
      <c r="AA172" s="4">
        <f>Planet(Panchanga!$G172,6)</f>
        <v>323.83913833837431</v>
      </c>
      <c r="AB172" s="4">
        <f>Planet(Panchanga!$G172,10)</f>
        <v>344.86783218662816</v>
      </c>
      <c r="AC172" s="4" t="str">
        <f>TEXT(Panchanga!$C172+($C173-Panchanga!$C172)/ABS(IF($R173&lt;1,$R173+30,$R173)-Panchanga!$R172)*(ROUNDUP(Panchanga!$R172,0)-Panchanga!$R172),"hh:mm AM/PM")</f>
        <v>07:56 AM</v>
      </c>
      <c r="AD172" s="4"/>
    </row>
    <row r="173" spans="1:30" x14ac:dyDescent="0.2">
      <c r="A173" s="3">
        <f t="shared" si="31"/>
        <v>45516</v>
      </c>
      <c r="B173" s="3">
        <f t="shared" si="26"/>
        <v>45516.229166666664</v>
      </c>
      <c r="C173" s="6">
        <f t="shared" si="27"/>
        <v>45516.24821068548</v>
      </c>
      <c r="D173" s="6">
        <f>sunset(Lat,Long,B173)+TimeZone/24-0.000277777777777778</f>
        <v>45515.772334193389</v>
      </c>
      <c r="E173" s="6">
        <f>PlanetRiseSet(Lat,Long,B173,1,1)+TimeZone/24+0.00103009259259259</f>
        <v>45515.462888592076</v>
      </c>
      <c r="F173" s="6">
        <f>PlanetRiseSet(Lat,Long,B173+1,1,2)+TimeZone/24+0.00103009259259259</f>
        <v>45516.982663570125</v>
      </c>
      <c r="G173" s="17">
        <f>Panchanga!$C173-TimeZone/24</f>
        <v>45516.019044018816</v>
      </c>
      <c r="H173" s="13" t="str">
        <f>INT(P[[#This Row],[Sun]]/30)&amp;"s"&amp;ROUNDUP(MOD(P[[#This Row],[Sun]],30),2)</f>
        <v>3s25.61</v>
      </c>
      <c r="I173" s="13" t="str">
        <f>INT(P[[#This Row],[Moon]]/30)&amp;"s"&amp;ROUNDUP(MOD(P[[#This Row],[Moon]],30),2)</f>
        <v>6s18.7</v>
      </c>
      <c r="J173" s="14">
        <f t="shared" si="30"/>
        <v>45516.019044018816</v>
      </c>
      <c r="K173" s="10" t="str">
        <f>naks(P[[#This Row],[Moon]])</f>
        <v>Swati</v>
      </c>
      <c r="L173" s="15">
        <f>(C174-P[[#This Row],[SunRise]])/(MOD(360+V174-P[[#This Row],[Moon]],360))*(13.3333333333333-MOD(P[[#This Row],[Moon]],13.333333333333))+P[[#This Row],[SunRise]]</f>
        <v>45516.355403777052</v>
      </c>
      <c r="M173" s="4" t="str">
        <f>IF(Panchanga!$R173&gt;15,"K","S")&amp;ROUNDUP(MOD(Panchanga!$R173,15),0)&amp;" ("&amp;ROUND(Panchanga!$R173,2)&amp;")"</f>
        <v>S7 (6.92)</v>
      </c>
      <c r="N173" s="4">
        <f>IF(AND(Panchanga!$R173&lt;28.5,Panchanga!$R173&gt;0.49999),MOD((Panchanga!$R173-0.5)*2,7),MOD((Panchanga!$R173+30-28.5),30)*2+7)</f>
        <v>5.847999999999999</v>
      </c>
      <c r="O173" s="4" t="str">
        <f>CHOOSE(ROUNDUP(Panchanga!$N173,0),"Bhava","Baalava","Kaulava","Taitula","Garija","Vanija","Vishti","Shakuni","Chatushapda","Naaga","Kimstugna")</f>
        <v>Vanija</v>
      </c>
      <c r="P173" s="11" t="str">
        <f>CHOOSE(ROUNDUP(Panchanga!$S173,0),"viṣkambha","prīti","āyuṣmāna","saubhāgya","śobhana","atigaṇḍa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("&amp;Panchanga!$S173&amp;")"</f>
        <v>śukla (23.58)</v>
      </c>
      <c r="Q173" s="4">
        <f>IF(AND(Panchanga!$R173&lt;28.5,Panchanga!$R173&gt;0.49999),MOD((Panchanga!$R173-0.5)*2,7),MOD((Panchanga!$R173+30-28.5),30)*2+7)</f>
        <v>5.847999999999999</v>
      </c>
      <c r="R173" s="4">
        <f>ROUNDUP(MOD(360+P[[#This Row],[Moon]]-P[[#This Row],[Sun]],360)/12,4)</f>
        <v>6.9239999999999995</v>
      </c>
      <c r="S173" s="4">
        <f>ROUNDUP(MOD(P[[#This Row],[Sun]]+P[[#This Row],[Moon]],360)/13.333333333,2)</f>
        <v>23.580000000000002</v>
      </c>
      <c r="T173" s="4" t="str">
        <f>SIGN(W174-Panchanga!$W173)*INT(Panchanga!$W173/30+1)&amp;"Ma,"&amp;SIGN(X174-Panchanga!$X173)*INT(Panchanga!$X173/30+1)&amp;"Me,"&amp;SIGN(Y174-Panchanga!$Y173)*INT(Panchanga!$Y173/30+1)&amp;"J, "&amp;SIGN(Z174-Panchanga!$Z173)*INT(Panchanga!$Z173/30+1)&amp;"V,"&amp;SIGN(AA174-Panchanga!$AA173)*INT(Panchanga!$AA173/30+1)&amp;"S,"&amp;INT(Panchanga!$AB173/30+1)&amp;"R"</f>
        <v>2Ma,-5Me,2J, 5V,-11S,12R</v>
      </c>
      <c r="U173" s="4">
        <f t="shared" si="28"/>
        <v>115.60726498941558</v>
      </c>
      <c r="V173" s="4">
        <f t="shared" si="29"/>
        <v>198.69466279277262</v>
      </c>
      <c r="W173" s="4">
        <f>Planet(Panchanga!$G173,4)</f>
        <v>50.76164994618366</v>
      </c>
      <c r="X173" s="4">
        <f>Planet(Panchanga!$G173,2)</f>
        <v>127.8634798258927</v>
      </c>
      <c r="Y173" s="4">
        <f>Planet(Panchanga!$G173,5)</f>
        <v>52.063901727736109</v>
      </c>
      <c r="Z173" s="4">
        <f>Planet(Panchanga!$G173,3)</f>
        <v>134.29625554439545</v>
      </c>
      <c r="AA173" s="4">
        <f>Planet(Panchanga!$G173,6)</f>
        <v>323.77723500273714</v>
      </c>
      <c r="AB173" s="4">
        <f>Planet(Panchanga!$G173,10)</f>
        <v>344.81483477647004</v>
      </c>
      <c r="AC173" s="4" t="str">
        <f>TEXT(Panchanga!$C173+($C174-Panchanga!$C173)/ABS(IF($R174&lt;1,$R174+30,$R174)-Panchanga!$R173)*(ROUNDUP(Panchanga!$R173,0)-Panchanga!$R173),"hh:mm AM/PM")</f>
        <v>07:54 AM</v>
      </c>
      <c r="AD173" s="4"/>
    </row>
    <row r="174" spans="1:30" x14ac:dyDescent="0.2">
      <c r="A174" s="3">
        <f t="shared" si="31"/>
        <v>45517</v>
      </c>
      <c r="B174" s="3">
        <f t="shared" si="26"/>
        <v>45517.229166666664</v>
      </c>
      <c r="C174" s="6">
        <f t="shared" si="27"/>
        <v>45517.248308528833</v>
      </c>
      <c r="D174" s="6">
        <f>sunset(Lat,Long,B174)+TimeZone/24-0.000277777777777778</f>
        <v>45516.771995272997</v>
      </c>
      <c r="E174" s="6">
        <f>PlanetRiseSet(Lat,Long,B174,1,1)+TimeZone/24+0.00103009259259259</f>
        <v>45516.496938710719</v>
      </c>
      <c r="F174" s="6">
        <f>PlanetRiseSet(Lat,Long,B174+1,1,2)+TimeZone/24+0.00103009259259259</f>
        <v>45518.014053875733</v>
      </c>
      <c r="G174" s="17">
        <f>Panchanga!$C174-TimeZone/24</f>
        <v>45517.019141862169</v>
      </c>
      <c r="H174" s="13" t="str">
        <f>INT(P[[#This Row],[Sun]]/30)&amp;"s"&amp;ROUNDUP(MOD(P[[#This Row],[Sun]],30),2)</f>
        <v>3s26.57</v>
      </c>
      <c r="I174" s="13" t="str">
        <f>INT(P[[#This Row],[Moon]]/30)&amp;"s"&amp;ROUNDUP(MOD(P[[#This Row],[Moon]],30),2)</f>
        <v>7s0.88</v>
      </c>
      <c r="J174" s="14">
        <f t="shared" si="30"/>
        <v>45517.019141862169</v>
      </c>
      <c r="K174" s="10" t="str">
        <f>naks(P[[#This Row],[Moon]])</f>
        <v>Visakha</v>
      </c>
      <c r="L174" s="15">
        <f>(C175-P[[#This Row],[SunRise]])/(MOD(360+V175-P[[#This Row],[Moon]],360))*(13.3333333333333-MOD(P[[#This Row],[Moon]],13.333333333333))+P[[#This Row],[SunRise]]</f>
        <v>45517.445409178996</v>
      </c>
      <c r="M174" s="4" t="str">
        <f>IF(Panchanga!$R174&gt;15,"K","S")&amp;ROUNDUP(MOD(Panchanga!$R174,15),0)&amp;" ("&amp;ROUND(Panchanga!$R174,2)&amp;")"</f>
        <v>S8 (7.86)</v>
      </c>
      <c r="N174" s="4">
        <f>IF(AND(Panchanga!$R174&lt;28.5,Panchanga!$R174&gt;0.49999),MOD((Panchanga!$R174-0.5)*2,7),MOD((Panchanga!$R174+30-28.5),30)*2+7)</f>
        <v>0.71779999999999866</v>
      </c>
      <c r="O174" s="4" t="str">
        <f>CHOOSE(ROUNDUP(Panchanga!$N174,0),"Bhava","Baalava","Kaulava","Taitula","Garija","Vanija","Vishti","Shakuni","Chatushapda","Naaga","Kimstugna")</f>
        <v>Bhava</v>
      </c>
      <c r="P174" s="11" t="str">
        <f>CHOOSE(ROUNDUP(Panchanga!$S174,0),"viṣkambha","prīti","āyuṣmāna","saubhāgya","śobhana","atigaṇḍa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("&amp;Panchanga!$S174&amp;")"</f>
        <v>brahma (24.56)</v>
      </c>
      <c r="Q174" s="4">
        <f>IF(AND(Panchanga!$R174&lt;28.5,Panchanga!$R174&gt;0.49999),MOD((Panchanga!$R174-0.5)*2,7),MOD((Panchanga!$R174+30-28.5),30)*2+7)</f>
        <v>0.71779999999999866</v>
      </c>
      <c r="R174" s="4">
        <f>ROUNDUP(MOD(360+P[[#This Row],[Moon]]-P[[#This Row],[Sun]],360)/12,4)</f>
        <v>7.8588999999999993</v>
      </c>
      <c r="S174" s="4">
        <f>ROUNDUP(MOD(P[[#This Row],[Sun]]+P[[#This Row],[Moon]],360)/13.333333333,2)</f>
        <v>24.560000000000002</v>
      </c>
      <c r="T174" s="4" t="str">
        <f>SIGN(W175-Panchanga!$W174)*INT(Panchanga!$W174/30+1)&amp;"Ma,"&amp;SIGN(X175-Panchanga!$X174)*INT(Panchanga!$X174/30+1)&amp;"Me,"&amp;SIGN(Y175-Panchanga!$Y174)*INT(Panchanga!$Y174/30+1)&amp;"J, "&amp;SIGN(Z175-Panchanga!$Z174)*INT(Panchanga!$Z174/30+1)&amp;"V,"&amp;SIGN(AA175-Panchanga!$AA174)*INT(Panchanga!$AA174/30+1)&amp;"S,"&amp;INT(Panchanga!$AB174/30+1)&amp;"R"</f>
        <v>2Ma,-5Me,2J, 5V,-11S,12R</v>
      </c>
      <c r="U174" s="4">
        <f t="shared" si="28"/>
        <v>116.56720263636235</v>
      </c>
      <c r="V174" s="4">
        <f t="shared" si="29"/>
        <v>210.8732920932074</v>
      </c>
      <c r="W174" s="4">
        <f>Planet(Panchanga!$G174,4)</f>
        <v>51.416634175070385</v>
      </c>
      <c r="X174" s="4">
        <f>Planet(Panchanga!$G174,2)</f>
        <v>127.23856036729632</v>
      </c>
      <c r="Y174" s="4">
        <f>Planet(Panchanga!$G174,5)</f>
        <v>52.222008111119472</v>
      </c>
      <c r="Z174" s="4">
        <f>Planet(Panchanga!$G174,3)</f>
        <v>135.52373097659969</v>
      </c>
      <c r="AA174" s="4">
        <f>Planet(Panchanga!$G174,6)</f>
        <v>323.71433760950629</v>
      </c>
      <c r="AB174" s="4">
        <f>Planet(Panchanga!$G174,10)</f>
        <v>344.76183760447452</v>
      </c>
      <c r="AC174" s="4" t="str">
        <f>TEXT(Panchanga!$C174+($C175-Panchanga!$C174)/ABS(IF($R175&lt;1,$R175+30,$R175)-Panchanga!$R174)*(ROUNDUP(Panchanga!$R174,0)-Panchanga!$R174),"hh:mm AM/PM")</f>
        <v>09:29 AM</v>
      </c>
      <c r="AD174" s="4"/>
    </row>
    <row r="175" spans="1:30" x14ac:dyDescent="0.2">
      <c r="A175" s="3">
        <f t="shared" si="31"/>
        <v>45518</v>
      </c>
      <c r="B175" s="3">
        <f t="shared" si="26"/>
        <v>45518.229166666664</v>
      </c>
      <c r="C175" s="6">
        <f t="shared" si="27"/>
        <v>45518.248401900441</v>
      </c>
      <c r="D175" s="6">
        <f>sunset(Lat,Long,B175)+TimeZone/24-0.000277777777777778</f>
        <v>45517.771647664762</v>
      </c>
      <c r="E175" s="6">
        <f>PlanetRiseSet(Lat,Long,B175,1,1)+TimeZone/24+0.00103009259259259</f>
        <v>45517.533263010126</v>
      </c>
      <c r="F175" s="6">
        <f>PlanetRiseSet(Lat,Long,B175+1,1,2)+TimeZone/24+0.00103009259259259</f>
        <v>45519.049447963167</v>
      </c>
      <c r="G175" s="17">
        <f>Panchanga!$C175-TimeZone/24</f>
        <v>45518.019235233776</v>
      </c>
      <c r="H175" s="13" t="str">
        <f>INT(P[[#This Row],[Sun]]/30)&amp;"s"&amp;ROUNDUP(MOD(P[[#This Row],[Sun]],30),2)</f>
        <v>3s27.53</v>
      </c>
      <c r="I175" s="13" t="str">
        <f>INT(P[[#This Row],[Moon]]/30)&amp;"s"&amp;ROUNDUP(MOD(P[[#This Row],[Moon]],30),2)</f>
        <v>7s13.36</v>
      </c>
      <c r="J175" s="14">
        <f t="shared" si="30"/>
        <v>45518.019235233776</v>
      </c>
      <c r="K175" s="10" t="str">
        <f>naks(P[[#This Row],[Moon]])</f>
        <v>Anuradha</v>
      </c>
      <c r="L175" s="15">
        <f>(C176-P[[#This Row],[SunRise]])/(MOD(360+V176-P[[#This Row],[Moon]],360))*(13.3333333333333-MOD(P[[#This Row],[Moon]],13.333333333333))+P[[#This Row],[SunRise]]</f>
        <v>45518.505900547912</v>
      </c>
      <c r="M175" s="4" t="str">
        <f>IF(Panchanga!$R175&gt;15,"K","S")&amp;ROUNDUP(MOD(Panchanga!$R175,15),0)&amp;" ("&amp;ROUND(Panchanga!$R175,2)&amp;")"</f>
        <v>S9 (8.82)</v>
      </c>
      <c r="N175" s="4">
        <f>IF(AND(Panchanga!$R175&lt;28.5,Panchanga!$R175&gt;0.49999),MOD((Panchanga!$R175-0.5)*2,7),MOD((Panchanga!$R175+30-28.5),30)*2+7)</f>
        <v>2.6382000000000012</v>
      </c>
      <c r="O175" s="4" t="str">
        <f>CHOOSE(ROUNDUP(Panchanga!$N175,0),"Bhava","Baalava","Kaulava","Taitula","Garija","Vanija","Vishti","Shakuni","Chatushapda","Naaga","Kimstugna")</f>
        <v>Kaulava</v>
      </c>
      <c r="P175" s="11" t="str">
        <f>CHOOSE(ROUNDUP(Panchanga!$S175,0),"viṣkambha","prīti","āyuṣmāna","saubhāgya","śobhana","atigaṇḍa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("&amp;Panchanga!$S175&amp;")"</f>
        <v>mahendra (25.57)</v>
      </c>
      <c r="Q175" s="4">
        <f>IF(AND(Panchanga!$R175&lt;28.5,Panchanga!$R175&gt;0.49999),MOD((Panchanga!$R175-0.5)*2,7),MOD((Panchanga!$R175+30-28.5),30)*2+7)</f>
        <v>2.6382000000000012</v>
      </c>
      <c r="R175" s="4">
        <f>ROUNDUP(MOD(360+P[[#This Row],[Moon]]-P[[#This Row],[Sun]],360)/12,4)</f>
        <v>8.8191000000000006</v>
      </c>
      <c r="S175" s="4">
        <f>ROUNDUP(MOD(P[[#This Row],[Sun]]+P[[#This Row],[Moon]],360)/13.333333333,2)</f>
        <v>25.57</v>
      </c>
      <c r="T175" s="4" t="str">
        <f>SIGN(W176-Panchanga!$W175)*INT(Panchanga!$W175/30+1)&amp;"Ma,"&amp;SIGN(X176-Panchanga!$X175)*INT(Panchanga!$X175/30+1)&amp;"Me,"&amp;SIGN(Y176-Panchanga!$Y175)*INT(Panchanga!$Y175/30+1)&amp;"J, "&amp;SIGN(Z176-Panchanga!$Z175)*INT(Panchanga!$Z175/30+1)&amp;"V,"&amp;SIGN(AA176-Panchanga!$AA175)*INT(Panchanga!$AA175/30+1)&amp;"S,"&amp;INT(Panchanga!$AB175/30+1)&amp;"R"</f>
        <v>2Ma,-5Me,2J, 5V,-11S,12R</v>
      </c>
      <c r="U175" s="4">
        <f t="shared" si="28"/>
        <v>117.52739067984888</v>
      </c>
      <c r="V175" s="4">
        <f t="shared" si="29"/>
        <v>223.35559966617413</v>
      </c>
      <c r="W175" s="4">
        <f>Planet(Panchanga!$G175,4)</f>
        <v>52.069707409203048</v>
      </c>
      <c r="X175" s="4">
        <f>Planet(Panchanga!$G175,2)</f>
        <v>126.54518264027502</v>
      </c>
      <c r="Y175" s="4">
        <f>Planet(Panchanga!$G175,5)</f>
        <v>52.378167104606099</v>
      </c>
      <c r="Z175" s="4">
        <f>Planet(Panchanga!$G175,3)</f>
        <v>136.75104432261594</v>
      </c>
      <c r="AA175" s="4">
        <f>Planet(Panchanga!$G175,6)</f>
        <v>323.6504780275767</v>
      </c>
      <c r="AB175" s="4">
        <f>Planet(Panchanga!$G175,10)</f>
        <v>344.70884066943205</v>
      </c>
      <c r="AC175" s="4" t="str">
        <f>TEXT(Panchanga!$C175+($C176-Panchanga!$C175)/ABS(IF($R176&lt;1,$R176+30,$R176)-Panchanga!$R175)*(ROUNDUP(Panchanga!$R175,0)-Panchanga!$R175),"hh:mm AM/PM")</f>
        <v>10:20 AM</v>
      </c>
      <c r="AD175" s="4"/>
    </row>
    <row r="176" spans="1:30" x14ac:dyDescent="0.2">
      <c r="A176" s="3">
        <f t="shared" si="31"/>
        <v>45519</v>
      </c>
      <c r="B176" s="3">
        <f t="shared" si="26"/>
        <v>45519.229166666664</v>
      </c>
      <c r="C176" s="6">
        <f t="shared" si="27"/>
        <v>45519.248490836624</v>
      </c>
      <c r="D176" s="6">
        <f>sunset(Lat,Long,B176)+TimeZone/24-0.000277777777777778</f>
        <v>45518.771291550293</v>
      </c>
      <c r="E176" s="6">
        <f>PlanetRiseSet(Lat,Long,B176,1,1)+TimeZone/24+0.00103009259259259</f>
        <v>45518.571971757025</v>
      </c>
      <c r="F176" s="6">
        <f>PlanetRiseSet(Lat,Long,B176+1,1,2)+TimeZone/24+0.00103009259259259</f>
        <v>45520.088872958127</v>
      </c>
      <c r="G176" s="17">
        <f>Panchanga!$C176-TimeZone/24</f>
        <v>45519.01932416996</v>
      </c>
      <c r="H176" s="13" t="str">
        <f>INT(P[[#This Row],[Sun]]/30)&amp;"s"&amp;ROUNDUP(MOD(P[[#This Row],[Sun]],30),2)</f>
        <v>3s28.49</v>
      </c>
      <c r="I176" s="13" t="str">
        <f>INT(P[[#This Row],[Moon]]/30)&amp;"s"&amp;ROUNDUP(MOD(P[[#This Row],[Moon]],30),2)</f>
        <v>7s26.22</v>
      </c>
      <c r="J176" s="14">
        <f t="shared" si="30"/>
        <v>45519.01932416996</v>
      </c>
      <c r="K176" s="10" t="str">
        <f>naks(P[[#This Row],[Moon]])</f>
        <v>Jyestha</v>
      </c>
      <c r="L176" s="15">
        <f>(C177-P[[#This Row],[SunRise]])/(MOD(360+V177-P[[#This Row],[Moon]],360))*(13.3333333333333-MOD(P[[#This Row],[Moon]],13.333333333333))+P[[#This Row],[SunRise]]</f>
        <v>45519.533276946917</v>
      </c>
      <c r="M176" s="4" t="str">
        <f>IF(Panchanga!$R176&gt;15,"K","S")&amp;ROUNDUP(MOD(Panchanga!$R176,15),0)&amp;" ("&amp;ROUND(Panchanga!$R176,2)&amp;")"</f>
        <v>S10 (9.81)</v>
      </c>
      <c r="N176" s="4">
        <f>IF(AND(Panchanga!$R176&lt;28.5,Panchanga!$R176&gt;0.49999),MOD((Panchanga!$R176-0.5)*2,7),MOD((Panchanga!$R176+30-28.5),30)*2+7)</f>
        <v>4.6214000000000013</v>
      </c>
      <c r="O176" s="4" t="str">
        <f>CHOOSE(ROUNDUP(Panchanga!$N176,0),"Bhava","Baalava","Kaulava","Taitula","Garija","Vanija","Vishti","Shakuni","Chatushapda","Naaga","Kimstugna")</f>
        <v>Garija</v>
      </c>
      <c r="P176" s="11" t="str">
        <f>CHOOSE(ROUNDUP(Panchanga!$S176,0),"viṣkambha","prīti","āyuṣmāna","saubhāgya","śobhana","atigaṇḍa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("&amp;Panchanga!$S176&amp;")"</f>
        <v>vaidhṛti (26.61)</v>
      </c>
      <c r="Q176" s="4">
        <f>IF(AND(Panchanga!$R176&lt;28.5,Panchanga!$R176&gt;0.49999),MOD((Panchanga!$R176-0.5)*2,7),MOD((Panchanga!$R176+30-28.5),30)*2+7)</f>
        <v>4.6214000000000013</v>
      </c>
      <c r="R176" s="4">
        <f>ROUNDUP(MOD(360+P[[#This Row],[Moon]]-P[[#This Row],[Sun]],360)/12,4)</f>
        <v>9.8107000000000006</v>
      </c>
      <c r="S176" s="4">
        <f>ROUNDUP(MOD(P[[#This Row],[Sun]]+P[[#This Row],[Moon]],360)/13.333333333,2)</f>
        <v>26.610000000000003</v>
      </c>
      <c r="T176" s="4" t="str">
        <f>SIGN(W177-Panchanga!$W176)*INT(Panchanga!$W176/30+1)&amp;"Ma,"&amp;SIGN(X177-Panchanga!$X176)*INT(Panchanga!$X176/30+1)&amp;"Me,"&amp;SIGN(Y177-Panchanga!$Y176)*INT(Panchanga!$Y176/30+1)&amp;"J, "&amp;SIGN(Z177-Panchanga!$Z176)*INT(Panchanga!$Z176/30+1)&amp;"V,"&amp;SIGN(AA177-Panchanga!$AA176)*INT(Panchanga!$AA176/30+1)&amp;"S,"&amp;INT(Panchanga!$AB176/30+1)&amp;"R"</f>
        <v>2Ma,-5Me,2J, 5V,-11S,12R</v>
      </c>
      <c r="U176" s="4">
        <f t="shared" si="28"/>
        <v>118.48783730821664</v>
      </c>
      <c r="V176" s="4">
        <f t="shared" si="29"/>
        <v>236.21532342269558</v>
      </c>
      <c r="W176" s="4">
        <f>Planet(Panchanga!$G176,4)</f>
        <v>52.720858303053454</v>
      </c>
      <c r="X176" s="4">
        <f>Planet(Panchanga!$G176,2)</f>
        <v>125.7927790945533</v>
      </c>
      <c r="Y176" s="4">
        <f>Planet(Panchanga!$G176,5)</f>
        <v>52.532353271868452</v>
      </c>
      <c r="Z176" s="4">
        <f>Planet(Panchanga!$G176,3)</f>
        <v>137.97818797925919</v>
      </c>
      <c r="AA176" s="4">
        <f>Planet(Panchanga!$G176,6)</f>
        <v>323.58568840983696</v>
      </c>
      <c r="AB176" s="4">
        <f>Planet(Panchanga!$G176,10)</f>
        <v>344.65584396942063</v>
      </c>
      <c r="AC176" s="4" t="str">
        <f>TEXT(Panchanga!$C176+($C177-Panchanga!$C176)/ABS(IF($R177&lt;1,$R177+30,$R177)-Panchanga!$R176)*(ROUNDUP(Panchanga!$R176,0)-Panchanga!$R176),"hh:mm AM/PM")</f>
        <v>10:23 AM</v>
      </c>
      <c r="AD176" s="4"/>
    </row>
    <row r="177" spans="1:30" x14ac:dyDescent="0.2">
      <c r="A177" s="3">
        <f t="shared" si="31"/>
        <v>45520</v>
      </c>
      <c r="B177" s="3">
        <f t="shared" si="26"/>
        <v>45520.229166666664</v>
      </c>
      <c r="C177" s="6">
        <f t="shared" si="27"/>
        <v>45520.248575390469</v>
      </c>
      <c r="D177" s="6">
        <f>sunset(Lat,Long,B177)+TimeZone/24-0.000277777777777778</f>
        <v>45519.770927121906</v>
      </c>
      <c r="E177" s="6">
        <f>PlanetRiseSet(Lat,Long,B177,1,1)+TimeZone/24+0.00103009259259259</f>
        <v>45519.612533094514</v>
      </c>
      <c r="F177" s="6">
        <f>PlanetRiseSet(Lat,Long,B177+1,1,2)+TimeZone/24+0.00103009259259259</f>
        <v>45521.131482351258</v>
      </c>
      <c r="G177" s="17">
        <f>Panchanga!$C177-TimeZone/24</f>
        <v>45520.019408723805</v>
      </c>
      <c r="H177" s="13" t="str">
        <f>INT(P[[#This Row],[Sun]]/30)&amp;"s"&amp;ROUNDUP(MOD(P[[#This Row],[Sun]],30),2)</f>
        <v>3s29.45</v>
      </c>
      <c r="I177" s="13" t="str">
        <f>INT(P[[#This Row],[Moon]]/30)&amp;"s"&amp;ROUNDUP(MOD(P[[#This Row],[Moon]],30),2)</f>
        <v>8s9.51</v>
      </c>
      <c r="J177" s="14">
        <f t="shared" si="30"/>
        <v>45520.019408723805</v>
      </c>
      <c r="K177" s="10" t="str">
        <f>naks(P[[#This Row],[Moon]])</f>
        <v>Moola</v>
      </c>
      <c r="L177" s="15">
        <f>(C178-P[[#This Row],[SunRise]])/(MOD(360+V178-P[[#This Row],[Moon]],360))*(13.3333333333333-MOD(P[[#This Row],[Moon]],13.333333333333))+P[[#This Row],[SunRise]]</f>
        <v>45520.527067416238</v>
      </c>
      <c r="M177" s="4" t="str">
        <f>IF(Panchanga!$R177&gt;15,"K","S")&amp;ROUNDUP(MOD(Panchanga!$R177,15),0)&amp;" ("&amp;ROUND(Panchanga!$R177,2)&amp;")"</f>
        <v>S11 (10.84)</v>
      </c>
      <c r="N177" s="4">
        <f>IF(AND(Panchanga!$R177&lt;28.5,Panchanga!$R177&gt;0.49999),MOD((Panchanga!$R177-0.5)*2,7),MOD((Panchanga!$R177+30-28.5),30)*2+7)</f>
        <v>6.676400000000001</v>
      </c>
      <c r="O177" s="4" t="str">
        <f>CHOOSE(ROUNDUP(Panchanga!$N177,0),"Bhava","Baalava","Kaulava","Taitula","Garija","Vanija","Vishti","Shakuni","Chatushapda","Naaga","Kimstugna")</f>
        <v>Vishti</v>
      </c>
      <c r="P177" s="11" t="str">
        <f>CHOOSE(ROUNDUP(Panchanga!$S177,0),"viṣkambha","prīti","āyuṣmāna","saubhāgya","śobhana","atigaṇḍa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("&amp;Panchanga!$S177&amp;")"</f>
        <v>viṣkambha (0.68)</v>
      </c>
      <c r="Q177" s="4">
        <f>IF(AND(Panchanga!$R177&lt;28.5,Panchanga!$R177&gt;0.49999),MOD((Panchanga!$R177-0.5)*2,7),MOD((Panchanga!$R177+30-28.5),30)*2+7)</f>
        <v>6.676400000000001</v>
      </c>
      <c r="R177" s="4">
        <f>ROUNDUP(MOD(360+P[[#This Row],[Moon]]-P[[#This Row],[Sun]],360)/12,4)</f>
        <v>10.838200000000001</v>
      </c>
      <c r="S177" s="4">
        <f>ROUNDUP(MOD(P[[#This Row],[Sun]]+P[[#This Row],[Moon]],360)/13.333333333,2)</f>
        <v>0.68</v>
      </c>
      <c r="T177" s="4" t="str">
        <f>SIGN(W178-Panchanga!$W177)*INT(Panchanga!$W177/30+1)&amp;"Ma,"&amp;SIGN(X178-Panchanga!$X177)*INT(Panchanga!$X177/30+1)&amp;"Me,"&amp;SIGN(Y178-Panchanga!$Y177)*INT(Panchanga!$Y177/30+1)&amp;"J, "&amp;SIGN(Z178-Panchanga!$Z177)*INT(Panchanga!$Z177/30+1)&amp;"V,"&amp;SIGN(AA178-Panchanga!$AA177)*INT(Panchanga!$AA177/30+1)&amp;"S,"&amp;INT(Panchanga!$AB177/30+1)&amp;"R"</f>
        <v>2Ma,-5Me,2J, 5V,-11S,12R</v>
      </c>
      <c r="U177" s="4">
        <f t="shared" si="28"/>
        <v>119.4485537852283</v>
      </c>
      <c r="V177" s="4">
        <f t="shared" si="29"/>
        <v>249.50598771235565</v>
      </c>
      <c r="W177" s="4">
        <f>Planet(Panchanga!$G177,4)</f>
        <v>53.370076590478334</v>
      </c>
      <c r="X177" s="4">
        <f>Planet(Panchanga!$G177,2)</f>
        <v>124.99269887355544</v>
      </c>
      <c r="Y177" s="4">
        <f>Planet(Panchanga!$G177,5)</f>
        <v>52.684541480745573</v>
      </c>
      <c r="Z177" s="4">
        <f>Planet(Panchanga!$G177,3)</f>
        <v>139.20515588148822</v>
      </c>
      <c r="AA177" s="4">
        <f>Planet(Panchanga!$G177,6)</f>
        <v>323.52000108598008</v>
      </c>
      <c r="AB177" s="4">
        <f>Planet(Panchanga!$G177,10)</f>
        <v>344.60284750168972</v>
      </c>
      <c r="AC177" s="4" t="str">
        <f>TEXT(Panchanga!$C177+($C178-Panchanga!$C177)/ABS(IF($R178&lt;1,$R178+30,$R178)-Panchanga!$R177)*(ROUNDUP(Panchanga!$R177,0)-Panchanga!$R177),"hh:mm AM/PM")</f>
        <v>09:36 AM</v>
      </c>
      <c r="AD177" s="4"/>
    </row>
    <row r="178" spans="1:30" x14ac:dyDescent="0.2">
      <c r="A178" s="3">
        <f t="shared" si="31"/>
        <v>45521</v>
      </c>
      <c r="B178" s="3">
        <f t="shared" si="26"/>
        <v>45521.229166666664</v>
      </c>
      <c r="C178" s="6">
        <f t="shared" si="27"/>
        <v>45521.248655632291</v>
      </c>
      <c r="D178" s="6">
        <f>sunset(Lat,Long,B178)+TimeZone/24-0.000277777777777778</f>
        <v>45520.770554584495</v>
      </c>
      <c r="E178" s="6">
        <f>PlanetRiseSet(Lat,Long,B178,1,1)+TimeZone/24+0.00103009259259259</f>
        <v>45520.653699583527</v>
      </c>
      <c r="F178" s="6">
        <f>PlanetRiseSet(Lat,Long,B178+1,1,2)+TimeZone/24+0.00103009259259259</f>
        <v>45522.175679946937</v>
      </c>
      <c r="G178" s="17">
        <f>Panchanga!$C178-TimeZone/24</f>
        <v>45521.019488965627</v>
      </c>
      <c r="H178" s="13" t="str">
        <f>INT(P[[#This Row],[Sun]]/30)&amp;"s"&amp;ROUNDUP(MOD(P[[#This Row],[Sun]],30),2)</f>
        <v>4s0.41</v>
      </c>
      <c r="I178" s="13" t="str">
        <f>INT(P[[#This Row],[Moon]]/30)&amp;"s"&amp;ROUNDUP(MOD(P[[#This Row],[Moon]],30),2)</f>
        <v>8s23.26</v>
      </c>
      <c r="J178" s="14">
        <f t="shared" si="30"/>
        <v>45521.019488965627</v>
      </c>
      <c r="K178" s="10" t="str">
        <f>naks(P[[#This Row],[Moon]])</f>
        <v>Purva Asadha</v>
      </c>
      <c r="L178" s="15">
        <f>(C179-P[[#This Row],[SunRise]])/(MOD(360+V179-P[[#This Row],[Moon]],360))*(13.3333333333333-MOD(P[[#This Row],[Moon]],13.333333333333))+P[[#This Row],[SunRise]]</f>
        <v>45521.489612312631</v>
      </c>
      <c r="M178" s="4" t="str">
        <f>IF(Panchanga!$R178&gt;15,"K","S")&amp;ROUNDUP(MOD(Panchanga!$R178,15),0)&amp;" ("&amp;ROUND(Panchanga!$R178,2)&amp;")"</f>
        <v>S12 (11.9)</v>
      </c>
      <c r="N178" s="4">
        <f>IF(AND(Panchanga!$R178&lt;28.5,Panchanga!$R178&gt;0.49999),MOD((Panchanga!$R178-0.5)*2,7),MOD((Panchanga!$R178+30-28.5),30)*2+7)</f>
        <v>1.8067999999999991</v>
      </c>
      <c r="O178" s="4" t="str">
        <f>CHOOSE(ROUNDUP(Panchanga!$N178,0),"Bhava","Baalava","Kaulava","Taitula","Garija","Vanija","Vishti","Shakuni","Chatushapda","Naaga","Kimstugna")</f>
        <v>Baalava</v>
      </c>
      <c r="P178" s="11" t="str">
        <f>CHOOSE(ROUNDUP(Panchanga!$S178,0),"viṣkambha","prīti","āyuṣmāna","saubhāgya","śobhana","atigaṇḍa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("&amp;Panchanga!$S178&amp;")"</f>
        <v>prīti (1.78)</v>
      </c>
      <c r="Q178" s="4">
        <f>IF(AND(Panchanga!$R178&lt;28.5,Panchanga!$R178&gt;0.49999),MOD((Panchanga!$R178-0.5)*2,7),MOD((Panchanga!$R178+30-28.5),30)*2+7)</f>
        <v>1.8067999999999991</v>
      </c>
      <c r="R178" s="4">
        <f>ROUNDUP(MOD(360+P[[#This Row],[Moon]]-P[[#This Row],[Sun]],360)/12,4)</f>
        <v>11.9034</v>
      </c>
      <c r="S178" s="4">
        <f>ROUNDUP(MOD(P[[#This Row],[Sun]]+P[[#This Row],[Moon]],360)/13.333333333,2)</f>
        <v>1.78</v>
      </c>
      <c r="T178" s="4" t="str">
        <f>SIGN(W179-Panchanga!$W178)*INT(Panchanga!$W178/30+1)&amp;"Ma,"&amp;SIGN(X179-Panchanga!$X178)*INT(Panchanga!$X178/30+1)&amp;"Me,"&amp;SIGN(Y179-Panchanga!$Y178)*INT(Panchanga!$Y178/30+1)&amp;"J, "&amp;SIGN(Z179-Panchanga!$Z178)*INT(Panchanga!$Z178/30+1)&amp;"V,"&amp;SIGN(AA179-Panchanga!$AA178)*INT(Panchanga!$AA178/30+1)&amp;"S,"&amp;INT(Panchanga!$AB178/30+1)&amp;"R"</f>
        <v>2Ma,-5Me,2J, 5V,-11S,12R</v>
      </c>
      <c r="U178" s="4">
        <f t="shared" si="28"/>
        <v>120.4095549318981</v>
      </c>
      <c r="V178" s="4">
        <f t="shared" si="29"/>
        <v>263.25019716909469</v>
      </c>
      <c r="W178" s="4">
        <f>Planet(Panchanga!$G178,4)</f>
        <v>54.017352781932111</v>
      </c>
      <c r="X178" s="4">
        <f>Planet(Panchanga!$G178,2)</f>
        <v>124.15810231522188</v>
      </c>
      <c r="Y178" s="4">
        <f>Planet(Panchanga!$G178,5)</f>
        <v>52.834706797572075</v>
      </c>
      <c r="Z178" s="4">
        <f>Planet(Panchanga!$G178,3)</f>
        <v>140.43194393372886</v>
      </c>
      <c r="AA178" s="4">
        <f>Planet(Panchanga!$G178,6)</f>
        <v>323.45344844337302</v>
      </c>
      <c r="AB178" s="4">
        <f>Planet(Panchanga!$G178,10)</f>
        <v>344.54985126241206</v>
      </c>
      <c r="AC178" s="4" t="str">
        <f>TEXT(Panchanga!$C178+($C179-Panchanga!$C178)/ABS(IF($R179&lt;1,$R179+30,$R179)-Panchanga!$R178)*(ROUNDUP(Panchanga!$R178,0)-Panchanga!$R178),"hh:mm AM/PM")</f>
        <v>08:04 AM</v>
      </c>
      <c r="AD178" s="4"/>
    </row>
    <row r="179" spans="1:30" x14ac:dyDescent="0.2">
      <c r="A179" s="3">
        <f t="shared" si="31"/>
        <v>45522</v>
      </c>
      <c r="B179" s="3">
        <f t="shared" si="26"/>
        <v>45522.229166666664</v>
      </c>
      <c r="C179" s="6">
        <f t="shared" si="27"/>
        <v>45522.248731649634</v>
      </c>
      <c r="D179" s="6">
        <f>sunset(Lat,Long,B179)+TimeZone/24-0.000277777777777778</f>
        <v>45521.770174155987</v>
      </c>
      <c r="E179" s="6">
        <f>PlanetRiseSet(Lat,Long,B179,1,1)+TimeZone/24+0.00103009259259259</f>
        <v>45521.693855049241</v>
      </c>
      <c r="F179" s="6">
        <f>PlanetRiseSet(Lat,Long,B179+1,1,2)+TimeZone/24+0.00103009259259259</f>
        <v>45523.219767796494</v>
      </c>
      <c r="G179" s="17">
        <f>Panchanga!$C179-TimeZone/24</f>
        <v>45522.019564982969</v>
      </c>
      <c r="H179" s="13" t="str">
        <f>INT(P[[#This Row],[Sun]]/30)&amp;"s"&amp;ROUNDUP(MOD(P[[#This Row],[Sun]],30),2)</f>
        <v>4s1.38</v>
      </c>
      <c r="I179" s="13" t="str">
        <f>INT(P[[#This Row],[Moon]]/30)&amp;"s"&amp;ROUNDUP(MOD(P[[#This Row],[Moon]],30),2)</f>
        <v>9s7.44</v>
      </c>
      <c r="J179" s="14">
        <f t="shared" si="30"/>
        <v>45522.019564982969</v>
      </c>
      <c r="K179" s="10" t="str">
        <f>naks(P[[#This Row],[Moon]])</f>
        <v>Uttara Asadha</v>
      </c>
      <c r="L179" s="15">
        <f>(C180-P[[#This Row],[SunRise]])/(MOD(360+V180-P[[#This Row],[Moon]],360))*(13.3333333333333-MOD(P[[#This Row],[Moon]],13.333333333333))+P[[#This Row],[SunRise]]</f>
        <v>45522.425347499382</v>
      </c>
      <c r="M179" s="4" t="str">
        <f>IF(Panchanga!$R179&gt;15,"K","S")&amp;ROUNDUP(MOD(Panchanga!$R179,15),0)&amp;" ("&amp;ROUND(Panchanga!$R179,2)&amp;")"</f>
        <v>S14 (13.01)</v>
      </c>
      <c r="N179" s="4">
        <f>IF(AND(Panchanga!$R179&lt;28.5,Panchanga!$R179&gt;0.49999),MOD((Panchanga!$R179-0.5)*2,7),MOD((Panchanga!$R179+30-28.5),30)*2+7)</f>
        <v>4.009999999999998</v>
      </c>
      <c r="O179" s="4" t="str">
        <f>CHOOSE(ROUNDUP(Panchanga!$N179,0),"Bhava","Baalava","Kaulava","Taitula","Garija","Vanija","Vishti","Shakuni","Chatushapda","Naaga","Kimstugna")</f>
        <v>Garija</v>
      </c>
      <c r="P179" s="11" t="str">
        <f>CHOOSE(ROUNDUP(Panchanga!$S179,0),"viṣkambha","prīti","āyuṣmāna","saubhāgya","śobhana","atigaṇḍa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("&amp;Panchanga!$S179&amp;")"</f>
        <v>āyuṣmāna (2.92)</v>
      </c>
      <c r="Q179" s="4">
        <f>IF(AND(Panchanga!$R179&lt;28.5,Panchanga!$R179&gt;0.49999),MOD((Panchanga!$R179-0.5)*2,7),MOD((Panchanga!$R179+30-28.5),30)*2+7)</f>
        <v>4.009999999999998</v>
      </c>
      <c r="R179" s="4">
        <f>ROUNDUP(MOD(360+P[[#This Row],[Moon]]-P[[#This Row],[Sun]],360)/12,4)</f>
        <v>13.004999999999999</v>
      </c>
      <c r="S179" s="4">
        <f>ROUNDUP(MOD(P[[#This Row],[Sun]]+P[[#This Row],[Moon]],360)/13.333333333,2)</f>
        <v>2.92</v>
      </c>
      <c r="T179" s="4" t="str">
        <f>SIGN(W180-Panchanga!$W179)*INT(Panchanga!$W179/30+1)&amp;"Ma,"&amp;SIGN(X180-Panchanga!$X179)*INT(Panchanga!$X179/30+1)&amp;"Me,"&amp;SIGN(Y180-Panchanga!$Y179)*INT(Panchanga!$Y179/30+1)&amp;"J, "&amp;SIGN(Z180-Panchanga!$Z179)*INT(Panchanga!$Z179/30+1)&amp;"V,"&amp;SIGN(AA180-Panchanga!$AA179)*INT(Panchanga!$AA179/30+1)&amp;"S,"&amp;INT(Panchanga!$AB179/30+1)&amp;"R"</f>
        <v>2Ma,-5Me,2J, 5V,-11S,12R</v>
      </c>
      <c r="U179" s="4">
        <f t="shared" si="28"/>
        <v>121.37085950875496</v>
      </c>
      <c r="V179" s="4">
        <f t="shared" si="29"/>
        <v>277.43004561197102</v>
      </c>
      <c r="W179" s="4">
        <f>Planet(Panchanga!$G179,4)</f>
        <v>54.662677599838403</v>
      </c>
      <c r="X179" s="4">
        <f>Planet(Panchanga!$G179,2)</f>
        <v>123.30374857511373</v>
      </c>
      <c r="Y179" s="4">
        <f>Planet(Panchanga!$G179,5)</f>
        <v>52.982824300011295</v>
      </c>
      <c r="Z179" s="4">
        <f>Planet(Panchanga!$G179,3)</f>
        <v>141.65855047114997</v>
      </c>
      <c r="AA179" s="4">
        <f>Planet(Panchanga!$G179,6)</f>
        <v>323.38606280895453</v>
      </c>
      <c r="AB179" s="4">
        <f>Planet(Panchanga!$G179,10)</f>
        <v>344.49685524704762</v>
      </c>
      <c r="AC179" s="4" t="str">
        <f>TEXT(Panchanga!$C179+($C180-Panchanga!$C179)/ABS(IF($R180&lt;1,$R180+30,$R180)-Panchanga!$R179)*(ROUNDUP(Panchanga!$R179,0)-Panchanga!$R179),"hh:mm AM/PM")</f>
        <v>03:03 AM</v>
      </c>
      <c r="AD179" s="4"/>
    </row>
    <row r="180" spans="1:30" x14ac:dyDescent="0.2">
      <c r="A180" s="3">
        <f t="shared" si="31"/>
        <v>45523</v>
      </c>
      <c r="B180" s="3">
        <f t="shared" si="26"/>
        <v>45523.229166666664</v>
      </c>
      <c r="C180" s="6">
        <f t="shared" si="27"/>
        <v>45523.248803549599</v>
      </c>
      <c r="D180" s="6">
        <f>sunset(Lat,Long,B180)+TimeZone/24-0.000277777777777778</f>
        <v>45522.769786064557</v>
      </c>
      <c r="E180" s="6">
        <f>PlanetRiseSet(Lat,Long,B180,1,1)+TimeZone/24+0.00103009259259259</f>
        <v>45522.731683811326</v>
      </c>
      <c r="F180" s="6">
        <f>PlanetRiseSet(Lat,Long,B180+1,1,2)+TimeZone/24+0.00103009259259259</f>
        <v>45524.262646129042</v>
      </c>
      <c r="G180" s="17">
        <f>Panchanga!$C180-TimeZone/24</f>
        <v>45523.019636882935</v>
      </c>
      <c r="H180" s="13" t="str">
        <f>INT(P[[#This Row],[Sun]]/30)&amp;"s"&amp;ROUNDUP(MOD(P[[#This Row],[Sun]],30),2)</f>
        <v>4s2.34</v>
      </c>
      <c r="I180" s="13" t="str">
        <f>INT(P[[#This Row],[Moon]]/30)&amp;"s"&amp;ROUNDUP(MOD(P[[#This Row],[Moon]],30),2)</f>
        <v>9s21.99</v>
      </c>
      <c r="J180" s="14">
        <f t="shared" si="30"/>
        <v>45523.019636882935</v>
      </c>
      <c r="K180" s="10" t="str">
        <f>naks(P[[#This Row],[Moon]])</f>
        <v>Sravana</v>
      </c>
      <c r="L180" s="15">
        <f>(C181-P[[#This Row],[SunRise]])/(MOD(360+V181-P[[#This Row],[Moon]],360))*(13.3333333333333-MOD(P[[#This Row],[Moon]],13.333333333333))+P[[#This Row],[SunRise]]</f>
        <v>45523.339984955695</v>
      </c>
      <c r="M180" s="4" t="str">
        <f>IF(Panchanga!$R180&gt;15,"K","S")&amp;ROUNDUP(MOD(Panchanga!$R180,15),0)&amp;" ("&amp;ROUND(Panchanga!$R180,2)&amp;")"</f>
        <v>S15 (14.14)</v>
      </c>
      <c r="N180" s="4">
        <f>IF(AND(Panchanga!$R180&lt;28.5,Panchanga!$R180&gt;0.49999),MOD((Panchanga!$R180-0.5)*2,7),MOD((Panchanga!$R180+30-28.5),30)*2+7)</f>
        <v>6.2749999999999986</v>
      </c>
      <c r="O180" s="4" t="str">
        <f>CHOOSE(ROUNDUP(Panchanga!$N180,0),"Bhava","Baalava","Kaulava","Taitula","Garija","Vanija","Vishti","Shakuni","Chatushapda","Naaga","Kimstugna")</f>
        <v>Vishti</v>
      </c>
      <c r="P180" s="11" t="str">
        <f>CHOOSE(ROUNDUP(Panchanga!$S180,0),"viṣkambha","prīti","āyuṣmāna","saubhāgya","śobhana","atigaṇḍa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("&amp;Panchanga!$S180&amp;")"</f>
        <v>śobhana (4.08)</v>
      </c>
      <c r="Q180" s="4">
        <f>IF(AND(Panchanga!$R180&lt;28.5,Panchanga!$R180&gt;0.49999),MOD((Panchanga!$R180-0.5)*2,7),MOD((Panchanga!$R180+30-28.5),30)*2+7)</f>
        <v>6.2749999999999986</v>
      </c>
      <c r="R180" s="4">
        <f>ROUNDUP(MOD(360+P[[#This Row],[Moon]]-P[[#This Row],[Sun]],360)/12,4)</f>
        <v>14.137499999999999</v>
      </c>
      <c r="S180" s="4">
        <f>ROUNDUP(MOD(P[[#This Row],[Sun]]+P[[#This Row],[Moon]],360)/13.333333333,2)</f>
        <v>4.08</v>
      </c>
      <c r="T180" s="4" t="str">
        <f>SIGN(W181-Panchanga!$W180)*INT(Panchanga!$W180/30+1)&amp;"Ma,"&amp;SIGN(X181-Panchanga!$X180)*INT(Panchanga!$X180/30+1)&amp;"Me,"&amp;SIGN(Y181-Panchanga!$Y180)*INT(Panchanga!$Y180/30+1)&amp;"J, "&amp;SIGN(Z181-Panchanga!$Z180)*INT(Panchanga!$Z180/30+1)&amp;"V,"&amp;SIGN(AA181-Panchanga!$AA180)*INT(Panchanga!$AA180/30+1)&amp;"S,"&amp;INT(Panchanga!$AB180/30+1)&amp;"R"</f>
        <v>2Ma,-5Me,2J, 5V,-11S,12R</v>
      </c>
      <c r="U180" s="4">
        <f t="shared" si="28"/>
        <v>122.3324903106578</v>
      </c>
      <c r="V180" s="4">
        <f t="shared" si="29"/>
        <v>291.98218898569286</v>
      </c>
      <c r="W180" s="4">
        <f>Planet(Panchanga!$G180,4)</f>
        <v>55.306041088979271</v>
      </c>
      <c r="X180" s="4">
        <f>Planet(Panchanga!$G180,2)</f>
        <v>122.44567830298905</v>
      </c>
      <c r="Y180" s="4">
        <f>Planet(Panchanga!$G180,5)</f>
        <v>53.128868792032016</v>
      </c>
      <c r="Z180" s="4">
        <f>Planet(Panchanga!$G180,3)</f>
        <v>142.88497665042846</v>
      </c>
      <c r="AA180" s="4">
        <f>Planet(Panchanga!$G180,6)</f>
        <v>323.31787635965196</v>
      </c>
      <c r="AB180" s="4">
        <f>Planet(Panchanga!$G180,10)</f>
        <v>344.44385944986391</v>
      </c>
      <c r="AC180" s="4" t="str">
        <f>TEXT(Panchanga!$C180+($C181-Panchanga!$C180)/ABS(IF($R181&lt;1,$R181+30,$R181)-Panchanga!$R180)*(ROUNDUP(Panchanga!$R180,0)-Panchanga!$R180),"hh:mm AM/PM")</f>
        <v>11:53 PM</v>
      </c>
      <c r="AD180" s="4"/>
    </row>
    <row r="181" spans="1:30" x14ac:dyDescent="0.2">
      <c r="A181" s="3">
        <f t="shared" si="31"/>
        <v>45524</v>
      </c>
      <c r="B181" s="3">
        <f t="shared" si="26"/>
        <v>45524.229166666664</v>
      </c>
      <c r="C181" s="6">
        <f t="shared" si="27"/>
        <v>45524.24887145745</v>
      </c>
      <c r="D181" s="6">
        <f>sunset(Lat,Long,B181)+TimeZone/24-0.000277777777777778</f>
        <v>45523.769390551883</v>
      </c>
      <c r="E181" s="6">
        <f>PlanetRiseSet(Lat,Long,B181,1,1)+TimeZone/24+0.00103009259259259</f>
        <v>45523.766661503039</v>
      </c>
      <c r="F181" s="6">
        <f>PlanetRiseSet(Lat,Long,B181+1,1,2)+TimeZone/24+0.00103009259259259</f>
        <v>45525.304056708388</v>
      </c>
      <c r="G181" s="17">
        <f>Panchanga!$C181-TimeZone/24</f>
        <v>45524.019704790786</v>
      </c>
      <c r="H181" s="13" t="str">
        <f>INT(P[[#This Row],[Sun]]/30)&amp;"s"&amp;ROUNDUP(MOD(P[[#This Row],[Sun]],30),2)</f>
        <v>4s3.3</v>
      </c>
      <c r="I181" s="13" t="str">
        <f>INT(P[[#This Row],[Moon]]/30)&amp;"s"&amp;ROUNDUP(MOD(P[[#This Row],[Moon]],30),2)</f>
        <v>10s6.81</v>
      </c>
      <c r="J181" s="14">
        <f t="shared" si="30"/>
        <v>45524.019704790786</v>
      </c>
      <c r="K181" s="10" t="str">
        <f>naks(P[[#This Row],[Moon]])</f>
        <v>Satabhisaj</v>
      </c>
      <c r="L181" s="15">
        <f>(C182-P[[#This Row],[SunRise]])/(MOD(360+V182-P[[#This Row],[Moon]],360))*(13.3333333333333-MOD(P[[#This Row],[Moon]],13.333333333333))+P[[#This Row],[SunRise]]</f>
        <v>45525.131620211825</v>
      </c>
      <c r="M181" s="4" t="str">
        <f>IF(Panchanga!$R181&gt;15,"K","S")&amp;ROUNDUP(MOD(Panchanga!$R181,15),0)&amp;" ("&amp;ROUND(Panchanga!$R181,2)&amp;")"</f>
        <v>K1 (15.29)</v>
      </c>
      <c r="N181" s="4">
        <f>IF(AND(Panchanga!$R181&lt;28.5,Panchanga!$R181&gt;0.49999),MOD((Panchanga!$R181-0.5)*2,7),MOD((Panchanga!$R181+30-28.5),30)*2+7)</f>
        <v>1.5845999999999982</v>
      </c>
      <c r="O181" s="4" t="str">
        <f>CHOOSE(ROUNDUP(Panchanga!$N181,0),"Bhava","Baalava","Kaulava","Taitula","Garija","Vanija","Vishti","Shakuni","Chatushapda","Naaga","Kimstugna")</f>
        <v>Baalava</v>
      </c>
      <c r="P181" s="11" t="str">
        <f>CHOOSE(ROUNDUP(Panchanga!$S181,0),"viṣkambha","prīti","āyuṣmāna","saubhāgya","śobhana","atigaṇḍa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("&amp;Panchanga!$S181&amp;")"</f>
        <v>atigaṇḍa  (5.26)</v>
      </c>
      <c r="Q181" s="4">
        <f>IF(AND(Panchanga!$R181&lt;28.5,Panchanga!$R181&gt;0.49999),MOD((Panchanga!$R181-0.5)*2,7),MOD((Panchanga!$R181+30-28.5),30)*2+7)</f>
        <v>1.5845999999999982</v>
      </c>
      <c r="R181" s="4">
        <f>ROUNDUP(MOD(360+P[[#This Row],[Moon]]-P[[#This Row],[Sun]],360)/12,4)</f>
        <v>15.292299999999999</v>
      </c>
      <c r="S181" s="4">
        <f>ROUNDUP(MOD(P[[#This Row],[Sun]]+P[[#This Row],[Moon]],360)/13.333333333,2)</f>
        <v>5.26</v>
      </c>
      <c r="T181" s="4" t="str">
        <f>SIGN(W182-Panchanga!$W181)*INT(Panchanga!$W181/30+1)&amp;"Ma,"&amp;SIGN(X182-Panchanga!$X181)*INT(Panchanga!$X181/30+1)&amp;"Me,"&amp;SIGN(Y182-Panchanga!$Y181)*INT(Panchanga!$Y181/30+1)&amp;"J, "&amp;SIGN(Z182-Panchanga!$Z181)*INT(Panchanga!$Z181/30+1)&amp;"V,"&amp;SIGN(AA182-Panchanga!$AA181)*INT(Panchanga!$AA181/30+1)&amp;"S,"&amp;INT(Panchanga!$AB181/30+1)&amp;"R"</f>
        <v>2Ma,-5Me,2J, 5V,-11S,12R</v>
      </c>
      <c r="U181" s="4">
        <f t="shared" si="28"/>
        <v>123.29447371340835</v>
      </c>
      <c r="V181" s="4">
        <f t="shared" si="29"/>
        <v>306.8013956503753</v>
      </c>
      <c r="W181" s="4">
        <f>Planet(Panchanga!$G181,4)</f>
        <v>55.947431411791555</v>
      </c>
      <c r="X181" s="4">
        <f>Planet(Panchanga!$G181,2)</f>
        <v>121.60080509137516</v>
      </c>
      <c r="Y181" s="4">
        <f>Planet(Panchanga!$G181,5)</f>
        <v>53.272814429527784</v>
      </c>
      <c r="Z181" s="4">
        <f>Planet(Panchanga!$G181,3)</f>
        <v>144.11122658919143</v>
      </c>
      <c r="AA181" s="4">
        <f>Planet(Panchanga!$G181,6)</f>
        <v>323.24892109363395</v>
      </c>
      <c r="AB181" s="4">
        <f>Planet(Panchanga!$G181,10)</f>
        <v>344.39086386420007</v>
      </c>
      <c r="AC181" s="4" t="str">
        <f>TEXT(Panchanga!$C181+($C182-Panchanga!$C181)/ABS(IF($R182&lt;1,$R182+30,$R182)-Panchanga!$R181)*(ROUNDUP(Panchanga!$R181,0)-Panchanga!$R181),"hh:mm AM/PM")</f>
        <v>08:32 PM</v>
      </c>
      <c r="AD181" s="4"/>
    </row>
    <row r="182" spans="1:30" x14ac:dyDescent="0.2">
      <c r="A182" s="3">
        <f t="shared" si="31"/>
        <v>45525</v>
      </c>
      <c r="B182" s="3">
        <f t="shared" si="26"/>
        <v>45525.229166666664</v>
      </c>
      <c r="C182" s="6">
        <f t="shared" si="27"/>
        <v>45525.248935513351</v>
      </c>
      <c r="D182" s="6">
        <f>sunset(Lat,Long,B182)+TimeZone/24-0.000277777777777778</f>
        <v>45524.768987867559</v>
      </c>
      <c r="E182" s="6">
        <f>PlanetRiseSet(Lat,Long,B182,1,1)+TimeZone/24+0.00103009259259259</f>
        <v>45524.799062649407</v>
      </c>
      <c r="F182" s="6">
        <f>PlanetRiseSet(Lat,Long,B182+1,1,2)+TimeZone/24+0.00103009259259259</f>
        <v>45526.344392344974</v>
      </c>
      <c r="G182" s="17">
        <f>Panchanga!$C182-TimeZone/24</f>
        <v>45525.019768846687</v>
      </c>
      <c r="H182" s="13" t="str">
        <f>INT(P[[#This Row],[Sun]]/30)&amp;"s"&amp;ROUNDUP(MOD(P[[#This Row],[Sun]],30),2)</f>
        <v>4s4.26</v>
      </c>
      <c r="I182" s="13" t="str">
        <f>INT(P[[#This Row],[Moon]]/30)&amp;"s"&amp;ROUNDUP(MOD(P[[#This Row],[Moon]],30),2)</f>
        <v>10s21.76</v>
      </c>
      <c r="J182" s="14">
        <f t="shared" si="30"/>
        <v>45525.019768846687</v>
      </c>
      <c r="K182" s="10" t="str">
        <f>naks(P[[#This Row],[Moon]])</f>
        <v>Purva Bhadrapada</v>
      </c>
      <c r="L182" s="15">
        <f>(C183-P[[#This Row],[SunRise]])/(MOD(360+V183-P[[#This Row],[Moon]],360))*(13.3333333333333-MOD(P[[#This Row],[Moon]],13.333333333333))+P[[#This Row],[SunRise]]</f>
        <v>45526.023783999255</v>
      </c>
      <c r="M182" s="4" t="str">
        <f>IF(Panchanga!$R182&gt;15,"K","S")&amp;ROUNDUP(MOD(Panchanga!$R182,15),0)&amp;" ("&amp;ROUND(Panchanga!$R182,2)&amp;")"</f>
        <v>K2 (16.46)</v>
      </c>
      <c r="N182" s="4">
        <f>IF(AND(Panchanga!$R182&lt;28.5,Panchanga!$R182&gt;0.49999),MOD((Panchanga!$R182-0.5)*2,7),MOD((Panchanga!$R182+30-28.5),30)*2+7)</f>
        <v>3.916400000000003</v>
      </c>
      <c r="O182" s="4" t="str">
        <f>CHOOSE(ROUNDUP(Panchanga!$N182,0),"Bhava","Baalava","Kaulava","Taitula","Garija","Vanija","Vishti","Shakuni","Chatushapda","Naaga","Kimstugna")</f>
        <v>Taitula</v>
      </c>
      <c r="P182" s="11" t="str">
        <f>CHOOSE(ROUNDUP(Panchanga!$S182,0),"viṣkambha","prīti","āyuṣmāna","saubhāgya","śobhana","atigaṇḍa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("&amp;Panchanga!$S182&amp;")"</f>
        <v>sukarmā  (6.46)</v>
      </c>
      <c r="Q182" s="4">
        <f>IF(AND(Panchanga!$R182&lt;28.5,Panchanga!$R182&gt;0.49999),MOD((Panchanga!$R182-0.5)*2,7),MOD((Panchanga!$R182+30-28.5),30)*2+7)</f>
        <v>3.916400000000003</v>
      </c>
      <c r="R182" s="4">
        <f>ROUNDUP(MOD(360+P[[#This Row],[Moon]]-P[[#This Row],[Sun]],360)/12,4)</f>
        <v>16.458200000000001</v>
      </c>
      <c r="S182" s="4">
        <f>ROUNDUP(MOD(P[[#This Row],[Sun]]+P[[#This Row],[Moon]],360)/13.333333333,2)</f>
        <v>6.46</v>
      </c>
      <c r="T182" s="4" t="str">
        <f>SIGN(W183-Panchanga!$W182)*INT(Panchanga!$W182/30+1)&amp;"Ma,"&amp;SIGN(X183-Panchanga!$X182)*INT(Panchanga!$X182/30+1)&amp;"Me,"&amp;SIGN(Y183-Panchanga!$Y182)*INT(Panchanga!$Y182/30+1)&amp;"J, "&amp;SIGN(Z183-Panchanga!$Z182)*INT(Panchanga!$Z182/30+1)&amp;"V,"&amp;SIGN(AA183-Panchanga!$AA182)*INT(Panchanga!$AA182/30+1)&amp;"S,"&amp;INT(Panchanga!$AB182/30+1)&amp;"R"</f>
        <v>2Ma,-5Me,2J, 5V,-11S,12R</v>
      </c>
      <c r="U182" s="4">
        <f t="shared" si="28"/>
        <v>124.25683848449071</v>
      </c>
      <c r="V182" s="4">
        <f t="shared" si="29"/>
        <v>321.75406449602752</v>
      </c>
      <c r="W182" s="4">
        <f>Planet(Panchanga!$G182,4)</f>
        <v>56.586833480382353</v>
      </c>
      <c r="X182" s="4">
        <f>Planet(Panchanga!$G182,2)</f>
        <v>120.78644084110707</v>
      </c>
      <c r="Y182" s="4">
        <f>Planet(Panchanga!$G182,5)</f>
        <v>53.414634305803894</v>
      </c>
      <c r="Z182" s="4">
        <f>Planet(Panchanga!$G182,3)</f>
        <v>145.33730706557986</v>
      </c>
      <c r="AA182" s="4">
        <f>Planet(Panchanga!$G182,6)</f>
        <v>323.17922891349491</v>
      </c>
      <c r="AB182" s="4">
        <f>Planet(Panchanga!$G182,10)</f>
        <v>344.33786848268301</v>
      </c>
      <c r="AC182" s="4" t="str">
        <f>TEXT(Panchanga!$C182+($C183-Panchanga!$C182)/ABS(IF($R183&lt;1,$R183+30,$R183)-Panchanga!$R182)*(ROUNDUP(Panchanga!$R182,0)-Panchanga!$R182),"hh:mm AM/PM")</f>
        <v>05:08 PM</v>
      </c>
      <c r="AD182" s="4"/>
    </row>
    <row r="183" spans="1:30" x14ac:dyDescent="0.2">
      <c r="A183" s="3">
        <f t="shared" si="31"/>
        <v>45526</v>
      </c>
      <c r="B183" s="3">
        <f t="shared" si="26"/>
        <v>45526.229166666664</v>
      </c>
      <c r="C183" s="6">
        <f t="shared" si="27"/>
        <v>45526.248995868176</v>
      </c>
      <c r="D183" s="6">
        <f>sunset(Lat,Long,B183)+TimeZone/24-0.000277777777777778</f>
        <v>45525.768578268166</v>
      </c>
      <c r="E183" s="6">
        <f>PlanetRiseSet(Lat,Long,B183,1,1)+TimeZone/24+0.00103009259259259</f>
        <v>45525.829673877139</v>
      </c>
      <c r="F183" s="6">
        <f>PlanetRiseSet(Lat,Long,B183+1,1,2)+TimeZone/24+0.00103009259259259</f>
        <v>45527.384367294762</v>
      </c>
      <c r="G183" s="17">
        <f>Panchanga!$C183-TimeZone/24</f>
        <v>45526.019829201512</v>
      </c>
      <c r="H183" s="13" t="str">
        <f>INT(P[[#This Row],[Sun]]/30)&amp;"s"&amp;ROUNDUP(MOD(P[[#This Row],[Sun]],30),2)</f>
        <v>4s5.22</v>
      </c>
      <c r="I183" s="13" t="str">
        <f>INT(P[[#This Row],[Moon]]/30)&amp;"s"&amp;ROUNDUP(MOD(P[[#This Row],[Moon]],30),2)</f>
        <v>11s6.7</v>
      </c>
      <c r="J183" s="14">
        <f t="shared" si="30"/>
        <v>45526.019829201512</v>
      </c>
      <c r="K183" s="10" t="str">
        <f>naks(P[[#This Row],[Moon]])</f>
        <v>Uttara Bhadrapada</v>
      </c>
      <c r="L183" s="15">
        <f>(C184-P[[#This Row],[SunRise]])/(MOD(360+V184-P[[#This Row],[Moon]],360))*(13.3333333333333-MOD(P[[#This Row],[Moon]],13.333333333333))+P[[#This Row],[SunRise]]</f>
        <v>45526.922108832281</v>
      </c>
      <c r="M183" s="4" t="str">
        <f>IF(Panchanga!$R183&gt;15,"K","S")&amp;ROUNDUP(MOD(Panchanga!$R183,15),0)&amp;" ("&amp;ROUND(Panchanga!$R183,2)&amp;")"</f>
        <v>K3 (17.62)</v>
      </c>
      <c r="N183" s="4">
        <f>IF(AND(Panchanga!$R183&lt;28.5,Panchanga!$R183&gt;0.49999),MOD((Panchanga!$R183-0.5)*2,7),MOD((Panchanga!$R183+30-28.5),30)*2+7)</f>
        <v>6.2466000000000008</v>
      </c>
      <c r="O183" s="4" t="str">
        <f>CHOOSE(ROUNDUP(Panchanga!$N183,0),"Bhava","Baalava","Kaulava","Taitula","Garija","Vanija","Vishti","Shakuni","Chatushapda","Naaga","Kimstugna")</f>
        <v>Vishti</v>
      </c>
      <c r="P183" s="11" t="str">
        <f>CHOOSE(ROUNDUP(Panchanga!$S183,0),"viṣkambha","prīti","āyuṣmāna","saubhāgya","śobhana","atigaṇḍa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("&amp;Panchanga!$S183&amp;")"</f>
        <v>dhṛti  (7.65)</v>
      </c>
      <c r="Q183" s="4">
        <f>IF(AND(Panchanga!$R183&lt;28.5,Panchanga!$R183&gt;0.49999),MOD((Panchanga!$R183-0.5)*2,7),MOD((Panchanga!$R183+30-28.5),30)*2+7)</f>
        <v>6.2466000000000008</v>
      </c>
      <c r="R183" s="4">
        <f>ROUNDUP(MOD(360+P[[#This Row],[Moon]]-P[[#This Row],[Sun]],360)/12,4)</f>
        <v>17.6233</v>
      </c>
      <c r="S183" s="4">
        <f>ROUNDUP(MOD(P[[#This Row],[Sun]]+P[[#This Row],[Moon]],360)/13.333333333,2)</f>
        <v>7.6499999999999995</v>
      </c>
      <c r="T183" s="4" t="str">
        <f>SIGN(W184-Panchanga!$W183)*INT(Panchanga!$W183/30+1)&amp;"Ma,"&amp;SIGN(X184-Panchanga!$X183)*INT(Panchanga!$X183/30+1)&amp;"Me,"&amp;SIGN(Y184-Panchanga!$Y183)*INT(Panchanga!$Y183/30+1)&amp;"J, "&amp;SIGN(Z184-Panchanga!$Z183)*INT(Panchanga!$Z183/30+1)&amp;"V,"&amp;SIGN(AA184-Panchanga!$AA183)*INT(Panchanga!$AA183/30+1)&amp;"S,"&amp;INT(Panchanga!$AB183/30+1)&amp;"R"</f>
        <v>2Ma,-5Me,2J, 5V,-11S,12R</v>
      </c>
      <c r="U183" s="4">
        <f t="shared" si="28"/>
        <v>125.21961390098981</v>
      </c>
      <c r="V183" s="4">
        <f t="shared" si="29"/>
        <v>336.69888004739408</v>
      </c>
      <c r="W183" s="4">
        <f>Planet(Panchanga!$G183,4)</f>
        <v>57.224227734269789</v>
      </c>
      <c r="X183" s="4">
        <f>Planet(Panchanga!$G183,2)</f>
        <v>120.01978912306889</v>
      </c>
      <c r="Y183" s="4">
        <f>Planet(Panchanga!$G183,5)</f>
        <v>53.554300098194012</v>
      </c>
      <c r="Z183" s="4">
        <f>Planet(Panchanga!$G183,3)</f>
        <v>146.56322670373078</v>
      </c>
      <c r="AA183" s="4">
        <f>Planet(Panchanga!$G183,6)</f>
        <v>323.10883182640208</v>
      </c>
      <c r="AB183" s="4">
        <f>Planet(Panchanga!$G183,10)</f>
        <v>344.2848732973265</v>
      </c>
      <c r="AC183" s="4" t="str">
        <f>TEXT(Panchanga!$C183+($C184-Panchanga!$C183)/ABS(IF($R184&lt;1,$R184+30,$R184)-Panchanga!$R183)*(ROUNDUP(Panchanga!$R183,0)-Panchanga!$R183),"hh:mm AM/PM")</f>
        <v>01:48 PM</v>
      </c>
      <c r="AD183" s="4"/>
    </row>
    <row r="184" spans="1:30" x14ac:dyDescent="0.2">
      <c r="A184" s="3">
        <f t="shared" si="31"/>
        <v>45527</v>
      </c>
      <c r="B184" s="3">
        <f t="shared" si="26"/>
        <v>45527.229166666664</v>
      </c>
      <c r="C184" s="6">
        <f t="shared" si="27"/>
        <v>45527.249052675594</v>
      </c>
      <c r="D184" s="6">
        <f>sunset(Lat,Long,B184)+TimeZone/24-0.000277777777777778</f>
        <v>45526.768162011678</v>
      </c>
      <c r="E184" s="6">
        <f>PlanetRiseSet(Lat,Long,B184,1,1)+TimeZone/24+0.00103009259259259</f>
        <v>45526.859509256356</v>
      </c>
      <c r="F184" s="6">
        <f>PlanetRiseSet(Lat,Long,B184+1,1,2)+TimeZone/24+0.00103009259259259</f>
        <v>45528.424715663925</v>
      </c>
      <c r="G184" s="17">
        <f>Panchanga!$C184-TimeZone/24</f>
        <v>45527.019886008929</v>
      </c>
      <c r="H184" s="13" t="str">
        <f>INT(P[[#This Row],[Sun]]/30)&amp;"s"&amp;ROUNDUP(MOD(P[[#This Row],[Sun]],30),2)</f>
        <v>4s6.19</v>
      </c>
      <c r="I184" s="13" t="str">
        <f>INT(P[[#This Row],[Moon]]/30)&amp;"s"&amp;ROUNDUP(MOD(P[[#This Row],[Moon]],30),2)</f>
        <v>11s21.51</v>
      </c>
      <c r="J184" s="14">
        <f t="shared" si="30"/>
        <v>45527.019886008929</v>
      </c>
      <c r="K184" s="10" t="str">
        <f>naks(P[[#This Row],[Moon]])</f>
        <v>Revati</v>
      </c>
      <c r="L184" s="15">
        <f>(C185-P[[#This Row],[SunRise]])/(MOD(360+V185-P[[#This Row],[Moon]],360))*(13.3333333333333-MOD(P[[#This Row],[Moon]],13.333333333333))+P[[#This Row],[SunRise]]</f>
        <v>45527.831691560939</v>
      </c>
      <c r="M184" s="4" t="str">
        <f>IF(Panchanga!$R184&gt;15,"K","S")&amp;ROUNDUP(MOD(Panchanga!$R184,15),0)&amp;" ("&amp;ROUND(Panchanga!$R184,2)&amp;")"</f>
        <v>K4 (18.78)</v>
      </c>
      <c r="N184" s="4">
        <f>IF(AND(Panchanga!$R184&lt;28.5,Panchanga!$R184&gt;0.49999),MOD((Panchanga!$R184-0.5)*2,7),MOD((Panchanga!$R184+30-28.5),30)*2+7)</f>
        <v>1.5544000000000011</v>
      </c>
      <c r="O184" s="4" t="str">
        <f>CHOOSE(ROUNDUP(Panchanga!$N184,0),"Bhava","Baalava","Kaulava","Taitula","Garija","Vanija","Vishti","Shakuni","Chatushapda","Naaga","Kimstugna")</f>
        <v>Baalava</v>
      </c>
      <c r="P184" s="11" t="str">
        <f>CHOOSE(ROUNDUP(Panchanga!$S184,0),"viṣkambha","prīti","āyuṣmāna","saubhāgya","śobhana","atigaṇḍa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("&amp;Panchanga!$S184&amp;")"</f>
        <v>śūla  (8.83)</v>
      </c>
      <c r="Q184" s="4">
        <f>IF(AND(Panchanga!$R184&lt;28.5,Panchanga!$R184&gt;0.49999),MOD((Panchanga!$R184-0.5)*2,7),MOD((Panchanga!$R184+30-28.5),30)*2+7)</f>
        <v>1.5544000000000011</v>
      </c>
      <c r="R184" s="4">
        <f>ROUNDUP(MOD(360+P[[#This Row],[Moon]]-P[[#This Row],[Sun]],360)/12,4)</f>
        <v>18.777200000000001</v>
      </c>
      <c r="S184" s="4">
        <f>ROUNDUP(MOD(P[[#This Row],[Sun]]+P[[#This Row],[Moon]],360)/13.333333333,2)</f>
        <v>8.83</v>
      </c>
      <c r="T184" s="4" t="str">
        <f>SIGN(W185-Panchanga!$W184)*INT(Panchanga!$W184/30+1)&amp;"Ma,"&amp;SIGN(X185-Panchanga!$X184)*INT(Panchanga!$X184/30+1)&amp;"Me,"&amp;SIGN(Y185-Panchanga!$Y184)*INT(Panchanga!$Y184/30+1)&amp;"J, "&amp;SIGN(Z185-Panchanga!$Z184)*INT(Panchanga!$Z184/30+1)&amp;"V,"&amp;SIGN(AA185-Panchanga!$AA184)*INT(Panchanga!$AA184/30+1)&amp;"S,"&amp;INT(Panchanga!$AB184/30+1)&amp;"R"</f>
        <v>2Ma,-4Me,2J, 5V,-11S,12R</v>
      </c>
      <c r="U184" s="4">
        <f t="shared" si="28"/>
        <v>126.18282750544357</v>
      </c>
      <c r="V184" s="4">
        <f t="shared" si="29"/>
        <v>351.50821131132523</v>
      </c>
      <c r="W184" s="4">
        <f>Planet(Panchanga!$G184,4)</f>
        <v>57.85958940938216</v>
      </c>
      <c r="X184" s="4">
        <f>Planet(Panchanga!$G184,2)</f>
        <v>119.31744508099948</v>
      </c>
      <c r="Y184" s="4">
        <f>Planet(Panchanga!$G184,5)</f>
        <v>53.691781880360281</v>
      </c>
      <c r="Z184" s="4">
        <f>Planet(Panchanga!$G184,3)</f>
        <v>147.78899473107322</v>
      </c>
      <c r="AA184" s="4">
        <f>Planet(Panchanga!$G184,6)</f>
        <v>323.03776224135765</v>
      </c>
      <c r="AB184" s="4">
        <f>Planet(Panchanga!$G184,10)</f>
        <v>344.23187829989598</v>
      </c>
      <c r="AC184" s="4" t="str">
        <f>TEXT(Panchanga!$C184+($C185-Panchanga!$C184)/ABS(IF($R185&lt;1,$R185+30,$R185)-Panchanga!$R184)*(ROUNDUP(Panchanga!$R184,0)-Panchanga!$R184),"hh:mm AM/PM")</f>
        <v>10:41 AM</v>
      </c>
      <c r="AD184" s="4"/>
    </row>
    <row r="185" spans="1:30" x14ac:dyDescent="0.2">
      <c r="A185" s="3">
        <f t="shared" si="31"/>
        <v>45528</v>
      </c>
      <c r="B185" s="3">
        <f t="shared" si="26"/>
        <v>45528.229166666664</v>
      </c>
      <c r="C185" s="6">
        <f t="shared" si="27"/>
        <v>45528.249106083684</v>
      </c>
      <c r="D185" s="6">
        <f>sunset(Lat,Long,B185)+TimeZone/24-0.000277777777777778</f>
        <v>45527.767739356539</v>
      </c>
      <c r="E185" s="6">
        <f>PlanetRiseSet(Lat,Long,B185,1,1)+TimeZone/24+0.00103009259259259</f>
        <v>45527.889632983286</v>
      </c>
      <c r="F185" s="6">
        <f>PlanetRiseSet(Lat,Long,B185+1,1,2)+TimeZone/24+0.00103009259259259</f>
        <v>45529.465923996329</v>
      </c>
      <c r="G185" s="17">
        <f>Panchanga!$C185-TimeZone/24</f>
        <v>45528.019939417019</v>
      </c>
      <c r="H185" s="13" t="str">
        <f>INT(P[[#This Row],[Sun]]/30)&amp;"s"&amp;ROUNDUP(MOD(P[[#This Row],[Sun]],30),2)</f>
        <v>4s7.15</v>
      </c>
      <c r="I185" s="13" t="str">
        <f>INT(P[[#This Row],[Moon]]/30)&amp;"s"&amp;ROUNDUP(MOD(P[[#This Row],[Moon]],30),2)</f>
        <v>0s6.09</v>
      </c>
      <c r="J185" s="14">
        <f t="shared" si="30"/>
        <v>45528.019939417019</v>
      </c>
      <c r="K185" s="10" t="str">
        <f>naks(P[[#This Row],[Moon]])</f>
        <v>Aswini</v>
      </c>
      <c r="L185" s="15">
        <f>(C186-P[[#This Row],[SunRise]])/(MOD(360+V186-P[[#This Row],[Moon]],360))*(13.3333333333333-MOD(P[[#This Row],[Moon]],13.333333333333))+P[[#This Row],[SunRise]]</f>
        <v>45528.756845790114</v>
      </c>
      <c r="M185" s="4" t="str">
        <f>IF(Panchanga!$R185&gt;15,"K","S")&amp;ROUNDUP(MOD(Panchanga!$R185,15),0)&amp;" ("&amp;ROUND(Panchanga!$R185,2)&amp;")"</f>
        <v>K5 (19.91)</v>
      </c>
      <c r="N185" s="4">
        <f>IF(AND(Panchanga!$R185&lt;28.5,Panchanga!$R185&gt;0.49999),MOD((Panchanga!$R185-0.5)*2,7),MOD((Panchanga!$R185+30-28.5),30)*2+7)</f>
        <v>3.8230000000000004</v>
      </c>
      <c r="O185" s="4" t="str">
        <f>CHOOSE(ROUNDUP(Panchanga!$N185,0),"Bhava","Baalava","Kaulava","Taitula","Garija","Vanija","Vishti","Shakuni","Chatushapda","Naaga","Kimstugna")</f>
        <v>Taitula</v>
      </c>
      <c r="P185" s="11" t="str">
        <f>CHOOSE(ROUNDUP(Panchanga!$S185,0),"viṣkambha","prīti","āyuṣmāna","saubhāgya","śobhana","atigaṇḍa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("&amp;Panchanga!$S185&amp;")"</f>
        <v>gaṇḍa  (10)</v>
      </c>
      <c r="Q185" s="4">
        <f>IF(AND(Panchanga!$R185&lt;28.5,Panchanga!$R185&gt;0.49999),MOD((Panchanga!$R185-0.5)*2,7),MOD((Panchanga!$R185+30-28.5),30)*2+7)</f>
        <v>3.8230000000000004</v>
      </c>
      <c r="R185" s="4">
        <f>ROUNDUP(MOD(360+P[[#This Row],[Moon]]-P[[#This Row],[Sun]],360)/12,4)</f>
        <v>19.9115</v>
      </c>
      <c r="S185" s="4">
        <f>ROUNDUP(MOD(P[[#This Row],[Sun]]+P[[#This Row],[Moon]],360)/13.333333333,2)</f>
        <v>10</v>
      </c>
      <c r="T185" s="4" t="str">
        <f>SIGN(W186-Panchanga!$W185)*INT(Panchanga!$W185/30+1)&amp;"Ma,"&amp;SIGN(X186-Panchanga!$X185)*INT(Panchanga!$X185/30+1)&amp;"Me,"&amp;SIGN(Y186-Panchanga!$Y185)*INT(Panchanga!$Y185/30+1)&amp;"J, "&amp;SIGN(Z186-Panchanga!$Z185)*INT(Panchanga!$Z185/30+1)&amp;"V,"&amp;SIGN(AA186-Panchanga!$AA185)*INT(Panchanga!$AA185/30+1)&amp;"S,"&amp;INT(Panchanga!$AB185/30+1)&amp;"R"</f>
        <v>2Ma,-4Me,2J, 5V,-11S,12R</v>
      </c>
      <c r="U185" s="4">
        <f t="shared" si="28"/>
        <v>127.1465030470451</v>
      </c>
      <c r="V185" s="4">
        <f t="shared" si="29"/>
        <v>6.0836926814736794</v>
      </c>
      <c r="W185" s="4">
        <f>Planet(Panchanga!$G185,4)</f>
        <v>58.492888532563086</v>
      </c>
      <c r="X185" s="4">
        <f>Planet(Panchanga!$G185,2)</f>
        <v>118.69493915187896</v>
      </c>
      <c r="Y185" s="4">
        <f>Planet(Panchanga!$G185,5)</f>
        <v>53.827048168742003</v>
      </c>
      <c r="Z185" s="4">
        <f>Planet(Panchanga!$G185,3)</f>
        <v>149.01461959548092</v>
      </c>
      <c r="AA185" s="4">
        <f>Planet(Panchanga!$G185,6)</f>
        <v>322.96605329241987</v>
      </c>
      <c r="AB185" s="4">
        <f>Planet(Panchanga!$G185,10)</f>
        <v>344.17888348263716</v>
      </c>
      <c r="AC185" s="4" t="str">
        <f>TEXT(Panchanga!$C185+($C186-Panchanga!$C185)/ABS(IF($R186&lt;1,$R186+30,$R186)-Panchanga!$R185)*(ROUNDUP(Panchanga!$R185,0)-Panchanga!$R185),"hh:mm AM/PM")</f>
        <v>07:53 AM</v>
      </c>
      <c r="AD185" s="4"/>
    </row>
    <row r="186" spans="1:30" x14ac:dyDescent="0.2">
      <c r="A186" s="3">
        <f t="shared" si="31"/>
        <v>45529</v>
      </c>
      <c r="B186" s="3">
        <f t="shared" si="26"/>
        <v>45529.229166666664</v>
      </c>
      <c r="C186" s="6">
        <f t="shared" si="27"/>
        <v>45529.249156230282</v>
      </c>
      <c r="D186" s="6">
        <f>sunset(Lat,Long,B186)+TimeZone/24-0.000277777777777778</f>
        <v>45528.767310553274</v>
      </c>
      <c r="E186" s="6">
        <f>PlanetRiseSet(Lat,Long,B186,1,1)+TimeZone/24+0.00103009259259259</f>
        <v>45528.921046047159</v>
      </c>
      <c r="F186" s="6">
        <f>PlanetRiseSet(Lat,Long,B186+1,1,2)+TimeZone/24+0.00103009259259259</f>
        <v>45529.465924145807</v>
      </c>
      <c r="G186" s="17">
        <f>Panchanga!$C186-TimeZone/24</f>
        <v>45529.019989563618</v>
      </c>
      <c r="H186" s="13" t="str">
        <f>INT(P[[#This Row],[Sun]]/30)&amp;"s"&amp;ROUNDUP(MOD(P[[#This Row],[Sun]],30),2)</f>
        <v>4s8.12</v>
      </c>
      <c r="I186" s="13" t="str">
        <f>INT(P[[#This Row],[Moon]]/30)&amp;"s"&amp;ROUNDUP(MOD(P[[#This Row],[Moon]],30),2)</f>
        <v>0s20.37</v>
      </c>
      <c r="J186" s="14">
        <f t="shared" si="30"/>
        <v>45529.019989563618</v>
      </c>
      <c r="K186" s="10" t="str">
        <f>naks(P[[#This Row],[Moon]])</f>
        <v>Bharani</v>
      </c>
      <c r="L186" s="15">
        <f>(C187-P[[#This Row],[SunRise]])/(MOD(360+V187-P[[#This Row],[Moon]],360))*(13.3333333333333-MOD(P[[#This Row],[Moon]],13.333333333333))+P[[#This Row],[SunRise]]</f>
        <v>45529.700958363901</v>
      </c>
      <c r="M186" s="4" t="str">
        <f>IF(Panchanga!$R186&gt;15,"K","S")&amp;ROUNDUP(MOD(Panchanga!$R186,15),0)&amp;" ("&amp;ROUND(Panchanga!$R186,2)&amp;")"</f>
        <v>K7 (21.02)</v>
      </c>
      <c r="N186" s="4">
        <f>IF(AND(Panchanga!$R186&lt;28.5,Panchanga!$R186&gt;0.49999),MOD((Panchanga!$R186-0.5)*2,7),MOD((Panchanga!$R186+30-28.5),30)*2+7)</f>
        <v>6.0422000000000011</v>
      </c>
      <c r="O186" s="4" t="str">
        <f>CHOOSE(ROUNDUP(Panchanga!$N186,0),"Bhava","Baalava","Kaulava","Taitula","Garija","Vanija","Vishti","Shakuni","Chatushapda","Naaga","Kimstugna")</f>
        <v>Vishti</v>
      </c>
      <c r="P186" s="11" t="str">
        <f>CHOOSE(ROUNDUP(Panchanga!$S186,0),"viṣkambha","prīti","āyuṣmāna","saubhāgya","śobhana","atigaṇḍa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("&amp;Panchanga!$S186&amp;")"</f>
        <v>dhruva  (11.14)</v>
      </c>
      <c r="Q186" s="4">
        <f>IF(AND(Panchanga!$R186&lt;28.5,Panchanga!$R186&gt;0.49999),MOD((Panchanga!$R186-0.5)*2,7),MOD((Panchanga!$R186+30-28.5),30)*2+7)</f>
        <v>6.0422000000000011</v>
      </c>
      <c r="R186" s="4">
        <f>ROUNDUP(MOD(360+P[[#This Row],[Moon]]-P[[#This Row],[Sun]],360)/12,4)</f>
        <v>21.021100000000001</v>
      </c>
      <c r="S186" s="4">
        <f>ROUNDUP(MOD(P[[#This Row],[Sun]]+P[[#This Row],[Moon]],360)/13.333333333,2)</f>
        <v>11.14</v>
      </c>
      <c r="T186" s="4" t="str">
        <f>SIGN(W187-Panchanga!$W186)*INT(Panchanga!$W186/30+1)&amp;"Ma,"&amp;SIGN(X187-Panchanga!$X186)*INT(Panchanga!$X186/30+1)&amp;"Me,"&amp;SIGN(Y187-Panchanga!$Y186)*INT(Panchanga!$Y186/30+1)&amp;"J, "&amp;SIGN(Z187-Panchanga!$Z186)*INT(Panchanga!$Z186/30+1)&amp;"V,"&amp;SIGN(AA187-Panchanga!$AA186)*INT(Panchanga!$AA186/30+1)&amp;"S,"&amp;INT(Panchanga!$AB186/30+1)&amp;"R"</f>
        <v>2Ma,-4Me,2J, 6V,-11S,12R</v>
      </c>
      <c r="U186" s="4">
        <f t="shared" si="28"/>
        <v>128.1106591192902</v>
      </c>
      <c r="V186" s="4">
        <f t="shared" si="29"/>
        <v>20.362670876023945</v>
      </c>
      <c r="W186" s="4">
        <f>Planet(Panchanga!$G186,4)</f>
        <v>59.124090629012294</v>
      </c>
      <c r="X186" s="4">
        <f>Planet(Panchanga!$G186,2)</f>
        <v>118.16635494912491</v>
      </c>
      <c r="Y186" s="4">
        <f>Planet(Panchanga!$G186,5)</f>
        <v>53.960066190710855</v>
      </c>
      <c r="Z186" s="4">
        <f>Planet(Panchanga!$G186,3)</f>
        <v>150.24010779508194</v>
      </c>
      <c r="AA186" s="4">
        <f>Planet(Panchanga!$G186,6)</f>
        <v>322.89373910170036</v>
      </c>
      <c r="AB186" s="4">
        <f>Planet(Panchanga!$G186,10)</f>
        <v>344.12588883822673</v>
      </c>
      <c r="AC186" s="4" t="str">
        <f>TEXT(Panchanga!$C186+($C187-Panchanga!$C186)/ABS(IF($R187&lt;1,$R187+30,$R187)-Panchanga!$R186)*(ROUNDUP(Panchanga!$R186,0)-Panchanga!$R186),"hh:mm AM/PM")</f>
        <v>03:41 AM</v>
      </c>
      <c r="AD186" s="4"/>
    </row>
    <row r="187" spans="1:30" x14ac:dyDescent="0.2">
      <c r="A187" s="3">
        <f t="shared" si="31"/>
        <v>45530</v>
      </c>
      <c r="B187" s="3">
        <f t="shared" si="26"/>
        <v>45530.229166666664</v>
      </c>
      <c r="C187" s="6">
        <f t="shared" si="27"/>
        <v>45530.249203242514</v>
      </c>
      <c r="D187" s="6">
        <f>sunset(Lat,Long,B187)+TimeZone/24-0.000277777777777778</f>
        <v>45529.766875845424</v>
      </c>
      <c r="E187" s="6">
        <f>PlanetRiseSet(Lat,Long,B187,1,1)+TimeZone/24+0.00103009259259259</f>
        <v>45529.95455590092</v>
      </c>
      <c r="F187" s="6">
        <f>PlanetRiseSet(Lat,Long,B187+1,1,2)+TimeZone/24+0.00103009259259259</f>
        <v>45530.507979311202</v>
      </c>
      <c r="G187" s="17">
        <f>Panchanga!$C187-TimeZone/24</f>
        <v>45530.02003657585</v>
      </c>
      <c r="H187" s="13" t="str">
        <f>INT(P[[#This Row],[Sun]]/30)&amp;"s"&amp;ROUNDUP(MOD(P[[#This Row],[Sun]],30),2)</f>
        <v>4s9.08</v>
      </c>
      <c r="I187" s="13" t="str">
        <f>INT(P[[#This Row],[Moon]]/30)&amp;"s"&amp;ROUNDUP(MOD(P[[#This Row],[Moon]],30),2)</f>
        <v>1s4.32</v>
      </c>
      <c r="J187" s="14">
        <f t="shared" si="30"/>
        <v>45530.02003657585</v>
      </c>
      <c r="K187" s="10" t="str">
        <f>naks(P[[#This Row],[Moon]])</f>
        <v>Krittika</v>
      </c>
      <c r="L187" s="15">
        <f>(C188-P[[#This Row],[SunRise]])/(MOD(360+V188-P[[#This Row],[Moon]],360))*(13.3333333333333-MOD(P[[#This Row],[Moon]],13.333333333333))+P[[#This Row],[SunRise]]</f>
        <v>45530.666330000546</v>
      </c>
      <c r="M187" s="4" t="str">
        <f>IF(Panchanga!$R187&gt;15,"K","S")&amp;ROUNDUP(MOD(Panchanga!$R187,15),0)&amp;" ("&amp;ROUND(Panchanga!$R187,2)&amp;")"</f>
        <v>K8 (22.1)</v>
      </c>
      <c r="N187" s="4">
        <f>IF(AND(Panchanga!$R187&lt;28.5,Panchanga!$R187&gt;0.49999),MOD((Panchanga!$R187-0.5)*2,7),MOD((Panchanga!$R187+30-28.5),30)*2+7)</f>
        <v>1.2070000000000007</v>
      </c>
      <c r="O187" s="4" t="str">
        <f>CHOOSE(ROUNDUP(Panchanga!$N187,0),"Bhava","Baalava","Kaulava","Taitula","Garija","Vanija","Vishti","Shakuni","Chatushapda","Naaga","Kimstugna")</f>
        <v>Baalava</v>
      </c>
      <c r="P187" s="11" t="str">
        <f>CHOOSE(ROUNDUP(Panchanga!$S187,0),"viṣkambha","prīti","āyuṣmāna","saubhāgya","śobhana","atigaṇḍa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("&amp;Panchanga!$S187&amp;")"</f>
        <v>vyāghāta (12.26)</v>
      </c>
      <c r="Q187" s="4">
        <f>IF(AND(Panchanga!$R187&lt;28.5,Panchanga!$R187&gt;0.49999),MOD((Panchanga!$R187-0.5)*2,7),MOD((Panchanga!$R187+30-28.5),30)*2+7)</f>
        <v>1.2070000000000007</v>
      </c>
      <c r="R187" s="4">
        <f>ROUNDUP(MOD(360+P[[#This Row],[Moon]]-P[[#This Row],[Sun]],360)/12,4)</f>
        <v>22.1035</v>
      </c>
      <c r="S187" s="4">
        <f>ROUNDUP(MOD(P[[#This Row],[Sun]]+P[[#This Row],[Moon]],360)/13.333333333,2)</f>
        <v>12.26</v>
      </c>
      <c r="T187" s="4" t="str">
        <f>SIGN(W188-Panchanga!$W187)*INT(Panchanga!$W187/30+1)&amp;"Ma,"&amp;SIGN(X188-Panchanga!$X187)*INT(Panchanga!$X187/30+1)&amp;"Me,"&amp;SIGN(Y188-Panchanga!$Y187)*INT(Panchanga!$Y187/30+1)&amp;"J, "&amp;SIGN(Z188-Panchanga!$Z187)*INT(Panchanga!$Z187/30+1)&amp;"V,"&amp;SIGN(AA188-Panchanga!$AA187)*INT(Panchanga!$AA187/30+1)&amp;"S,"&amp;INT(Panchanga!$AB187/30+1)&amp;"R"</f>
        <v>2Ma,-4Me,2J, 6V,-11S,12R</v>
      </c>
      <c r="U187" s="4">
        <f t="shared" si="28"/>
        <v>129.07530872893221</v>
      </c>
      <c r="V187" s="4">
        <f t="shared" si="29"/>
        <v>34.316328210674982</v>
      </c>
      <c r="W187" s="4">
        <f>Planet(Panchanga!$G187,4)</f>
        <v>59.753157879184535</v>
      </c>
      <c r="X187" s="4">
        <f>Planet(Panchanga!$G187,2)</f>
        <v>117.74404062130486</v>
      </c>
      <c r="Y187" s="4">
        <f>Planet(Panchanga!$G187,5)</f>
        <v>54.090802288609737</v>
      </c>
      <c r="Z187" s="4">
        <f>Planet(Panchanga!$G187,3)</f>
        <v>151.46546317362069</v>
      </c>
      <c r="AA187" s="4">
        <f>Planet(Panchanga!$G187,6)</f>
        <v>322.8208549279172</v>
      </c>
      <c r="AB187" s="4">
        <f>Planet(Panchanga!$G187,10)</f>
        <v>344.07289435990452</v>
      </c>
      <c r="AC187" s="4" t="str">
        <f>TEXT(Panchanga!$C187+($C188-Panchanga!$C187)/ABS(IF($R188&lt;1,$R188+30,$R188)-Panchanga!$R187)*(ROUNDUP(Panchanga!$R187,0)-Panchanga!$R187),"hh:mm AM/PM")</f>
        <v>02:22 AM</v>
      </c>
      <c r="AD187" s="4"/>
    </row>
    <row r="188" spans="1:30" x14ac:dyDescent="0.2">
      <c r="A188" s="3">
        <f t="shared" si="31"/>
        <v>45531</v>
      </c>
      <c r="B188" s="3">
        <f t="shared" si="26"/>
        <v>45531.229166666664</v>
      </c>
      <c r="C188" s="6">
        <f t="shared" si="27"/>
        <v>45531.24924723633</v>
      </c>
      <c r="D188" s="6">
        <f>sunset(Lat,Long,B188)+TimeZone/24-0.000277777777777778</f>
        <v>45530.76643546675</v>
      </c>
      <c r="E188" s="6">
        <f>PlanetRiseSet(Lat,Long,B188,1,1)+TimeZone/24+0.00103009259259259</f>
        <v>45530.990576790799</v>
      </c>
      <c r="F188" s="6">
        <f>PlanetRiseSet(Lat,Long,B188+1,1,2)+TimeZone/24+0.00103009259259259</f>
        <v>45531.550205930289</v>
      </c>
      <c r="G188" s="17">
        <f>Panchanga!$C188-TimeZone/24</f>
        <v>45531.020080569666</v>
      </c>
      <c r="H188" s="13" t="str">
        <f>INT(P[[#This Row],[Sun]]/30)&amp;"s"&amp;ROUNDUP(MOD(P[[#This Row],[Sun]],30),2)</f>
        <v>4s10.05</v>
      </c>
      <c r="I188" s="13" t="str">
        <f>INT(P[[#This Row],[Moon]]/30)&amp;"s"&amp;ROUNDUP(MOD(P[[#This Row],[Moon]],30),2)</f>
        <v>1s17.95</v>
      </c>
      <c r="J188" s="14">
        <f t="shared" si="30"/>
        <v>45531.020080569666</v>
      </c>
      <c r="K188" s="10" t="str">
        <f>naks(P[[#This Row],[Moon]])</f>
        <v>Rohini</v>
      </c>
      <c r="L188" s="15">
        <f>(C189-P[[#This Row],[SunRise]])/(MOD(360+V189-P[[#This Row],[Moon]],360))*(13.3333333333333-MOD(P[[#This Row],[Moon]],13.333333333333))+P[[#This Row],[SunRise]]</f>
        <v>45531.654113328193</v>
      </c>
      <c r="M188" s="4" t="str">
        <f>IF(Panchanga!$R188&gt;15,"K","S")&amp;ROUNDUP(MOD(Panchanga!$R188,15),0)&amp;" ("&amp;ROUND(Panchanga!$R188,2)&amp;")"</f>
        <v>K9 (23.16)</v>
      </c>
      <c r="N188" s="4">
        <f>IF(AND(Panchanga!$R188&lt;28.5,Panchanga!$R188&gt;0.49999),MOD((Panchanga!$R188-0.5)*2,7),MOD((Panchanga!$R188+30-28.5),30)*2+7)</f>
        <v>3.3171999999999997</v>
      </c>
      <c r="O188" s="4" t="str">
        <f>CHOOSE(ROUNDUP(Panchanga!$N188,0),"Bhava","Baalava","Kaulava","Taitula","Garija","Vanija","Vishti","Shakuni","Chatushapda","Naaga","Kimstugna")</f>
        <v>Taitula</v>
      </c>
      <c r="P188" s="11" t="str">
        <f>CHOOSE(ROUNDUP(Panchanga!$S188,0),"viṣkambha","prīti","āyuṣmāna","saubhāgya","śobhana","atigaṇḍa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("&amp;Panchanga!$S188&amp;")"</f>
        <v>harṣaṇa (13.35)</v>
      </c>
      <c r="Q188" s="4">
        <f>IF(AND(Panchanga!$R188&lt;28.5,Panchanga!$R188&gt;0.49999),MOD((Panchanga!$R188-0.5)*2,7),MOD((Panchanga!$R188+30-28.5),30)*2+7)</f>
        <v>3.3171999999999997</v>
      </c>
      <c r="R188" s="4">
        <f>ROUNDUP(MOD(360+P[[#This Row],[Moon]]-P[[#This Row],[Sun]],360)/12,4)</f>
        <v>23.1586</v>
      </c>
      <c r="S188" s="4">
        <f>ROUNDUP(MOD(P[[#This Row],[Sun]]+P[[#This Row],[Moon]],360)/13.333333333,2)</f>
        <v>13.35</v>
      </c>
      <c r="T188" s="4" t="str">
        <f>SIGN(W189-Panchanga!$W188)*INT(Panchanga!$W188/30+1)&amp;"Ma,"&amp;SIGN(X189-Panchanga!$X188)*INT(Panchanga!$X188/30+1)&amp;"Me,"&amp;SIGN(Y189-Panchanga!$Y188)*INT(Panchanga!$Y188/30+1)&amp;"J, "&amp;SIGN(Z189-Panchanga!$Z188)*INT(Panchanga!$Z188/30+1)&amp;"V,"&amp;SIGN(AA189-Panchanga!$AA188)*INT(Panchanga!$AA188/30+1)&amp;"S,"&amp;INT(Panchanga!$AB188/30+1)&amp;"R"</f>
        <v>3Ma,-4Me,2J, 6V,-11S,12R</v>
      </c>
      <c r="U188" s="4">
        <f t="shared" si="28"/>
        <v>130.04045966711104</v>
      </c>
      <c r="V188" s="4">
        <f t="shared" si="29"/>
        <v>47.942694120642045</v>
      </c>
      <c r="W188" s="4">
        <f>Planet(Panchanga!$G188,4)</f>
        <v>60.380050354998019</v>
      </c>
      <c r="X188" s="4">
        <f>Planet(Panchanga!$G188,2)</f>
        <v>117.43842037971261</v>
      </c>
      <c r="Y188" s="4">
        <f>Planet(Panchanga!$G188,5)</f>
        <v>54.219222340246461</v>
      </c>
      <c r="Z188" s="4">
        <f>Planet(Panchanga!$G188,3)</f>
        <v>152.69068672477718</v>
      </c>
      <c r="AA188" s="4">
        <f>Planet(Panchanga!$G188,6)</f>
        <v>322.74743719175035</v>
      </c>
      <c r="AB188" s="4">
        <f>Planet(Panchanga!$G188,10)</f>
        <v>344.01990004150701</v>
      </c>
      <c r="AC188" s="4" t="str">
        <f>TEXT(Panchanga!$C188+($C189-Panchanga!$C188)/ABS(IF($R189&lt;1,$R189+30,$R189)-Panchanga!$R188)*(ROUNDUP(Panchanga!$R188,0)-Panchanga!$R188),"hh:mm AM/PM")</f>
        <v>01:36 AM</v>
      </c>
      <c r="AD188" s="4"/>
    </row>
    <row r="189" spans="1:30" x14ac:dyDescent="0.2">
      <c r="A189" s="3">
        <f t="shared" si="31"/>
        <v>45532</v>
      </c>
      <c r="B189" s="3">
        <f t="shared" si="26"/>
        <v>45532.229166666664</v>
      </c>
      <c r="C189" s="6">
        <f t="shared" si="27"/>
        <v>45532.249288319763</v>
      </c>
      <c r="D189" s="6">
        <f>sunset(Lat,Long,B189)+TimeZone/24-0.000277777777777778</f>
        <v>45531.765989643565</v>
      </c>
      <c r="E189" s="6">
        <f>PlanetRiseSet(Lat,Long,B189,1,1)+TimeZone/24+0.00103009259259259</f>
        <v>45532.028902477272</v>
      </c>
      <c r="F189" s="6">
        <f>PlanetRiseSet(Lat,Long,B189+1,1,2)+TimeZone/24+0.00103009259259259</f>
        <v>45532.591370257236</v>
      </c>
      <c r="G189" s="17">
        <f>Panchanga!$C189-TimeZone/24</f>
        <v>45532.020121653099</v>
      </c>
      <c r="H189" s="13" t="str">
        <f>INT(P[[#This Row],[Sun]]/30)&amp;"s"&amp;ROUNDUP(MOD(P[[#This Row],[Sun]],30),2)</f>
        <v>4s11.01</v>
      </c>
      <c r="I189" s="13" t="str">
        <f>INT(P[[#This Row],[Moon]]/30)&amp;"s"&amp;ROUNDUP(MOD(P[[#This Row],[Moon]],30),2)</f>
        <v>2s1.26</v>
      </c>
      <c r="J189" s="14">
        <f t="shared" si="30"/>
        <v>45532.020121653099</v>
      </c>
      <c r="K189" s="10" t="str">
        <f>naks(P[[#This Row],[Moon]])</f>
        <v>Mrigashira</v>
      </c>
      <c r="L189" s="15">
        <f>(C190-P[[#This Row],[SunRise]])/(MOD(360+V190-P[[#This Row],[Moon]],360))*(13.3333333333333-MOD(P[[#This Row],[Moon]],13.333333333333))+P[[#This Row],[SunRise]]</f>
        <v>45532.664412234866</v>
      </c>
      <c r="M189" s="4" t="str">
        <f>IF(Panchanga!$R189&gt;15,"K","S")&amp;ROUNDUP(MOD(Panchanga!$R189,15),0)&amp;" ("&amp;ROUND(Panchanga!$R189,2)&amp;")"</f>
        <v>K10 (24.19)</v>
      </c>
      <c r="N189" s="4">
        <f>IF(AND(Panchanga!$R189&lt;28.5,Panchanga!$R189&gt;0.49999),MOD((Panchanga!$R189-0.5)*2,7),MOD((Panchanga!$R189+30-28.5),30)*2+7)</f>
        <v>5.3753999999999991</v>
      </c>
      <c r="O189" s="4" t="str">
        <f>CHOOSE(ROUNDUP(Panchanga!$N189,0),"Bhava","Baalava","Kaulava","Taitula","Garija","Vanija","Vishti","Shakuni","Chatushapda","Naaga","Kimstugna")</f>
        <v>Vanija</v>
      </c>
      <c r="P189" s="11" t="str">
        <f>CHOOSE(ROUNDUP(Panchanga!$S189,0),"viṣkambha","prīti","āyuṣmāna","saubhāgya","śobhana","atigaṇḍa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("&amp;Panchanga!$S189&amp;")"</f>
        <v>vajra (14.42)</v>
      </c>
      <c r="Q189" s="4">
        <f>IF(AND(Panchanga!$R189&lt;28.5,Panchanga!$R189&gt;0.49999),MOD((Panchanga!$R189-0.5)*2,7),MOD((Panchanga!$R189+30-28.5),30)*2+7)</f>
        <v>5.3753999999999991</v>
      </c>
      <c r="R189" s="4">
        <f>ROUNDUP(MOD(360+P[[#This Row],[Moon]]-P[[#This Row],[Sun]],360)/12,4)</f>
        <v>24.1877</v>
      </c>
      <c r="S189" s="4">
        <f>ROUNDUP(MOD(P[[#This Row],[Sun]]+P[[#This Row],[Moon]],360)/13.333333333,2)</f>
        <v>14.42</v>
      </c>
      <c r="T189" s="4" t="str">
        <f>SIGN(W190-Panchanga!$W189)*INT(Panchanga!$W189/30+1)&amp;"Ma,"&amp;SIGN(X190-Panchanga!$X189)*INT(Panchanga!$X189/30+1)&amp;"Me,"&amp;SIGN(Y190-Panchanga!$Y189)*INT(Panchanga!$Y189/30+1)&amp;"J, "&amp;SIGN(Z190-Panchanga!$Z189)*INT(Panchanga!$Z189/30+1)&amp;"V,"&amp;SIGN(AA190-Panchanga!$AA189)*INT(Panchanga!$AA189/30+1)&amp;"S,"&amp;INT(Panchanga!$AB189/30+1)&amp;"R"</f>
        <v>3Ma,-4Me,2J, 6V,-11S,12R</v>
      </c>
      <c r="U189" s="4">
        <f t="shared" si="28"/>
        <v>131.00611533002862</v>
      </c>
      <c r="V189" s="4">
        <f t="shared" si="29"/>
        <v>61.257863721098339</v>
      </c>
      <c r="W189" s="4">
        <f>Planet(Panchanga!$G189,4)</f>
        <v>61.004727050876262</v>
      </c>
      <c r="X189" s="4">
        <f>Planet(Panchanga!$G189,2)</f>
        <v>117.257901332656</v>
      </c>
      <c r="Y189" s="4">
        <f>Planet(Panchanga!$G189,5)</f>
        <v>54.345292111156148</v>
      </c>
      <c r="Z189" s="4">
        <f>Planet(Panchanga!$G189,3)</f>
        <v>153.91577677531544</v>
      </c>
      <c r="AA189" s="4">
        <f>Planet(Panchanga!$G189,6)</f>
        <v>322.6735234029166</v>
      </c>
      <c r="AB189" s="4">
        <f>Planet(Panchanga!$G189,10)</f>
        <v>343.96690587741733</v>
      </c>
      <c r="AC189" s="4" t="str">
        <f>TEXT(Panchanga!$C189+($C190-Panchanga!$C189)/ABS(IF($R190&lt;1,$R190+30,$R190)-Panchanga!$R189)*(ROUNDUP(Panchanga!$R189,0)-Panchanga!$R189),"hh:mm AM/PM")</f>
        <v>01:22 AM</v>
      </c>
      <c r="AD189" s="4"/>
    </row>
    <row r="190" spans="1:30" x14ac:dyDescent="0.2">
      <c r="A190" s="3">
        <f t="shared" si="31"/>
        <v>45533</v>
      </c>
      <c r="B190" s="3">
        <f t="shared" si="26"/>
        <v>45533.229166666664</v>
      </c>
      <c r="C190" s="6">
        <f t="shared" si="27"/>
        <v>45533.249326596655</v>
      </c>
      <c r="D190" s="6">
        <f>sunset(Lat,Long,B190)+TimeZone/24-0.000277777777777778</f>
        <v>45532.765538596592</v>
      </c>
      <c r="E190" s="6">
        <f>PlanetRiseSet(Lat,Long,B190,1,1)+TimeZone/24+0.00103009259259259</f>
        <v>45533.068632115763</v>
      </c>
      <c r="F190" s="6">
        <f>PlanetRiseSet(Lat,Long,B190+1,1,2)+TimeZone/24+0.00103009259259259</f>
        <v>45533.630126846176</v>
      </c>
      <c r="G190" s="17">
        <f>Panchanga!$C190-TimeZone/24</f>
        <v>45533.020159929991</v>
      </c>
      <c r="H190" s="13" t="str">
        <f>INT(P[[#This Row],[Sun]]/30)&amp;"s"&amp;ROUNDUP(MOD(P[[#This Row],[Sun]],30),2)</f>
        <v>4s11.98</v>
      </c>
      <c r="I190" s="13" t="str">
        <f>INT(P[[#This Row],[Moon]]/30)&amp;"s"&amp;ROUNDUP(MOD(P[[#This Row],[Moon]],30),2)</f>
        <v>2s14.29</v>
      </c>
      <c r="J190" s="14">
        <f t="shared" si="30"/>
        <v>45533.020159929991</v>
      </c>
      <c r="K190" s="10" t="str">
        <f>naks(P[[#This Row],[Moon]])</f>
        <v>Ardra</v>
      </c>
      <c r="L190" s="15">
        <f>(C191-P[[#This Row],[SunRise]])/(MOD(360+V191-P[[#This Row],[Moon]],360))*(13.3333333333333-MOD(P[[#This Row],[Moon]],13.333333333333))+P[[#This Row],[SunRise]]</f>
        <v>45533.696526400374</v>
      </c>
      <c r="M190" s="4" t="str">
        <f>IF(Panchanga!$R190&gt;15,"K","S")&amp;ROUNDUP(MOD(Panchanga!$R190,15),0)&amp;" ("&amp;ROUND(Panchanga!$R190,2)&amp;")"</f>
        <v>K11 (25.19)</v>
      </c>
      <c r="N190" s="4">
        <f>IF(AND(Panchanga!$R190&lt;28.5,Panchanga!$R190&gt;0.49999),MOD((Panchanga!$R190-0.5)*2,7),MOD((Panchanga!$R190+30-28.5),30)*2+7)</f>
        <v>0.38600000000000279</v>
      </c>
      <c r="O190" s="4" t="str">
        <f>CHOOSE(ROUNDUP(Panchanga!$N190,0),"Bhava","Baalava","Kaulava","Taitula","Garija","Vanija","Vishti","Shakuni","Chatushapda","Naaga","Kimstugna")</f>
        <v>Bhava</v>
      </c>
      <c r="P190" s="11" t="str">
        <f>CHOOSE(ROUNDUP(Panchanga!$S190,0),"viṣkambha","prīti","āyuṣmāna","saubhāgya","śobhana","atigaṇḍa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("&amp;Panchanga!$S190&amp;")"</f>
        <v>siddhi (15.47)</v>
      </c>
      <c r="Q190" s="4">
        <f>IF(AND(Panchanga!$R190&lt;28.5,Panchanga!$R190&gt;0.49999),MOD((Panchanga!$R190-0.5)*2,7),MOD((Panchanga!$R190+30-28.5),30)*2+7)</f>
        <v>0.38600000000000279</v>
      </c>
      <c r="R190" s="4">
        <f>ROUNDUP(MOD(360+P[[#This Row],[Moon]]-P[[#This Row],[Sun]],360)/12,4)</f>
        <v>25.193000000000001</v>
      </c>
      <c r="S190" s="4">
        <f>ROUNDUP(MOD(P[[#This Row],[Sun]]+P[[#This Row],[Moon]],360)/13.333333333,2)</f>
        <v>15.47</v>
      </c>
      <c r="T190" s="4" t="str">
        <f>SIGN(W191-Panchanga!$W190)*INT(Panchanga!$W190/30+1)&amp;"Ma,"&amp;SIGN(X191-Panchanga!$X190)*INT(Panchanga!$X190/30+1)&amp;"Me,"&amp;SIGN(Y191-Panchanga!$Y190)*INT(Panchanga!$Y190/30+1)&amp;"J, "&amp;SIGN(Z191-Panchanga!$Z190)*INT(Panchanga!$Z190/30+1)&amp;"V,"&amp;SIGN(AA191-Panchanga!$AA190)*INT(Panchanga!$AA190/30+1)&amp;"S,"&amp;INT(Panchanga!$AB190/30+1)&amp;"R"</f>
        <v>3Ma,4Me,2J, 6V,-11S,12R</v>
      </c>
      <c r="U190" s="4">
        <f t="shared" si="28"/>
        <v>131.97227561118311</v>
      </c>
      <c r="V190" s="4">
        <f t="shared" si="29"/>
        <v>74.287732107191431</v>
      </c>
      <c r="W190" s="4">
        <f>Planet(Panchanga!$G190,4)</f>
        <v>61.627146594755963</v>
      </c>
      <c r="X190" s="4">
        <f>Planet(Panchanga!$G190,2)</f>
        <v>117.2088621748519</v>
      </c>
      <c r="Y190" s="4">
        <f>Planet(Panchanga!$G190,5)</f>
        <v>54.468977505908931</v>
      </c>
      <c r="Z190" s="4">
        <f>Planet(Panchanga!$G190,3)</f>
        <v>155.14072932817467</v>
      </c>
      <c r="AA190" s="4">
        <f>Planet(Panchanga!$G190,6)</f>
        <v>322.59915205534264</v>
      </c>
      <c r="AB190" s="4">
        <f>Planet(Panchanga!$G190,10)</f>
        <v>343.91391186196893</v>
      </c>
      <c r="AC190" s="4" t="str">
        <f>TEXT(Panchanga!$C190+($C191-Panchanga!$C190)/ABS(IF($R191&lt;1,$R191+30,$R191)-Panchanga!$R190)*(ROUNDUP(Panchanga!$R190,0)-Panchanga!$R190),"hh:mm AM/PM")</f>
        <v>01:40 AM</v>
      </c>
      <c r="AD190" s="4"/>
    </row>
    <row r="191" spans="1:30" x14ac:dyDescent="0.2">
      <c r="A191" s="3">
        <f t="shared" si="31"/>
        <v>45534</v>
      </c>
      <c r="B191" s="3">
        <f t="shared" si="26"/>
        <v>45534.229166666664</v>
      </c>
      <c r="C191" s="6">
        <f t="shared" si="27"/>
        <v>45534.249362168986</v>
      </c>
      <c r="D191" s="6">
        <f>sunset(Lat,Long,B191)+TimeZone/24-0.000277777777777778</f>
        <v>45533.765082542363</v>
      </c>
      <c r="E191" s="6">
        <f>PlanetRiseSet(Lat,Long,B191,1,1)+TimeZone/24+0.00103009259259259</f>
        <v>45534.108436859366</v>
      </c>
      <c r="F191" s="6">
        <f>PlanetRiseSet(Lat,Long,B191+1,1,2)+TimeZone/24+0.00103009259259259</f>
        <v>45534.665556512926</v>
      </c>
      <c r="G191" s="17">
        <f>Panchanga!$C191-TimeZone/24</f>
        <v>45534.020195502322</v>
      </c>
      <c r="H191" s="13" t="str">
        <f>INT(P[[#This Row],[Sun]]/30)&amp;"s"&amp;ROUNDUP(MOD(P[[#This Row],[Sun]],30),2)</f>
        <v>4s12.94</v>
      </c>
      <c r="I191" s="13" t="str">
        <f>INT(P[[#This Row],[Moon]]/30)&amp;"s"&amp;ROUNDUP(MOD(P[[#This Row],[Moon]],30),2)</f>
        <v>2s27.07</v>
      </c>
      <c r="J191" s="14">
        <f t="shared" si="30"/>
        <v>45534.020195502322</v>
      </c>
      <c r="K191" s="10" t="str">
        <f>naks(P[[#This Row],[Moon]])</f>
        <v>Punarvasu</v>
      </c>
      <c r="L191" s="15">
        <f>(C192-P[[#This Row],[SunRise]])/(MOD(360+V192-P[[#This Row],[Moon]],360))*(13.3333333333333-MOD(P[[#This Row],[Moon]],13.333333333333))+P[[#This Row],[SunRise]]</f>
        <v>45534.749249386638</v>
      </c>
      <c r="M191" s="4" t="str">
        <f>IF(Panchanga!$R191&gt;15,"K","S")&amp;ROUNDUP(MOD(Panchanga!$R191,15),0)&amp;" ("&amp;ROUND(Panchanga!$R191,2)&amp;")"</f>
        <v>K12 (26.18)</v>
      </c>
      <c r="N191" s="4">
        <f>IF(AND(Panchanga!$R191&lt;28.5,Panchanga!$R191&gt;0.49999),MOD((Panchanga!$R191-0.5)*2,7),MOD((Panchanga!$R191+30-28.5),30)*2+7)</f>
        <v>2.3537999999999997</v>
      </c>
      <c r="O191" s="4" t="str">
        <f>CHOOSE(ROUNDUP(Panchanga!$N191,0),"Bhava","Baalava","Kaulava","Taitula","Garija","Vanija","Vishti","Shakuni","Chatushapda","Naaga","Kimstugna")</f>
        <v>Kaulava</v>
      </c>
      <c r="P191" s="11" t="str">
        <f>CHOOSE(ROUNDUP(Panchanga!$S191,0),"viṣkambha","prīti","āyuṣmāna","saubhāgya","śobhana","atigaṇḍa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("&amp;Panchanga!$S191&amp;")"</f>
        <v>vyatipāta (16.51)</v>
      </c>
      <c r="Q191" s="4">
        <f>IF(AND(Panchanga!$R191&lt;28.5,Panchanga!$R191&gt;0.49999),MOD((Panchanga!$R191-0.5)*2,7),MOD((Panchanga!$R191+30-28.5),30)*2+7)</f>
        <v>2.3537999999999997</v>
      </c>
      <c r="R191" s="4">
        <f>ROUNDUP(MOD(360+P[[#This Row],[Moon]]-P[[#This Row],[Sun]],360)/12,4)</f>
        <v>26.1769</v>
      </c>
      <c r="S191" s="4">
        <f>ROUNDUP(MOD(P[[#This Row],[Sun]]+P[[#This Row],[Moon]],360)/13.333333333,2)</f>
        <v>16.510000000000002</v>
      </c>
      <c r="T191" s="4" t="str">
        <f>SIGN(W192-Panchanga!$W191)*INT(Panchanga!$W191/30+1)&amp;"Ma,"&amp;SIGN(X192-Panchanga!$X191)*INT(Panchanga!$X191/30+1)&amp;"Me,"&amp;SIGN(Y192-Panchanga!$Y191)*INT(Panchanga!$Y191/30+1)&amp;"J, "&amp;SIGN(Z192-Panchanga!$Z191)*INT(Panchanga!$Z191/30+1)&amp;"V,"&amp;SIGN(AA192-Panchanga!$AA191)*INT(Panchanga!$AA191/30+1)&amp;"S,"&amp;INT(Panchanga!$AB191/30+1)&amp;"R"</f>
        <v>3Ma,4Me,2J, 6V,-11S,12R</v>
      </c>
      <c r="U191" s="4">
        <f t="shared" si="28"/>
        <v>132.93893764684265</v>
      </c>
      <c r="V191" s="4">
        <f t="shared" si="29"/>
        <v>87.061599725252236</v>
      </c>
      <c r="W191" s="4">
        <f>Planet(Panchanga!$G191,4)</f>
        <v>62.247267697978593</v>
      </c>
      <c r="X191" s="4">
        <f>Planet(Panchanga!$G191,2)</f>
        <v>117.29570544245421</v>
      </c>
      <c r="Y191" s="4">
        <f>Planet(Panchanga!$G191,5)</f>
        <v>54.590244737137283</v>
      </c>
      <c r="Z191" s="4">
        <f>Planet(Panchanga!$G191,3)</f>
        <v>156.36553839600654</v>
      </c>
      <c r="AA191" s="4">
        <f>Planet(Panchanga!$G191,6)</f>
        <v>322.52436250390275</v>
      </c>
      <c r="AB191" s="4">
        <f>Planet(Panchanga!$G191,10)</f>
        <v>343.8609179898765</v>
      </c>
      <c r="AC191" s="4" t="str">
        <f>TEXT(Panchanga!$C191+($C192-Panchanga!$C191)/ABS(IF($R192&lt;1,$R192+30,$R192)-Panchanga!$R191)*(ROUNDUP(Panchanga!$R191,0)-Panchanga!$R191),"hh:mm AM/PM")</f>
        <v>02:27 AM</v>
      </c>
      <c r="AD191" s="4"/>
    </row>
    <row r="192" spans="1:30" x14ac:dyDescent="0.2">
      <c r="A192" s="3">
        <f t="shared" si="31"/>
        <v>45535</v>
      </c>
      <c r="B192" s="3">
        <f t="shared" si="26"/>
        <v>45535.229166666664</v>
      </c>
      <c r="C192" s="6">
        <f t="shared" si="27"/>
        <v>45535.249395139203</v>
      </c>
      <c r="D192" s="6">
        <f>sunset(Lat,Long,B192)+TimeZone/24-0.000277777777777778</f>
        <v>45534.764621695082</v>
      </c>
      <c r="E192" s="6">
        <f>PlanetRiseSet(Lat,Long,B192,1,1)+TimeZone/24+0.00103009259259259</f>
        <v>45535.14707496731</v>
      </c>
      <c r="F192" s="6">
        <f>PlanetRiseSet(Lat,Long,B192+1,1,2)+TimeZone/24+0.00103009259259259</f>
        <v>45535.697418882664</v>
      </c>
      <c r="G192" s="17">
        <f>Panchanga!$C192-TimeZone/24</f>
        <v>45535.020228472538</v>
      </c>
      <c r="H192" s="13" t="str">
        <f>INT(P[[#This Row],[Sun]]/30)&amp;"s"&amp;ROUNDUP(MOD(P[[#This Row],[Sun]],30),2)</f>
        <v>4s13.91</v>
      </c>
      <c r="I192" s="13" t="str">
        <f>INT(P[[#This Row],[Moon]]/30)&amp;"s"&amp;ROUNDUP(MOD(P[[#This Row],[Moon]],30),2)</f>
        <v>3s9.61</v>
      </c>
      <c r="J192" s="14">
        <f t="shared" si="30"/>
        <v>45535.020228472538</v>
      </c>
      <c r="K192" s="10" t="str">
        <f>naks(P[[#This Row],[Moon]])</f>
        <v>Pushya</v>
      </c>
      <c r="L192" s="15">
        <f>(C193-P[[#This Row],[SunRise]])/(MOD(360+V193-P[[#This Row],[Moon]],360))*(13.3333333333333-MOD(P[[#This Row],[Moon]],13.333333333333))+P[[#This Row],[SunRise]]</f>
        <v>45535.821096946565</v>
      </c>
      <c r="M192" s="4" t="str">
        <f>IF(Panchanga!$R192&gt;15,"K","S")&amp;ROUNDUP(MOD(Panchanga!$R192,15),0)&amp;" ("&amp;ROUND(Panchanga!$R192,2)&amp;")"</f>
        <v>K13 (27.14)</v>
      </c>
      <c r="N192" s="4">
        <f>IF(AND(Panchanga!$R192&lt;28.5,Panchanga!$R192&gt;0.49999),MOD((Panchanga!$R192-0.5)*2,7),MOD((Panchanga!$R192+30-28.5),30)*2+7)</f>
        <v>4.2837999999999994</v>
      </c>
      <c r="O192" s="4" t="str">
        <f>CHOOSE(ROUNDUP(Panchanga!$N192,0),"Bhava","Baalava","Kaulava","Taitula","Garija","Vanija","Vishti","Shakuni","Chatushapda","Naaga","Kimstugna")</f>
        <v>Garija</v>
      </c>
      <c r="P192" s="11" t="str">
        <f>CHOOSE(ROUNDUP(Panchanga!$S192,0),"viṣkambha","prīti","āyuṣmāna","saubhāgya","śobhana","atigaṇḍa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("&amp;Panchanga!$S192&amp;")"</f>
        <v>varīyas (17.52)</v>
      </c>
      <c r="Q192" s="4">
        <f>IF(AND(Panchanga!$R192&lt;28.5,Panchanga!$R192&gt;0.49999),MOD((Panchanga!$R192-0.5)*2,7),MOD((Panchanga!$R192+30-28.5),30)*2+7)</f>
        <v>4.2837999999999994</v>
      </c>
      <c r="R192" s="4">
        <f>ROUNDUP(MOD(360+P[[#This Row],[Moon]]-P[[#This Row],[Sun]],360)/12,4)</f>
        <v>27.1419</v>
      </c>
      <c r="S192" s="4">
        <f>ROUNDUP(MOD(P[[#This Row],[Sun]]+P[[#This Row],[Moon]],360)/13.333333333,2)</f>
        <v>17.520000000000003</v>
      </c>
      <c r="T192" s="4" t="str">
        <f>SIGN(W193-Panchanga!$W192)*INT(Panchanga!$W192/30+1)&amp;"Ma,"&amp;SIGN(X193-Panchanga!$X192)*INT(Panchanga!$X192/30+1)&amp;"Me,"&amp;SIGN(Y193-Panchanga!$Y192)*INT(Panchanga!$Y192/30+1)&amp;"J, "&amp;SIGN(Z193-Panchanga!$Z192)*INT(Panchanga!$Z192/30+1)&amp;"V,"&amp;SIGN(AA193-Panchanga!$AA192)*INT(Panchanga!$AA192/30+1)&amp;"S,"&amp;INT(Panchanga!$AB192/30+1)&amp;"R"</f>
        <v>3Ma,4Me,2J, 6V,-11S,12R</v>
      </c>
      <c r="U192" s="4">
        <f t="shared" si="28"/>
        <v>133.90609639361645</v>
      </c>
      <c r="V192" s="4">
        <f t="shared" si="29"/>
        <v>99.608310597368785</v>
      </c>
      <c r="W192" s="4">
        <f>Planet(Panchanga!$G192,4)</f>
        <v>62.865049465335545</v>
      </c>
      <c r="X192" s="4">
        <f>Planet(Panchanga!$G192,2)</f>
        <v>117.52095381030432</v>
      </c>
      <c r="Y192" s="4">
        <f>Planet(Panchanga!$G192,5)</f>
        <v>54.709060452242831</v>
      </c>
      <c r="Z192" s="4">
        <f>Planet(Panchanga!$G192,3)</f>
        <v>157.59019626568312</v>
      </c>
      <c r="AA192" s="4">
        <f>Planet(Panchanga!$G192,6)</f>
        <v>322.44919486067243</v>
      </c>
      <c r="AB192" s="4">
        <f>Planet(Panchanga!$G192,10)</f>
        <v>343.80792425567216</v>
      </c>
      <c r="AC192" s="4" t="str">
        <f>TEXT(Panchanga!$C192+($C193-Panchanga!$C192)/ABS(IF($R193&lt;1,$R193+30,$R193)-Panchanga!$R192)*(ROUNDUP(Panchanga!$R192,0)-Panchanga!$R192),"hh:mm AM/PM")</f>
        <v>03:42 AM</v>
      </c>
      <c r="AD192" s="4"/>
    </row>
    <row r="193" spans="1:30" x14ac:dyDescent="0.2">
      <c r="A193" s="3">
        <f t="shared" si="31"/>
        <v>45536</v>
      </c>
      <c r="B193" s="3">
        <f t="shared" si="26"/>
        <v>45536.229166666664</v>
      </c>
      <c r="C193" s="6">
        <f t="shared" si="27"/>
        <v>45536.24942561068</v>
      </c>
      <c r="D193" s="6">
        <f>sunset(Lat,Long,B193)+TimeZone/24-0.000277777777777778</f>
        <v>45535.764156268953</v>
      </c>
      <c r="E193" s="6">
        <f>PlanetRiseSet(Lat,Long,B193,1,1)+TimeZone/24+0.00103009259259259</f>
        <v>45536.183799781524</v>
      </c>
      <c r="F193" s="6">
        <f>PlanetRiseSet(Lat,Long,B193+1,1,2)+TimeZone/24+0.00103009259259259</f>
        <v>45536.726045220777</v>
      </c>
      <c r="G193" s="17">
        <f>Panchanga!$C193-TimeZone/24</f>
        <v>45536.020258944016</v>
      </c>
      <c r="H193" s="13" t="str">
        <f>INT(P[[#This Row],[Sun]]/30)&amp;"s"&amp;ROUNDUP(MOD(P[[#This Row],[Sun]],30),2)</f>
        <v>4s14.88</v>
      </c>
      <c r="I193" s="13" t="str">
        <f>INT(P[[#This Row],[Moon]]/30)&amp;"s"&amp;ROUNDUP(MOD(P[[#This Row],[Moon]],30),2)</f>
        <v>3s21.96</v>
      </c>
      <c r="J193" s="14">
        <f t="shared" si="30"/>
        <v>45536.020258944016</v>
      </c>
      <c r="K193" s="10" t="str">
        <f>naks(P[[#This Row],[Moon]])</f>
        <v>Aslesha</v>
      </c>
      <c r="L193" s="15">
        <f>(C194-P[[#This Row],[SunRise]])/(MOD(360+V194-P[[#This Row],[Moon]],360))*(13.3333333333333-MOD(P[[#This Row],[Moon]],13.333333333333))+P[[#This Row],[SunRise]]</f>
        <v>45536.910379609304</v>
      </c>
      <c r="M193" s="4" t="str">
        <f>IF(Panchanga!$R193&gt;15,"K","S")&amp;ROUNDUP(MOD(Panchanga!$R193,15),0)&amp;" ("&amp;ROUND(Panchanga!$R193,2)&amp;")"</f>
        <v>K14 (28.09)</v>
      </c>
      <c r="N193" s="4">
        <f>IF(AND(Panchanga!$R193&lt;28.5,Panchanga!$R193&gt;0.49999),MOD((Panchanga!$R193-0.5)*2,7),MOD((Panchanga!$R193+30-28.5),30)*2+7)</f>
        <v>6.1801999999999992</v>
      </c>
      <c r="O193" s="4" t="str">
        <f>CHOOSE(ROUNDUP(Panchanga!$N193,0),"Bhava","Baalava","Kaulava","Taitula","Garija","Vanija","Vishti","Shakuni","Chatushapda","Naaga","Kimstugna")</f>
        <v>Vishti</v>
      </c>
      <c r="P193" s="11" t="str">
        <f>CHOOSE(ROUNDUP(Panchanga!$S193,0),"viṣkambha","prīti","āyuṣmāna","saubhāgya","śobhana","atigaṇḍa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("&amp;Panchanga!$S193&amp;")"</f>
        <v>parigha (18.52)</v>
      </c>
      <c r="Q193" s="4">
        <f>IF(AND(Panchanga!$R193&lt;28.5,Panchanga!$R193&gt;0.49999),MOD((Panchanga!$R193-0.5)*2,7),MOD((Panchanga!$R193+30-28.5),30)*2+7)</f>
        <v>6.1801999999999992</v>
      </c>
      <c r="R193" s="4">
        <f>ROUNDUP(MOD(360+P[[#This Row],[Moon]]-P[[#This Row],[Sun]],360)/12,4)</f>
        <v>28.0901</v>
      </c>
      <c r="S193" s="4">
        <f>ROUNDUP(MOD(P[[#This Row],[Sun]]+P[[#This Row],[Moon]],360)/13.333333333,2)</f>
        <v>18.520000000000003</v>
      </c>
      <c r="T193" s="4" t="str">
        <f>SIGN(W194-Panchanga!$W193)*INT(Panchanga!$W193/30+1)&amp;"Ma,"&amp;SIGN(X194-Panchanga!$X193)*INT(Panchanga!$X193/30+1)&amp;"Me,"&amp;SIGN(Y194-Panchanga!$Y193)*INT(Panchanga!$Y193/30+1)&amp;"J, "&amp;SIGN(Z194-Panchanga!$Z193)*INT(Panchanga!$Z193/30+1)&amp;"V,"&amp;SIGN(AA194-Panchanga!$AA193)*INT(Panchanga!$AA193/30+1)&amp;"S,"&amp;INT(Panchanga!$AB193/30+1)&amp;"R"</f>
        <v>3Ma,4Me,2J, 6V,-11S,12R</v>
      </c>
      <c r="U193" s="4">
        <f t="shared" si="28"/>
        <v>134.87374512300846</v>
      </c>
      <c r="V193" s="4">
        <f t="shared" si="29"/>
        <v>111.95490642214682</v>
      </c>
      <c r="W193" s="4">
        <f>Planet(Panchanga!$G193,4)</f>
        <v>63.480451654893358</v>
      </c>
      <c r="X193" s="4">
        <f>Planet(Panchanga!$G193,2)</f>
        <v>117.88537256766233</v>
      </c>
      <c r="Y193" s="4">
        <f>Planet(Panchanga!$G193,5)</f>
        <v>54.82539184067349</v>
      </c>
      <c r="Z193" s="4">
        <f>Planet(Panchanga!$G193,3)</f>
        <v>158.81469371910273</v>
      </c>
      <c r="AA193" s="4">
        <f>Planet(Panchanga!$G193,6)</f>
        <v>322.37368988460224</v>
      </c>
      <c r="AB193" s="4">
        <f>Planet(Panchanga!$G193,10)</f>
        <v>343.75493065390486</v>
      </c>
      <c r="AC193" s="4" t="str">
        <f>TEXT(Panchanga!$C193+($C194-Panchanga!$C193)/ABS(IF($R194&lt;1,$R194+30,$R194)-Panchanga!$R193)*(ROUNDUP(Panchanga!$R193,0)-Panchanga!$R193),"hh:mm AM/PM")</f>
        <v>05:22 AM</v>
      </c>
      <c r="AD193" s="4"/>
    </row>
    <row r="194" spans="1:30" x14ac:dyDescent="0.2">
      <c r="A194" s="3">
        <f t="shared" si="31"/>
        <v>45537</v>
      </c>
      <c r="B194" s="3">
        <f t="shared" si="26"/>
        <v>45537.229166666664</v>
      </c>
      <c r="C194" s="6">
        <f t="shared" si="27"/>
        <v>45537.24945368959</v>
      </c>
      <c r="D194" s="6">
        <f>sunset(Lat,Long,B194)+TimeZone/24-0.000277777777777778</f>
        <v>45536.763686477716</v>
      </c>
      <c r="E194" s="6">
        <f>PlanetRiseSet(Lat,Long,B194,1,1)+TimeZone/24+0.00103009259259259</f>
        <v>45537.218445990387</v>
      </c>
      <c r="F194" s="6">
        <f>PlanetRiseSet(Lat,Long,B194+1,1,2)+TimeZone/24+0.00103009259259259</f>
        <v>45537.752085921042</v>
      </c>
      <c r="G194" s="17">
        <f>Panchanga!$C194-TimeZone/24</f>
        <v>45537.020287022926</v>
      </c>
      <c r="H194" s="13" t="str">
        <f>INT(P[[#This Row],[Sun]]/30)&amp;"s"&amp;ROUNDUP(MOD(P[[#This Row],[Sun]],30),2)</f>
        <v>4s15.85</v>
      </c>
      <c r="I194" s="13" t="str">
        <f>INT(P[[#This Row],[Moon]]/30)&amp;"s"&amp;ROUNDUP(MOD(P[[#This Row],[Moon]],30),2)</f>
        <v>4s4.13</v>
      </c>
      <c r="J194" s="14">
        <f t="shared" si="30"/>
        <v>45537.020287022926</v>
      </c>
      <c r="K194" s="10" t="str">
        <f>naks(P[[#This Row],[Moon]])</f>
        <v>Makha</v>
      </c>
      <c r="L194" s="15">
        <f>(C195-P[[#This Row],[SunRise]])/(MOD(360+V195-P[[#This Row],[Moon]],360))*(13.3333333333333-MOD(P[[#This Row],[Moon]],13.333333333333))+P[[#This Row],[SunRise]]</f>
        <v>45538.015107740008</v>
      </c>
      <c r="M194" s="4" t="str">
        <f>IF(Panchanga!$R194&gt;15,"K","S")&amp;ROUNDUP(MOD(Panchanga!$R194,15),0)&amp;" ("&amp;ROUND(Panchanga!$R194,2)&amp;")"</f>
        <v>K15 (29.02)</v>
      </c>
      <c r="N194" s="4">
        <f>IF(AND(Panchanga!$R194&lt;28.5,Panchanga!$R194&gt;0.49999),MOD((Panchanga!$R194-0.5)*2,7),MOD((Panchanga!$R194+30-28.5),30)*2+7)</f>
        <v>8.0476000000000028</v>
      </c>
      <c r="O194" s="4" t="str">
        <f>CHOOSE(ROUNDUP(Panchanga!$N194,0),"Bhava","Baalava","Kaulava","Taitula","Garija","Vanija","Vishti","Shakuni","Chatushapda","Naaga","Kimstugna")</f>
        <v>Chatushapda</v>
      </c>
      <c r="P194" s="11" t="str">
        <f>CHOOSE(ROUNDUP(Panchanga!$S194,0),"viṣkambha","prīti","āyuṣmāna","saubhāgya","śobhana","atigaṇḍa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("&amp;Panchanga!$S194&amp;")"</f>
        <v>śiva (19.5)</v>
      </c>
      <c r="Q194" s="4">
        <f>IF(AND(Panchanga!$R194&lt;28.5,Panchanga!$R194&gt;0.49999),MOD((Panchanga!$R194-0.5)*2,7),MOD((Panchanga!$R194+30-28.5),30)*2+7)</f>
        <v>8.0476000000000028</v>
      </c>
      <c r="R194" s="4">
        <f>ROUNDUP(MOD(360+P[[#This Row],[Moon]]-P[[#This Row],[Sun]],360)/12,4)</f>
        <v>29.023800000000001</v>
      </c>
      <c r="S194" s="4">
        <f>ROUNDUP(MOD(P[[#This Row],[Sun]]+P[[#This Row],[Moon]],360)/13.333333333,2)</f>
        <v>19.5</v>
      </c>
      <c r="T194" s="4" t="str">
        <f>SIGN(W195-Panchanga!$W194)*INT(Panchanga!$W194/30+1)&amp;"Ma,"&amp;SIGN(X195-Panchanga!$X194)*INT(Panchanga!$X194/30+1)&amp;"Me,"&amp;SIGN(Y195-Panchanga!$Y194)*INT(Panchanga!$Y194/30+1)&amp;"J, "&amp;SIGN(Z195-Panchanga!$Z194)*INT(Panchanga!$Z194/30+1)&amp;"V,"&amp;SIGN(AA195-Panchanga!$AA194)*INT(Panchanga!$AA194/30+1)&amp;"S,"&amp;INT(Panchanga!$AB194/30+1)&amp;"R"</f>
        <v>3Ma,4Me,2J, 6V,-11S,12R</v>
      </c>
      <c r="U194" s="4">
        <f t="shared" si="28"/>
        <v>135.84187592805463</v>
      </c>
      <c r="V194" s="4">
        <f t="shared" si="29"/>
        <v>124.12718995780568</v>
      </c>
      <c r="W194" s="4">
        <f>Planet(Panchanga!$G194,4)</f>
        <v>64.093434911091649</v>
      </c>
      <c r="X194" s="4">
        <f>Planet(Panchanga!$G194,2)</f>
        <v>118.38810400245936</v>
      </c>
      <c r="Y194" s="4">
        <f>Planet(Panchanga!$G194,5)</f>
        <v>54.939206728081537</v>
      </c>
      <c r="Z194" s="4">
        <f>Planet(Panchanga!$G194,3)</f>
        <v>160.03902027196446</v>
      </c>
      <c r="AA194" s="4">
        <f>Planet(Panchanga!$G194,6)</f>
        <v>322.29788887490434</v>
      </c>
      <c r="AB194" s="4">
        <f>Planet(Panchanga!$G194,10)</f>
        <v>343.70193717889146</v>
      </c>
      <c r="AC194" s="4" t="str">
        <f>TEXT(Panchanga!$C194+($C195-Panchanga!$C194)/ABS(IF($R195&lt;1,$R195+30,$R195)-Panchanga!$R194)*(ROUNDUP(Panchanga!$R194,0)-Panchanga!$R194),"hh:mm AM/PM")</f>
        <v>07:25 AM</v>
      </c>
      <c r="AD194" s="4"/>
    </row>
    <row r="195" spans="1:30" x14ac:dyDescent="0.2">
      <c r="A195" s="3">
        <f t="shared" si="31"/>
        <v>45538</v>
      </c>
      <c r="B195" s="3">
        <f t="shared" ref="B195:B258" si="32">A195+TimeZone/24</f>
        <v>45538.229166666664</v>
      </c>
      <c r="C195" s="6">
        <f t="shared" ref="C195:C258" si="33">sunrise(Lat,Long,B195)+TimeZone/24+0.00103009259259259</f>
        <v>45538.249479487225</v>
      </c>
      <c r="D195" s="6">
        <f>sunset(Lat,Long,B195)+TimeZone/24-0.000277777777777778</f>
        <v>45537.763212535108</v>
      </c>
      <c r="E195" s="6">
        <f>PlanetRiseSet(Lat,Long,B195,1,1)+TimeZone/24+0.00103009259259259</f>
        <v>45538.251287636034</v>
      </c>
      <c r="F195" s="6">
        <f>PlanetRiseSet(Lat,Long,B195+1,1,2)+TimeZone/24+0.00103009259259259</f>
        <v>45538.776306469146</v>
      </c>
      <c r="G195" s="17">
        <f>Panchanga!$C195-TimeZone/24</f>
        <v>45538.020312820561</v>
      </c>
      <c r="H195" s="13" t="str">
        <f>INT(P[[#This Row],[Sun]]/30)&amp;"s"&amp;ROUNDUP(MOD(P[[#This Row],[Sun]],30),2)</f>
        <v>4s16.82</v>
      </c>
      <c r="I195" s="13" t="str">
        <f>INT(P[[#This Row],[Moon]]/30)&amp;"s"&amp;ROUNDUP(MOD(P[[#This Row],[Moon]],30),2)</f>
        <v>4s16.16</v>
      </c>
      <c r="J195" s="14">
        <f t="shared" si="30"/>
        <v>45538.020312820561</v>
      </c>
      <c r="K195" s="10" t="str">
        <f>naks(P[[#This Row],[Moon]])</f>
        <v>Purva Phalguni</v>
      </c>
      <c r="L195" s="15">
        <f>(C196-P[[#This Row],[SunRise]])/(MOD(360+V196-P[[#This Row],[Moon]],360))*(13.3333333333333-MOD(P[[#This Row],[Moon]],13.333333333333))+P[[#This Row],[SunRise]]</f>
        <v>45539.132769030875</v>
      </c>
      <c r="M195" s="4" t="str">
        <f>IF(Panchanga!$R195&gt;15,"K","S")&amp;ROUNDUP(MOD(Panchanga!$R195,15),0)&amp;" ("&amp;ROUND(Panchanga!$R195,2)&amp;")"</f>
        <v>K15 (29.95)</v>
      </c>
      <c r="N195" s="4">
        <f>IF(AND(Panchanga!$R195&lt;28.5,Panchanga!$R195&gt;0.49999),MOD((Panchanga!$R195-0.5)*2,7),MOD((Panchanga!$R195+30-28.5),30)*2+7)</f>
        <v>9.890199999999993</v>
      </c>
      <c r="O195" s="4" t="str">
        <f>CHOOSE(ROUNDUP(Panchanga!$N195,0),"Bhava","Baalava","Kaulava","Taitula","Garija","Vanija","Vishti","Shakuni","Chatushapda","Naaga","Kimstugna")</f>
        <v>Naaga</v>
      </c>
      <c r="P195" s="11" t="str">
        <f>CHOOSE(ROUNDUP(Panchanga!$S195,0),"viṣkambha","prīti","āyuṣmāna","saubhāgya","śobhana","atigaṇḍa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("&amp;Panchanga!$S195&amp;")"</f>
        <v>siddha (20.48)</v>
      </c>
      <c r="Q195" s="4">
        <f>IF(AND(Panchanga!$R195&lt;28.5,Panchanga!$R195&gt;0.49999),MOD((Panchanga!$R195-0.5)*2,7),MOD((Panchanga!$R195+30-28.5),30)*2+7)</f>
        <v>9.890199999999993</v>
      </c>
      <c r="R195" s="4">
        <f>ROUNDUP(MOD(360+P[[#This Row],[Moon]]-P[[#This Row],[Sun]],360)/12,4)</f>
        <v>29.9451</v>
      </c>
      <c r="S195" s="4">
        <f>ROUNDUP(MOD(P[[#This Row],[Sun]]+P[[#This Row],[Moon]],360)/13.333333333,2)</f>
        <v>20.48</v>
      </c>
      <c r="T195" s="4" t="str">
        <f>SIGN(W196-Panchanga!$W195)*INT(Panchanga!$W195/30+1)&amp;"Ma,"&amp;SIGN(X196-Panchanga!$X195)*INT(Panchanga!$X195/30+1)&amp;"Me,"&amp;SIGN(Y196-Panchanga!$Y195)*INT(Panchanga!$Y195/30+1)&amp;"J, "&amp;SIGN(Z196-Panchanga!$Z195)*INT(Panchanga!$Z195/30+1)&amp;"V,"&amp;SIGN(AA196-Panchanga!$AA195)*INT(Panchanga!$AA195/30+1)&amp;"S,"&amp;INT(Panchanga!$AB195/30+1)&amp;"R"</f>
        <v>3Ma,4Me,2J, 6V,-11S,12R</v>
      </c>
      <c r="U195" s="4">
        <f t="shared" ref="U195:U258" si="34">Planet($G195,0)</f>
        <v>136.81048025814826</v>
      </c>
      <c r="V195" s="4">
        <f t="shared" ref="V195:V258" si="35">Planet($G195,1)</f>
        <v>136.15139444967892</v>
      </c>
      <c r="W195" s="4">
        <f>Planet(Panchanga!$G195,4)</f>
        <v>64.703960934792192</v>
      </c>
      <c r="X195" s="4">
        <f>Planet(Panchanga!$G195,2)</f>
        <v>119.02680403233913</v>
      </c>
      <c r="Y195" s="4">
        <f>Planet(Panchanga!$G195,5)</f>
        <v>55.05047364447217</v>
      </c>
      <c r="Z195" s="4">
        <f>Planet(Panchanga!$G195,3)</f>
        <v>161.26316445179162</v>
      </c>
      <c r="AA195" s="4">
        <f>Planet(Panchanga!$G195,6)</f>
        <v>322.22183354565789</v>
      </c>
      <c r="AB195" s="4">
        <f>Planet(Panchanga!$G195,10)</f>
        <v>343.6489438247998</v>
      </c>
      <c r="AC195" s="4" t="str">
        <f>TEXT(Panchanga!$C195+($C196-Panchanga!$C195)/ABS(IF($R196&lt;1,$R196+30,$R196)-Panchanga!$R195)*(ROUNDUP(Panchanga!$R195,0)-Panchanga!$R195),"hh:mm AM/PM")</f>
        <v>07:26 AM</v>
      </c>
      <c r="AD195" s="4"/>
    </row>
    <row r="196" spans="1:30" x14ac:dyDescent="0.2">
      <c r="A196" s="3">
        <f t="shared" si="31"/>
        <v>45539</v>
      </c>
      <c r="B196" s="3">
        <f t="shared" si="32"/>
        <v>45539.229166666664</v>
      </c>
      <c r="C196" s="6">
        <f t="shared" si="33"/>
        <v>45539.249503118139</v>
      </c>
      <c r="D196" s="6">
        <f>sunset(Lat,Long,B196)+TimeZone/24-0.000277777777777778</f>
        <v>45538.762734658594</v>
      </c>
      <c r="E196" s="6">
        <f>PlanetRiseSet(Lat,Long,B196,1,1)+TimeZone/24+0.00103009259259259</f>
        <v>45539.282851808392</v>
      </c>
      <c r="F196" s="6">
        <f>PlanetRiseSet(Lat,Long,B196+1,1,2)+TimeZone/24+0.00103009259259259</f>
        <v>45539.799484582305</v>
      </c>
      <c r="G196" s="17">
        <f>Panchanga!$C196-TimeZone/24</f>
        <v>45539.020336451475</v>
      </c>
      <c r="H196" s="13" t="str">
        <f>INT(P[[#This Row],[Sun]]/30)&amp;"s"&amp;ROUNDUP(MOD(P[[#This Row],[Sun]],30),2)</f>
        <v>4s17.78</v>
      </c>
      <c r="I196" s="13" t="str">
        <f>INT(P[[#This Row],[Moon]]/30)&amp;"s"&amp;ROUNDUP(MOD(P[[#This Row],[Moon]],30),2)</f>
        <v>4s28.06</v>
      </c>
      <c r="J196" s="14">
        <f t="shared" si="30"/>
        <v>45539.020336451475</v>
      </c>
      <c r="K196" s="10" t="str">
        <f>naks(P[[#This Row],[Moon]])</f>
        <v>Uttara Phalguni</v>
      </c>
      <c r="L196" s="15">
        <f>(C197-P[[#This Row],[SunRise]])/(MOD(360+V197-P[[#This Row],[Moon]],360))*(13.3333333333333-MOD(P[[#This Row],[Moon]],13.333333333333))+P[[#This Row],[SunRise]]</f>
        <v>45540.260037509812</v>
      </c>
      <c r="M196" s="4" t="str">
        <f>IF(Panchanga!$R196&gt;15,"K","S")&amp;ROUNDUP(MOD(Panchanga!$R196,15),0)&amp;" ("&amp;ROUND(Panchanga!$R196,2)&amp;")"</f>
        <v>S1 (0.86)</v>
      </c>
      <c r="N196" s="4">
        <f>IF(AND(Panchanga!$R196&lt;28.5,Panchanga!$R196&gt;0.49999),MOD((Panchanga!$R196-0.5)*2,7),MOD((Panchanga!$R196+30-28.5),30)*2+7)</f>
        <v>0.71279999999999988</v>
      </c>
      <c r="O196" s="4" t="str">
        <f>CHOOSE(ROUNDUP(Panchanga!$N196,0),"Bhava","Baalava","Kaulava","Taitula","Garija","Vanija","Vishti","Shakuni","Chatushapda","Naaga","Kimstugna")</f>
        <v>Bhava</v>
      </c>
      <c r="P196" s="11" t="str">
        <f>CHOOSE(ROUNDUP(Panchanga!$S196,0),"viṣkambha","prīti","āyuṣmāna","saubhāgya","śobhana","atigaṇḍa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("&amp;Panchanga!$S196&amp;")"</f>
        <v>sādhya (21.44)</v>
      </c>
      <c r="Q196" s="4">
        <f>IF(AND(Panchanga!$R196&lt;28.5,Panchanga!$R196&gt;0.49999),MOD((Panchanga!$R196-0.5)*2,7),MOD((Panchanga!$R196+30-28.5),30)*2+7)</f>
        <v>0.71279999999999988</v>
      </c>
      <c r="R196" s="4">
        <f>ROUNDUP(MOD(360+P[[#This Row],[Moon]]-P[[#This Row],[Sun]],360)/12,4)</f>
        <v>0.85639999999999994</v>
      </c>
      <c r="S196" s="4">
        <f>ROUNDUP(MOD(P[[#This Row],[Sun]]+P[[#This Row],[Moon]],360)/13.333333333,2)</f>
        <v>21.44</v>
      </c>
      <c r="T196" s="4" t="str">
        <f>SIGN(W197-Panchanga!$W196)*INT(Panchanga!$W196/30+1)&amp;"Ma,"&amp;SIGN(X197-Panchanga!$X196)*INT(Panchanga!$X196/30+1)&amp;"Me,"&amp;SIGN(Y197-Panchanga!$Y196)*INT(Panchanga!$Y196/30+1)&amp;"J, "&amp;SIGN(Z197-Panchanga!$Z196)*INT(Panchanga!$Z196/30+1)&amp;"V,"&amp;SIGN(AA197-Panchanga!$AA196)*INT(Panchanga!$AA196/30+1)&amp;"S,"&amp;INT(Panchanga!$AB196/30+1)&amp;"R"</f>
        <v>3Ma,4Me,2J, 6V,-11S,12R</v>
      </c>
      <c r="U196" s="4">
        <f t="shared" si="34"/>
        <v>137.77954943451692</v>
      </c>
      <c r="V196" s="4">
        <f t="shared" si="35"/>
        <v>148.05634767604192</v>
      </c>
      <c r="W196" s="4">
        <f>Planet(Panchanga!$G196,4)</f>
        <v>65.311992551394411</v>
      </c>
      <c r="X196" s="4">
        <f>Planet(Panchanga!$G196,2)</f>
        <v>119.7977762290155</v>
      </c>
      <c r="Y196" s="4">
        <f>Planet(Panchanga!$G196,5)</f>
        <v>55.159161858291853</v>
      </c>
      <c r="Z196" s="4">
        <f>Planet(Panchanga!$G196,3)</f>
        <v>162.48711410102206</v>
      </c>
      <c r="AA196" s="4">
        <f>Planet(Panchanga!$G196,6)</f>
        <v>322.14556590980357</v>
      </c>
      <c r="AB196" s="4">
        <f>Planet(Panchanga!$G196,10)</f>
        <v>343.59595058554913</v>
      </c>
      <c r="AC196" s="4" t="str">
        <f>TEXT(Panchanga!$C196+($C197-Panchanga!$C196)/ABS(IF($R197&lt;1,$R197+30,$R197)-Panchanga!$R196)*(ROUNDUP(Panchanga!$R196,0)-Panchanga!$R196),"hh:mm AM/PM")</f>
        <v>09:47 AM</v>
      </c>
      <c r="AD196" s="4"/>
    </row>
    <row r="197" spans="1:30" x14ac:dyDescent="0.2">
      <c r="A197" s="3">
        <f t="shared" si="31"/>
        <v>45540</v>
      </c>
      <c r="B197" s="3">
        <f t="shared" si="32"/>
        <v>45540.229166666664</v>
      </c>
      <c r="C197" s="6">
        <f t="shared" si="33"/>
        <v>45540.249524703402</v>
      </c>
      <c r="D197" s="6">
        <f>sunset(Lat,Long,B197)+TimeZone/24-0.000277777777777778</f>
        <v>45539.762253067966</v>
      </c>
      <c r="E197" s="6">
        <f>PlanetRiseSet(Lat,Long,B197,1,1)+TimeZone/24+0.00103009259259259</f>
        <v>45540.313783767786</v>
      </c>
      <c r="F197" s="6">
        <f>PlanetRiseSet(Lat,Long,B197+1,1,2)+TimeZone/24+0.00103009259259259</f>
        <v>45540.822382989492</v>
      </c>
      <c r="G197" s="17">
        <f>Panchanga!$C197-TimeZone/24</f>
        <v>45540.020358036738</v>
      </c>
      <c r="H197" s="13" t="str">
        <f>INT(P[[#This Row],[Sun]]/30)&amp;"s"&amp;ROUNDUP(MOD(P[[#This Row],[Sun]],30),2)</f>
        <v>4s18.75</v>
      </c>
      <c r="I197" s="13" t="str">
        <f>INT(P[[#This Row],[Moon]]/30)&amp;"s"&amp;ROUNDUP(MOD(P[[#This Row],[Moon]],30),2)</f>
        <v>5s9.88</v>
      </c>
      <c r="J197" s="14">
        <f t="shared" si="30"/>
        <v>45540.020358036738</v>
      </c>
      <c r="K197" s="10" t="str">
        <f>naks(P[[#This Row],[Moon]])</f>
        <v>Uttara Phalguni</v>
      </c>
      <c r="L197" s="15">
        <f>(C198-P[[#This Row],[SunRise]])/(MOD(360+V198-P[[#This Row],[Moon]],360))*(13.3333333333333-MOD(P[[#This Row],[Moon]],13.333333333333))+P[[#This Row],[SunRise]]</f>
        <v>45540.260077617248</v>
      </c>
      <c r="M197" s="4" t="str">
        <f>IF(Panchanga!$R197&gt;15,"K","S")&amp;ROUNDUP(MOD(Panchanga!$R197,15),0)&amp;" ("&amp;ROUND(Panchanga!$R197,2)&amp;")"</f>
        <v>S2 (1.76)</v>
      </c>
      <c r="N197" s="4">
        <f>IF(AND(Panchanga!$R197&lt;28.5,Panchanga!$R197&gt;0.49999),MOD((Panchanga!$R197-0.5)*2,7),MOD((Panchanga!$R197+30-28.5),30)*2+7)</f>
        <v>2.5211999999999999</v>
      </c>
      <c r="O197" s="4" t="str">
        <f>CHOOSE(ROUNDUP(Panchanga!$N197,0),"Bhava","Baalava","Kaulava","Taitula","Garija","Vanija","Vishti","Shakuni","Chatushapda","Naaga","Kimstugna")</f>
        <v>Kaulava</v>
      </c>
      <c r="P197" s="11" t="str">
        <f>CHOOSE(ROUNDUP(Panchanga!$S197,0),"viṣkambha","prīti","āyuṣmāna","saubhāgya","śobhana","atigaṇḍa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("&amp;Panchanga!$S197&amp;")"</f>
        <v>śubha (22.4)</v>
      </c>
      <c r="Q197" s="4">
        <f>IF(AND(Panchanga!$R197&lt;28.5,Panchanga!$R197&gt;0.49999),MOD((Panchanga!$R197-0.5)*2,7),MOD((Panchanga!$R197+30-28.5),30)*2+7)</f>
        <v>2.5211999999999999</v>
      </c>
      <c r="R197" s="4">
        <f>ROUNDUP(MOD(360+P[[#This Row],[Moon]]-P[[#This Row],[Sun]],360)/12,4)</f>
        <v>1.7605999999999999</v>
      </c>
      <c r="S197" s="4">
        <f>ROUNDUP(MOD(P[[#This Row],[Sun]]+P[[#This Row],[Moon]],360)/13.333333333,2)</f>
        <v>22.400000000000002</v>
      </c>
      <c r="T197" s="4" t="str">
        <f>SIGN(W198-Panchanga!$W197)*INT(Panchanga!$W197/30+1)&amp;"Ma,"&amp;SIGN(X198-Panchanga!$X197)*INT(Panchanga!$X197/30+1)&amp;"Me,"&amp;SIGN(Y198-Panchanga!$Y197)*INT(Panchanga!$Y197/30+1)&amp;"J, "&amp;SIGN(Z198-Panchanga!$Z197)*INT(Panchanga!$Z197/30+1)&amp;"V,"&amp;SIGN(AA198-Panchanga!$AA197)*INT(Panchanga!$AA197/30+1)&amp;"S,"&amp;INT(Panchanga!$AB197/30+1)&amp;"R"</f>
        <v>3Ma,5Me,2J, 6V,-11S,12R</v>
      </c>
      <c r="U197" s="4">
        <f t="shared" si="34"/>
        <v>138.74907508471307</v>
      </c>
      <c r="V197" s="4">
        <f t="shared" si="35"/>
        <v>159.87574761856698</v>
      </c>
      <c r="W197" s="4">
        <f>Planet(Panchanga!$G197,4)</f>
        <v>65.917493679367155</v>
      </c>
      <c r="X197" s="4">
        <f>Planet(Panchanga!$G197,2)</f>
        <v>120.69610275829309</v>
      </c>
      <c r="Y197" s="4">
        <f>Planet(Panchanga!$G197,5)</f>
        <v>55.265241377050508</v>
      </c>
      <c r="Z197" s="4">
        <f>Planet(Panchanga!$G197,3)</f>
        <v>163.71085666584241</v>
      </c>
      <c r="AA197" s="4">
        <f>Planet(Panchanga!$G197,6)</f>
        <v>322.06912815859482</v>
      </c>
      <c r="AB197" s="4">
        <f>Planet(Panchanga!$G197,10)</f>
        <v>343.54295745464452</v>
      </c>
      <c r="AC197" s="4" t="str">
        <f>TEXT(Panchanga!$C197+($C198-Panchanga!$C197)/ABS(IF($R198&lt;1,$R198+30,$R198)-Panchanga!$R197)*(ROUNDUP(Panchanga!$R197,0)-Panchanga!$R197),"hh:mm AM/PM")</f>
        <v>12:22 PM</v>
      </c>
      <c r="AD197" s="4"/>
    </row>
    <row r="198" spans="1:30" x14ac:dyDescent="0.2">
      <c r="A198" s="3">
        <f t="shared" si="31"/>
        <v>45541</v>
      </c>
      <c r="B198" s="3">
        <f t="shared" si="32"/>
        <v>45541.229166666664</v>
      </c>
      <c r="C198" s="6">
        <f t="shared" si="33"/>
        <v>45541.249544371072</v>
      </c>
      <c r="D198" s="6">
        <f>sunset(Lat,Long,B198)+TimeZone/24-0.000277777777777778</f>
        <v>45540.76176798674</v>
      </c>
      <c r="E198" s="6">
        <f>PlanetRiseSet(Lat,Long,B198,1,1)+TimeZone/24+0.00103009259259259</f>
        <v>45541.344771163691</v>
      </c>
      <c r="F198" s="6">
        <f>PlanetRiseSet(Lat,Long,B198+1,1,2)+TimeZone/24+0.00103009259259259</f>
        <v>45541.84576062268</v>
      </c>
      <c r="G198" s="17">
        <f>Panchanga!$C198-TimeZone/24</f>
        <v>45541.020377704408</v>
      </c>
      <c r="H198" s="13" t="str">
        <f>INT(P[[#This Row],[Sun]]/30)&amp;"s"&amp;ROUNDUP(MOD(P[[#This Row],[Sun]],30),2)</f>
        <v>4s19.72</v>
      </c>
      <c r="I198" s="13" t="str">
        <f>INT(P[[#This Row],[Moon]]/30)&amp;"s"&amp;ROUNDUP(MOD(P[[#This Row],[Moon]],30),2)</f>
        <v>5s21.66</v>
      </c>
      <c r="J198" s="14">
        <f t="shared" si="30"/>
        <v>45541.020377704408</v>
      </c>
      <c r="K198" s="10" t="str">
        <f>naks(P[[#This Row],[Moon]])</f>
        <v>Hasta</v>
      </c>
      <c r="L198" s="15">
        <f>(C199-P[[#This Row],[SunRise]])/(MOD(360+V199-P[[#This Row],[Moon]],360))*(13.3333333333333-MOD(P[[#This Row],[Moon]],13.333333333333))+P[[#This Row],[SunRise]]</f>
        <v>45541.392445779515</v>
      </c>
      <c r="M198" s="4" t="str">
        <f>IF(Panchanga!$R198&gt;15,"K","S")&amp;ROUNDUP(MOD(Panchanga!$R198,15),0)&amp;" ("&amp;ROUND(Panchanga!$R198,2)&amp;")"</f>
        <v>S3 (2.66)</v>
      </c>
      <c r="N198" s="4">
        <f>IF(AND(Panchanga!$R198&lt;28.5,Panchanga!$R198&gt;0.49999),MOD((Panchanga!$R198-0.5)*2,7),MOD((Panchanga!$R198+30-28.5),30)*2+7)</f>
        <v>4.3220000000000001</v>
      </c>
      <c r="O198" s="4" t="str">
        <f>CHOOSE(ROUNDUP(Panchanga!$N198,0),"Bhava","Baalava","Kaulava","Taitula","Garija","Vanija","Vishti","Shakuni","Chatushapda","Naaga","Kimstugna")</f>
        <v>Garija</v>
      </c>
      <c r="P198" s="11" t="str">
        <f>CHOOSE(ROUNDUP(Panchanga!$S198,0),"viṣkambha","prīti","āyuṣmāna","saubhāgya","śobhana","atigaṇḍa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("&amp;Panchanga!$S198&amp;")"</f>
        <v>śukla (23.36)</v>
      </c>
      <c r="Q198" s="4">
        <f>IF(AND(Panchanga!$R198&lt;28.5,Panchanga!$R198&gt;0.49999),MOD((Panchanga!$R198-0.5)*2,7),MOD((Panchanga!$R198+30-28.5),30)*2+7)</f>
        <v>4.3220000000000001</v>
      </c>
      <c r="R198" s="4">
        <f>ROUNDUP(MOD(360+P[[#This Row],[Moon]]-P[[#This Row],[Sun]],360)/12,4)</f>
        <v>2.661</v>
      </c>
      <c r="S198" s="4">
        <f>ROUNDUP(MOD(P[[#This Row],[Sun]]+P[[#This Row],[Moon]],360)/13.333333333,2)</f>
        <v>23.360000000000003</v>
      </c>
      <c r="T198" s="4" t="str">
        <f>SIGN(W199-Panchanga!$W198)*INT(Panchanga!$W198/30+1)&amp;"Ma,"&amp;SIGN(X199-Panchanga!$X198)*INT(Panchanga!$X198/30+1)&amp;"Me,"&amp;SIGN(Y199-Panchanga!$Y198)*INT(Panchanga!$Y198/30+1)&amp;"J, "&amp;SIGN(Z199-Panchanga!$Z198)*INT(Panchanga!$Z198/30+1)&amp;"V,"&amp;SIGN(AA199-Panchanga!$AA198)*INT(Panchanga!$AA198/30+1)&amp;"S,"&amp;INT(Panchanga!$AB198/30+1)&amp;"R"</f>
        <v>3Ma,5Me,2J, 6V,-11S,12R</v>
      </c>
      <c r="U198" s="4">
        <f t="shared" si="34"/>
        <v>139.71904945040689</v>
      </c>
      <c r="V198" s="4">
        <f t="shared" si="35"/>
        <v>171.65020413746433</v>
      </c>
      <c r="W198" s="4">
        <f>Planet(Panchanga!$G198,4)</f>
        <v>66.520429233437852</v>
      </c>
      <c r="X198" s="4">
        <f>Planet(Panchanga!$G198,2)</f>
        <v>121.71577513518697</v>
      </c>
      <c r="Y198" s="4">
        <f>Planet(Panchanga!$G198,5)</f>
        <v>55.368682929256821</v>
      </c>
      <c r="Z198" s="4">
        <f>Planet(Panchanga!$G198,3)</f>
        <v>164.93437942221507</v>
      </c>
      <c r="AA198" s="4">
        <f>Planet(Panchanga!$G198,6)</f>
        <v>321.99256257472069</v>
      </c>
      <c r="AB198" s="4">
        <f>Planet(Panchanga!$G198,10)</f>
        <v>343.48996442542517</v>
      </c>
      <c r="AC198" s="4" t="str">
        <f>TEXT(Panchanga!$C198+($C199-Panchanga!$C198)/ABS(IF($R199&lt;1,$R199+30,$R199)-Panchanga!$R198)*(ROUNDUP(Panchanga!$R198,0)-Panchanga!$R198),"hh:mm AM/PM")</f>
        <v>03:01 PM</v>
      </c>
      <c r="AD198" s="4"/>
    </row>
    <row r="199" spans="1:30" x14ac:dyDescent="0.2">
      <c r="A199" s="3">
        <f t="shared" si="31"/>
        <v>45542</v>
      </c>
      <c r="B199" s="3">
        <f t="shared" si="32"/>
        <v>45542.229166666664</v>
      </c>
      <c r="C199" s="6">
        <f t="shared" si="33"/>
        <v>45542.249562254794</v>
      </c>
      <c r="D199" s="6">
        <f>sunset(Lat,Long,B199)+TimeZone/24-0.000277777777777778</f>
        <v>45541.761279642626</v>
      </c>
      <c r="E199" s="6">
        <f>PlanetRiseSet(Lat,Long,B199,1,1)+TimeZone/24+0.00103009259259259</f>
        <v>45542.37649955057</v>
      </c>
      <c r="F199" s="6">
        <f>PlanetRiseSet(Lat,Long,B199+1,1,2)+TimeZone/24+0.00103009259259259</f>
        <v>45542.870393810015</v>
      </c>
      <c r="G199" s="17">
        <f>Panchanga!$C199-TimeZone/24</f>
        <v>45542.02039558813</v>
      </c>
      <c r="H199" s="13" t="str">
        <f>INT(P[[#This Row],[Sun]]/30)&amp;"s"&amp;ROUNDUP(MOD(P[[#This Row],[Sun]],30),2)</f>
        <v>4s20.69</v>
      </c>
      <c r="I199" s="13" t="str">
        <f>INT(P[[#This Row],[Moon]]/30)&amp;"s"&amp;ROUNDUP(MOD(P[[#This Row],[Moon]],30),2)</f>
        <v>6s3.43</v>
      </c>
      <c r="J199" s="14">
        <f t="shared" si="30"/>
        <v>45542.02039558813</v>
      </c>
      <c r="K199" s="10" t="str">
        <f>naks(P[[#This Row],[Moon]])</f>
        <v>Chitra</v>
      </c>
      <c r="L199" s="15">
        <f>(C200-P[[#This Row],[SunRise]])/(MOD(360+V200-P[[#This Row],[Moon]],360))*(13.3333333333333-MOD(P[[#This Row],[Moon]],13.333333333333))+P[[#This Row],[SunRise]]</f>
        <v>45542.523039662396</v>
      </c>
      <c r="M199" s="4" t="str">
        <f>IF(Panchanga!$R199&gt;15,"K","S")&amp;ROUNDUP(MOD(Panchanga!$R199,15),0)&amp;" ("&amp;ROUND(Panchanga!$R199,2)&amp;")"</f>
        <v>S4 (3.56)</v>
      </c>
      <c r="N199" s="4">
        <f>IF(AND(Panchanga!$R199&lt;28.5,Panchanga!$R199&gt;0.49999),MOD((Panchanga!$R199-0.5)*2,7),MOD((Panchanga!$R199+30-28.5),30)*2+7)</f>
        <v>6.1234000000000002</v>
      </c>
      <c r="O199" s="4" t="str">
        <f>CHOOSE(ROUNDUP(Panchanga!$N199,0),"Bhava","Baalava","Kaulava","Taitula","Garija","Vanija","Vishti","Shakuni","Chatushapda","Naaga","Kimstugna")</f>
        <v>Vishti</v>
      </c>
      <c r="P199" s="11" t="str">
        <f>CHOOSE(ROUNDUP(Panchanga!$S199,0),"viṣkambha","prīti","āyuṣmāna","saubhāgya","śobhana","atigaṇḍa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("&amp;Panchanga!$S199&amp;")"</f>
        <v>brahma (24.31)</v>
      </c>
      <c r="Q199" s="4">
        <f>IF(AND(Panchanga!$R199&lt;28.5,Panchanga!$R199&gt;0.49999),MOD((Panchanga!$R199-0.5)*2,7),MOD((Panchanga!$R199+30-28.5),30)*2+7)</f>
        <v>6.1234000000000002</v>
      </c>
      <c r="R199" s="4">
        <f>ROUNDUP(MOD(360+P[[#This Row],[Moon]]-P[[#This Row],[Sun]],360)/12,4)</f>
        <v>3.5617000000000001</v>
      </c>
      <c r="S199" s="4">
        <f>ROUNDUP(MOD(P[[#This Row],[Sun]]+P[[#This Row],[Moon]],360)/13.333333333,2)</f>
        <v>24.310000000000002</v>
      </c>
      <c r="T199" s="4" t="str">
        <f>SIGN(W200-Panchanga!$W199)*INT(Panchanga!$W199/30+1)&amp;"Ma,"&amp;SIGN(X200-Panchanga!$X199)*INT(Panchanga!$X199/30+1)&amp;"Me,"&amp;SIGN(Y200-Panchanga!$Y199)*INT(Panchanga!$Y199/30+1)&amp;"J, "&amp;SIGN(Z200-Panchanga!$Z199)*INT(Panchanga!$Z199/30+1)&amp;"V,"&amp;SIGN(AA200-Panchanga!$AA199)*INT(Panchanga!$AA199/30+1)&amp;"S,"&amp;INT(Panchanga!$AB199/30+1)&amp;"R"</f>
        <v>3Ma,5Me,2J, 6V,-11S,12R</v>
      </c>
      <c r="U199" s="4">
        <f t="shared" si="34"/>
        <v>140.6894655848794</v>
      </c>
      <c r="V199" s="4">
        <f t="shared" si="35"/>
        <v>183.42866954830299</v>
      </c>
      <c r="W199" s="4">
        <f>Planet(Panchanga!$G199,4)</f>
        <v>67.120765025805042</v>
      </c>
      <c r="X199" s="4">
        <f>Planet(Panchanga!$G199,2)</f>
        <v>122.84982966354615</v>
      </c>
      <c r="Y199" s="4">
        <f>Planet(Panchanga!$G199,5)</f>
        <v>55.469457945813787</v>
      </c>
      <c r="Z199" s="4">
        <f>Planet(Panchanga!$G199,3)</f>
        <v>166.1576696228291</v>
      </c>
      <c r="AA199" s="4">
        <f>Planet(Panchanga!$G199,6)</f>
        <v>321.91591144471477</v>
      </c>
      <c r="AB199" s="4">
        <f>Planet(Panchanga!$G199,10)</f>
        <v>343.43697149068379</v>
      </c>
      <c r="AC199" s="4" t="str">
        <f>TEXT(Panchanga!$C199+($C200-Panchanga!$C199)/ABS(IF($R200&lt;1,$R200+30,$R200)-Panchanga!$R199)*(ROUNDUP(Panchanga!$R199,0)-Panchanga!$R199),"hh:mm AM/PM")</f>
        <v>05:36 PM</v>
      </c>
      <c r="AD199" s="4"/>
    </row>
    <row r="200" spans="1:30" x14ac:dyDescent="0.2">
      <c r="A200" s="3">
        <f t="shared" si="31"/>
        <v>45543</v>
      </c>
      <c r="B200" s="3">
        <f t="shared" si="32"/>
        <v>45543.229166666664</v>
      </c>
      <c r="C200" s="6">
        <f t="shared" si="33"/>
        <v>45543.249578495197</v>
      </c>
      <c r="D200" s="6">
        <f>sunset(Lat,Long,B200)+TimeZone/24-0.000277777777777778</f>
        <v>45542.760788269385</v>
      </c>
      <c r="E200" s="6">
        <f>PlanetRiseSet(Lat,Long,B200,1,1)+TimeZone/24+0.00103009259259259</f>
        <v>45543.409604682274</v>
      </c>
      <c r="F200" s="6">
        <f>PlanetRiseSet(Lat,Long,B200+1,1,2)+TimeZone/24+0.00103009259259259</f>
        <v>45543.897083167139</v>
      </c>
      <c r="G200" s="17">
        <f>Panchanga!$C200-TimeZone/24</f>
        <v>45543.020411828533</v>
      </c>
      <c r="H200" s="13" t="str">
        <f>INT(P[[#This Row],[Sun]]/30)&amp;"s"&amp;ROUNDUP(MOD(P[[#This Row],[Sun]],30),2)</f>
        <v>4s21.67</v>
      </c>
      <c r="I200" s="13" t="str">
        <f>INT(P[[#This Row],[Moon]]/30)&amp;"s"&amp;ROUNDUP(MOD(P[[#This Row],[Moon]],30),2)</f>
        <v>6s15.27</v>
      </c>
      <c r="J200" s="14">
        <f t="shared" si="30"/>
        <v>45543.020411828533</v>
      </c>
      <c r="K200" s="10" t="str">
        <f>naks(P[[#This Row],[Moon]])</f>
        <v>Swati</v>
      </c>
      <c r="L200" s="15">
        <f>(C201-P[[#This Row],[SunRise]])/(MOD(360+V201-P[[#This Row],[Moon]],360))*(13.3333333333333-MOD(P[[#This Row],[Moon]],13.333333333333))+P[[#This Row],[SunRise]]</f>
        <v>45543.644887121678</v>
      </c>
      <c r="M200" s="4" t="str">
        <f>IF(Panchanga!$R200&gt;15,"K","S")&amp;ROUNDUP(MOD(Panchanga!$R200,15),0)&amp;" ("&amp;ROUND(Panchanga!$R200,2)&amp;")"</f>
        <v>S5 (4.47)</v>
      </c>
      <c r="N200" s="4">
        <f>IF(AND(Panchanga!$R200&lt;28.5,Panchanga!$R200&gt;0.49999),MOD((Panchanga!$R200-0.5)*2,7),MOD((Panchanga!$R200+30-28.5),30)*2+7)</f>
        <v>0.93479999999999919</v>
      </c>
      <c r="O200" s="4" t="str">
        <f>CHOOSE(ROUNDUP(Panchanga!$N200,0),"Bhava","Baalava","Kaulava","Taitula","Garija","Vanija","Vishti","Shakuni","Chatushapda","Naaga","Kimstugna")</f>
        <v>Bhava</v>
      </c>
      <c r="P200" s="11" t="str">
        <f>CHOOSE(ROUNDUP(Panchanga!$S200,0),"viṣkambha","prīti","āyuṣmāna","saubhāgya","śobhana","atigaṇḍa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("&amp;Panchanga!$S200&amp;")"</f>
        <v>mahendra (25.27)</v>
      </c>
      <c r="Q200" s="4">
        <f>IF(AND(Panchanga!$R200&lt;28.5,Panchanga!$R200&gt;0.49999),MOD((Panchanga!$R200-0.5)*2,7),MOD((Panchanga!$R200+30-28.5),30)*2+7)</f>
        <v>0.93479999999999919</v>
      </c>
      <c r="R200" s="4">
        <f>ROUNDUP(MOD(360+P[[#This Row],[Moon]]-P[[#This Row],[Sun]],360)/12,4)</f>
        <v>4.4673999999999996</v>
      </c>
      <c r="S200" s="4">
        <f>ROUNDUP(MOD(P[[#This Row],[Sun]]+P[[#This Row],[Moon]],360)/13.333333333,2)</f>
        <v>25.270000000000003</v>
      </c>
      <c r="T200" s="4" t="str">
        <f>SIGN(W201-Panchanga!$W200)*INT(Panchanga!$W200/30+1)&amp;"Ma,"&amp;SIGN(X201-Panchanga!$X200)*INT(Panchanga!$X200/30+1)&amp;"Me,"&amp;SIGN(Y201-Panchanga!$Y200)*INT(Panchanga!$Y200/30+1)&amp;"J, "&amp;SIGN(Z201-Panchanga!$Z200)*INT(Panchanga!$Z200/30+1)&amp;"V,"&amp;SIGN(AA201-Panchanga!$AA200)*INT(Panchanga!$AA200/30+1)&amp;"S,"&amp;INT(Panchanga!$AB200/30+1)&amp;"R"</f>
        <v>3Ma,5Me,2J, 6V,-11S,12R</v>
      </c>
      <c r="U200" s="4">
        <f t="shared" si="34"/>
        <v>141.66031751177692</v>
      </c>
      <c r="V200" s="4">
        <f t="shared" si="35"/>
        <v>195.26895183399466</v>
      </c>
      <c r="W200" s="4">
        <f>Planet(Panchanga!$G200,4)</f>
        <v>67.718467725796543</v>
      </c>
      <c r="X200" s="4">
        <f>Planet(Panchanga!$G200,2)</f>
        <v>124.09049270111282</v>
      </c>
      <c r="Y200" s="4">
        <f>Planet(Panchanga!$G200,5)</f>
        <v>55.567538557520869</v>
      </c>
      <c r="Z200" s="4">
        <f>Planet(Panchanga!$G200,3)</f>
        <v>167.38071459836334</v>
      </c>
      <c r="AA200" s="4">
        <f>Planet(Panchanga!$G200,6)</f>
        <v>321.8392169903596</v>
      </c>
      <c r="AB200" s="4">
        <f>Planet(Panchanga!$G200,10)</f>
        <v>343.38397864304733</v>
      </c>
      <c r="AC200" s="4" t="str">
        <f>TEXT(Panchanga!$C200+($C201-Panchanga!$C200)/ABS(IF($R201&lt;1,$R201+30,$R201)-Panchanga!$R200)*(ROUNDUP(Panchanga!$R200,0)-Panchanga!$R200),"hh:mm AM/PM")</f>
        <v>07:56 PM</v>
      </c>
      <c r="AD200" s="4"/>
    </row>
    <row r="201" spans="1:30" x14ac:dyDescent="0.2">
      <c r="A201" s="3">
        <f t="shared" si="31"/>
        <v>45544</v>
      </c>
      <c r="B201" s="3">
        <f t="shared" si="32"/>
        <v>45544.229166666664</v>
      </c>
      <c r="C201" s="6">
        <f t="shared" si="33"/>
        <v>45544.249593238965</v>
      </c>
      <c r="D201" s="6">
        <f>sunset(Lat,Long,B201)+TimeZone/24-0.000277777777777778</f>
        <v>45543.760294104039</v>
      </c>
      <c r="E201" s="6">
        <f>PlanetRiseSet(Lat,Long,B201,1,1)+TimeZone/24+0.00103009259259259</f>
        <v>45544.444587374259</v>
      </c>
      <c r="F201" s="6">
        <f>PlanetRiseSet(Lat,Long,B201+1,1,2)+TimeZone/24+0.00103009259259259</f>
        <v>45544.926614817385</v>
      </c>
      <c r="G201" s="17">
        <f>Panchanga!$C201-TimeZone/24</f>
        <v>45544.0204265723</v>
      </c>
      <c r="H201" s="13" t="str">
        <f>INT(P[[#This Row],[Sun]]/30)&amp;"s"&amp;ROUNDUP(MOD(P[[#This Row],[Sun]],30),2)</f>
        <v>4s22.64</v>
      </c>
      <c r="I201" s="13" t="str">
        <f>INT(P[[#This Row],[Moon]]/30)&amp;"s"&amp;ROUNDUP(MOD(P[[#This Row],[Moon]],30),2)</f>
        <v>6s27.24</v>
      </c>
      <c r="J201" s="14">
        <f t="shared" si="30"/>
        <v>45544.0204265723</v>
      </c>
      <c r="K201" s="10" t="str">
        <f>naks(P[[#This Row],[Moon]])</f>
        <v>Visakha</v>
      </c>
      <c r="L201" s="15">
        <f>(C202-P[[#This Row],[SunRise]])/(MOD(360+V202-P[[#This Row],[Moon]],360))*(13.3333333333333-MOD(P[[#This Row],[Moon]],13.333333333333))+P[[#This Row],[SunRise]]</f>
        <v>45544.750585744754</v>
      </c>
      <c r="M201" s="4" t="str">
        <f>IF(Panchanga!$R201&gt;15,"K","S")&amp;ROUNDUP(MOD(Panchanga!$R201,15),0)&amp;" ("&amp;ROUND(Panchanga!$R201,2)&amp;")"</f>
        <v>S6 (5.38)</v>
      </c>
      <c r="N201" s="4">
        <f>IF(AND(Panchanga!$R201&lt;28.5,Panchanga!$R201&gt;0.49999),MOD((Panchanga!$R201-0.5)*2,7),MOD((Panchanga!$R201+30-28.5),30)*2+7)</f>
        <v>2.7675999999999998</v>
      </c>
      <c r="O201" s="4" t="str">
        <f>CHOOSE(ROUNDUP(Panchanga!$N201,0),"Bhava","Baalava","Kaulava","Taitula","Garija","Vanija","Vishti","Shakuni","Chatushapda","Naaga","Kimstugna")</f>
        <v>Kaulava</v>
      </c>
      <c r="P201" s="11" t="str">
        <f>CHOOSE(ROUNDUP(Panchanga!$S201,0),"viṣkambha","prīti","āyuṣmāna","saubhāgya","śobhana","atigaṇḍa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("&amp;Panchanga!$S201&amp;")"</f>
        <v>vaidhṛti (26.25)</v>
      </c>
      <c r="Q201" s="4">
        <f>IF(AND(Panchanga!$R201&lt;28.5,Panchanga!$R201&gt;0.49999),MOD((Panchanga!$R201-0.5)*2,7),MOD((Panchanga!$R201+30-28.5),30)*2+7)</f>
        <v>2.7675999999999998</v>
      </c>
      <c r="R201" s="4">
        <f>ROUNDUP(MOD(360+P[[#This Row],[Moon]]-P[[#This Row],[Sun]],360)/12,4)</f>
        <v>5.3837999999999999</v>
      </c>
      <c r="S201" s="4">
        <f>ROUNDUP(MOD(P[[#This Row],[Sun]]+P[[#This Row],[Moon]],360)/13.333333333,2)</f>
        <v>26.25</v>
      </c>
      <c r="T201" s="4" t="str">
        <f>SIGN(W202-Panchanga!$W201)*INT(Panchanga!$W201/30+1)&amp;"Ma,"&amp;SIGN(X202-Panchanga!$X201)*INT(Panchanga!$X201/30+1)&amp;"Me,"&amp;SIGN(Y202-Panchanga!$Y201)*INT(Panchanga!$Y201/30+1)&amp;"J, "&amp;SIGN(Z202-Panchanga!$Z201)*INT(Panchanga!$Z201/30+1)&amp;"V,"&amp;SIGN(AA202-Panchanga!$AA201)*INT(Panchanga!$AA201/30+1)&amp;"S,"&amp;INT(Panchanga!$AB201/30+1)&amp;"R"</f>
        <v>3Ma,5Me,2J, 6V,-11S,12R</v>
      </c>
      <c r="U201" s="4">
        <f t="shared" si="34"/>
        <v>142.63160041305363</v>
      </c>
      <c r="V201" s="4">
        <f t="shared" si="35"/>
        <v>207.23711443542038</v>
      </c>
      <c r="W201" s="4">
        <f>Planet(Panchanga!$G201,4)</f>
        <v>68.313504884664653</v>
      </c>
      <c r="X201" s="4">
        <f>Planet(Panchanga!$G201,2)</f>
        <v>125.42933939631267</v>
      </c>
      <c r="Y201" s="4">
        <f>Planet(Panchanga!$G201,5)</f>
        <v>55.662897607611789</v>
      </c>
      <c r="Z201" s="4">
        <f>Planet(Panchanga!$G201,3)</f>
        <v>168.60350184476141</v>
      </c>
      <c r="AA201" s="4">
        <f>Planet(Panchanga!$G201,6)</f>
        <v>321.76252129415963</v>
      </c>
      <c r="AB201" s="4">
        <f>Planet(Panchanga!$G201,10)</f>
        <v>343.33098587476132</v>
      </c>
      <c r="AC201" s="4" t="str">
        <f>TEXT(Panchanga!$C201+($C202-Panchanga!$C201)/ABS(IF($R202&lt;1,$R202+30,$R202)-Panchanga!$R201)*(ROUNDUP(Panchanga!$R201,0)-Panchanga!$R201),"hh:mm AM/PM")</f>
        <v>09:50 PM</v>
      </c>
      <c r="AD201" s="4"/>
    </row>
    <row r="202" spans="1:30" x14ac:dyDescent="0.2">
      <c r="A202" s="3">
        <f t="shared" si="31"/>
        <v>45545</v>
      </c>
      <c r="B202" s="3">
        <f t="shared" si="32"/>
        <v>45545.229166666664</v>
      </c>
      <c r="C202" s="6">
        <f t="shared" si="33"/>
        <v>45545.249606641162</v>
      </c>
      <c r="D202" s="6">
        <f>sunset(Lat,Long,B202)+TimeZone/24-0.000277777777777778</f>
        <v>45544.759797390128</v>
      </c>
      <c r="E202" s="6">
        <f>PlanetRiseSet(Lat,Long,B202,1,1)+TimeZone/24+0.00103009259259259</f>
        <v>45545.481665882435</v>
      </c>
      <c r="F202" s="6">
        <f>PlanetRiseSet(Lat,Long,B202+1,1,2)+TimeZone/24+0.00103009259259259</f>
        <v>45545.959634303734</v>
      </c>
      <c r="G202" s="17">
        <f>Panchanga!$C202-TimeZone/24</f>
        <v>45545.020439974498</v>
      </c>
      <c r="H202" s="13" t="str">
        <f>INT(P[[#This Row],[Sun]]/30)&amp;"s"&amp;ROUNDUP(MOD(P[[#This Row],[Sun]],30),2)</f>
        <v>4s23.61</v>
      </c>
      <c r="I202" s="13" t="str">
        <f>INT(P[[#This Row],[Moon]]/30)&amp;"s"&amp;ROUNDUP(MOD(P[[#This Row],[Moon]],30),2)</f>
        <v>7s9.41</v>
      </c>
      <c r="J202" s="14">
        <f t="shared" ref="J202:J265" si="36">G202</f>
        <v>45545.020439974498</v>
      </c>
      <c r="K202" s="10" t="str">
        <f>naks(P[[#This Row],[Moon]])</f>
        <v>Anuradha</v>
      </c>
      <c r="L202" s="15">
        <f>(C203-P[[#This Row],[SunRise]])/(MOD(360+V203-P[[#This Row],[Moon]],360))*(13.3333333333333-MOD(P[[#This Row],[Moon]],13.333333333333))+P[[#This Row],[SunRise]]</f>
        <v>45545.833119326009</v>
      </c>
      <c r="M202" s="4" t="str">
        <f>IF(Panchanga!$R202&gt;15,"K","S")&amp;ROUNDUP(MOD(Panchanga!$R202,15),0)&amp;" ("&amp;ROUND(Panchanga!$R202,2)&amp;")"</f>
        <v>S7 (6.32)</v>
      </c>
      <c r="N202" s="4">
        <f>IF(AND(Panchanga!$R202&lt;28.5,Panchanga!$R202&gt;0.49999),MOD((Panchanga!$R202-0.5)*2,7),MOD((Panchanga!$R202+30-28.5),30)*2+7)</f>
        <v>4.633799999999999</v>
      </c>
      <c r="O202" s="4" t="str">
        <f>CHOOSE(ROUNDUP(Panchanga!$N202,0),"Bhava","Baalava","Kaulava","Taitula","Garija","Vanija","Vishti","Shakuni","Chatushapda","Naaga","Kimstugna")</f>
        <v>Garija</v>
      </c>
      <c r="P202" s="11" t="str">
        <f>CHOOSE(ROUNDUP(Panchanga!$S202,0),"viṣkambha","prīti","āyuṣmāna","saubhāgya","śobhana","atigaṇḍa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("&amp;Panchanga!$S202&amp;")"</f>
        <v>viṣkambha (0.23)</v>
      </c>
      <c r="Q202" s="4">
        <f>IF(AND(Panchanga!$R202&lt;28.5,Panchanga!$R202&gt;0.49999),MOD((Panchanga!$R202-0.5)*2,7),MOD((Panchanga!$R202+30-28.5),30)*2+7)</f>
        <v>4.633799999999999</v>
      </c>
      <c r="R202" s="4">
        <f>ROUNDUP(MOD(360+P[[#This Row],[Moon]]-P[[#This Row],[Sun]],360)/12,4)</f>
        <v>6.3168999999999995</v>
      </c>
      <c r="S202" s="4">
        <f>ROUNDUP(MOD(P[[#This Row],[Sun]]+P[[#This Row],[Moon]],360)/13.333333333,2)</f>
        <v>0.23</v>
      </c>
      <c r="T202" s="4" t="str">
        <f>SIGN(W203-Panchanga!$W202)*INT(Panchanga!$W202/30+1)&amp;"Ma,"&amp;SIGN(X203-Panchanga!$X202)*INT(Panchanga!$X202/30+1)&amp;"Me,"&amp;SIGN(Y203-Panchanga!$Y202)*INT(Panchanga!$Y202/30+1)&amp;"J, "&amp;SIGN(Z203-Panchanga!$Z202)*INT(Panchanga!$Z202/30+1)&amp;"V,"&amp;SIGN(AA203-Panchanga!$AA202)*INT(Panchanga!$AA202/30+1)&amp;"S,"&amp;INT(Panchanga!$AB202/30+1)&amp;"R"</f>
        <v>3Ma,5Me,2J, 6V,-11S,12R</v>
      </c>
      <c r="U202" s="4">
        <f t="shared" si="34"/>
        <v>143.60331089617685</v>
      </c>
      <c r="V202" s="4">
        <f t="shared" si="35"/>
        <v>219.40556112909778</v>
      </c>
      <c r="W202" s="4">
        <f>Planet(Panchanga!$G202,4)</f>
        <v>68.905845004608949</v>
      </c>
      <c r="X202" s="4">
        <f>Planet(Panchanga!$G202,2)</f>
        <v>126.85746667895705</v>
      </c>
      <c r="Y202" s="4">
        <f>Planet(Panchanga!$G202,5)</f>
        <v>55.755508670813853</v>
      </c>
      <c r="Z202" s="4">
        <f>Planet(Panchanga!$G202,3)</f>
        <v>169.82601914946036</v>
      </c>
      <c r="AA202" s="4">
        <f>Planet(Panchanga!$G202,6)</f>
        <v>321.6858662208204</v>
      </c>
      <c r="AB202" s="4">
        <f>Planet(Panchanga!$G202,10)</f>
        <v>343.27799317754153</v>
      </c>
      <c r="AC202" s="4" t="str">
        <f>TEXT(Panchanga!$C202+($C203-Panchanga!$C202)/ABS(IF($R203&lt;1,$R203+30,$R203)-Panchanga!$R202)*(ROUNDUP(Panchanga!$R202,0)-Panchanga!$R202),"hh:mm AM/PM")</f>
        <v>11:08 PM</v>
      </c>
      <c r="AD202" s="4"/>
    </row>
    <row r="203" spans="1:30" x14ac:dyDescent="0.2">
      <c r="A203" s="3">
        <f t="shared" ref="A203:A266" si="37">A202+1</f>
        <v>45546</v>
      </c>
      <c r="B203" s="3">
        <f t="shared" si="32"/>
        <v>45546.229166666664</v>
      </c>
      <c r="C203" s="6">
        <f t="shared" si="33"/>
        <v>45546.249618862908</v>
      </c>
      <c r="D203" s="6">
        <f>sunset(Lat,Long,B203)+TimeZone/24-0.000277777777777778</f>
        <v>45545.759298376783</v>
      </c>
      <c r="E203" s="6">
        <f>PlanetRiseSet(Lat,Long,B203,1,1)+TimeZone/24+0.00103009259259259</f>
        <v>45545.48166598814</v>
      </c>
      <c r="F203" s="6">
        <f>PlanetRiseSet(Lat,Long,B203+1,1,2)+TimeZone/24+0.00103009259259259</f>
        <v>45546.996410526954</v>
      </c>
      <c r="G203" s="17">
        <f>Panchanga!$C203-TimeZone/24</f>
        <v>45546.020452196244</v>
      </c>
      <c r="H203" s="13" t="str">
        <f>INT(P[[#This Row],[Sun]]/30)&amp;"s"&amp;ROUNDUP(MOD(P[[#This Row],[Sun]],30),2)</f>
        <v>4s24.58</v>
      </c>
      <c r="I203" s="13" t="str">
        <f>INT(P[[#This Row],[Moon]]/30)&amp;"s"&amp;ROUNDUP(MOD(P[[#This Row],[Moon]],30),2)</f>
        <v>7s21.85</v>
      </c>
      <c r="J203" s="14">
        <f t="shared" si="36"/>
        <v>45546.020452196244</v>
      </c>
      <c r="K203" s="10" t="str">
        <f>naks(P[[#This Row],[Moon]])</f>
        <v>Jyestha</v>
      </c>
      <c r="L203" s="15">
        <f>(C204-P[[#This Row],[SunRise]])/(MOD(360+V204-P[[#This Row],[Moon]],360))*(13.3333333333333-MOD(P[[#This Row],[Moon]],13.333333333333))+P[[#This Row],[SunRise]]</f>
        <v>45546.886787536176</v>
      </c>
      <c r="M203" s="4" t="str">
        <f>IF(Panchanga!$R203&gt;15,"K","S")&amp;ROUNDUP(MOD(Panchanga!$R203,15),0)&amp;" ("&amp;ROUND(Panchanga!$R203,2)&amp;")"</f>
        <v>S8 (7.27)</v>
      </c>
      <c r="N203" s="4">
        <f>IF(AND(Panchanga!$R203&lt;28.5,Panchanga!$R203&gt;0.49999),MOD((Panchanga!$R203-0.5)*2,7),MOD((Panchanga!$R203+30-28.5),30)*2+7)</f>
        <v>6.5457999999999998</v>
      </c>
      <c r="O203" s="4" t="str">
        <f>CHOOSE(ROUNDUP(Panchanga!$N203,0),"Bhava","Baalava","Kaulava","Taitula","Garija","Vanija","Vishti","Shakuni","Chatushapda","Naaga","Kimstugna")</f>
        <v>Vishti</v>
      </c>
      <c r="P203" s="11" t="str">
        <f>CHOOSE(ROUNDUP(Panchanga!$S203,0),"viṣkambha","prīti","āyuṣmāna","saubhāgya","śobhana","atigaṇḍa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("&amp;Panchanga!$S203&amp;")"</f>
        <v>prīti (1.24)</v>
      </c>
      <c r="Q203" s="4">
        <f>IF(AND(Panchanga!$R203&lt;28.5,Panchanga!$R203&gt;0.49999),MOD((Panchanga!$R203-0.5)*2,7),MOD((Panchanga!$R203+30-28.5),30)*2+7)</f>
        <v>6.5457999999999998</v>
      </c>
      <c r="R203" s="4">
        <f>ROUNDUP(MOD(360+P[[#This Row],[Moon]]-P[[#This Row],[Sun]],360)/12,4)</f>
        <v>7.2728999999999999</v>
      </c>
      <c r="S203" s="4">
        <f>ROUNDUP(MOD(P[[#This Row],[Sun]]+P[[#This Row],[Moon]],360)/13.333333333,2)</f>
        <v>1.24</v>
      </c>
      <c r="T203" s="4" t="str">
        <f>SIGN(W204-Panchanga!$W203)*INT(Panchanga!$W203/30+1)&amp;"Ma,"&amp;SIGN(X204-Panchanga!$X203)*INT(Panchanga!$X203/30+1)&amp;"Me,"&amp;SIGN(Y204-Panchanga!$Y203)*INT(Panchanga!$Y203/30+1)&amp;"J, "&amp;SIGN(Z204-Panchanga!$Z203)*INT(Panchanga!$Z203/30+1)&amp;"V,"&amp;SIGN(AA204-Panchanga!$AA203)*INT(Panchanga!$AA203/30+1)&amp;"S,"&amp;INT(Panchanga!$AB203/30+1)&amp;"R"</f>
        <v>3Ma,5Me,2J, 6V,-11S,12R</v>
      </c>
      <c r="U203" s="4">
        <f t="shared" si="34"/>
        <v>144.57544732994671</v>
      </c>
      <c r="V203" s="4">
        <f t="shared" si="35"/>
        <v>231.84949674439517</v>
      </c>
      <c r="W203" s="4">
        <f>Planet(Panchanga!$G203,4)</f>
        <v>69.49545759126228</v>
      </c>
      <c r="X203" s="4">
        <f>Planet(Panchanga!$G203,2)</f>
        <v>128.36567769627985</v>
      </c>
      <c r="Y203" s="4">
        <f>Planet(Panchanga!$G203,5)</f>
        <v>55.845346061159539</v>
      </c>
      <c r="Z203" s="4">
        <f>Planet(Panchanga!$G203,3)</f>
        <v>171.04825476526105</v>
      </c>
      <c r="AA203" s="4">
        <f>Planet(Panchanga!$G203,6)</f>
        <v>321.60929332482084</v>
      </c>
      <c r="AB203" s="4">
        <f>Planet(Panchanga!$G203,10)</f>
        <v>343.22500054285501</v>
      </c>
      <c r="AC203" s="4" t="str">
        <f>TEXT(Panchanga!$C203+($C204-Panchanga!$C203)/ABS(IF($R204&lt;1,$R204+30,$R204)-Panchanga!$R203)*(ROUNDUP(Panchanga!$R203,0)-Panchanga!$R203),"hh:mm AM/PM")</f>
        <v>11:42 PM</v>
      </c>
      <c r="AD203" s="4"/>
    </row>
    <row r="204" spans="1:30" x14ac:dyDescent="0.2">
      <c r="A204" s="3">
        <f t="shared" si="37"/>
        <v>45547</v>
      </c>
      <c r="B204" s="3">
        <f t="shared" si="32"/>
        <v>45547.229166666664</v>
      </c>
      <c r="C204" s="6">
        <f t="shared" si="33"/>
        <v>45547.24963007417</v>
      </c>
      <c r="D204" s="6">
        <f>sunset(Lat,Long,B204)+TimeZone/24-0.000277777777777778</f>
        <v>45546.758797318718</v>
      </c>
      <c r="E204" s="6">
        <f>PlanetRiseSet(Lat,Long,B204,1,1)+TimeZone/24+0.00103009259259259</f>
        <v>45546.520584653284</v>
      </c>
      <c r="F204" s="6">
        <f>PlanetRiseSet(Lat,Long,B204+1,1,2)+TimeZone/24+0.00103009259259259</f>
        <v>45548.03656849001</v>
      </c>
      <c r="G204" s="17">
        <f>Panchanga!$C204-TimeZone/24</f>
        <v>45547.020463407505</v>
      </c>
      <c r="H204" s="13" t="str">
        <f>INT(P[[#This Row],[Sun]]/30)&amp;"s"&amp;ROUNDUP(MOD(P[[#This Row],[Sun]],30),2)</f>
        <v>4s25.55</v>
      </c>
      <c r="I204" s="13" t="str">
        <f>INT(P[[#This Row],[Moon]]/30)&amp;"s"&amp;ROUNDUP(MOD(P[[#This Row],[Moon]],30),2)</f>
        <v>8s4.65</v>
      </c>
      <c r="J204" s="14">
        <f t="shared" si="36"/>
        <v>45547.020463407505</v>
      </c>
      <c r="K204" s="10" t="str">
        <f>naks(P[[#This Row],[Moon]])</f>
        <v>Moola</v>
      </c>
      <c r="L204" s="15">
        <f>(C205-P[[#This Row],[SunRise]])/(MOD(360+V205-P[[#This Row],[Moon]],360))*(13.3333333333333-MOD(P[[#This Row],[Moon]],13.333333333333))+P[[#This Row],[SunRise]]</f>
        <v>45547.908028976337</v>
      </c>
      <c r="M204" s="4" t="str">
        <f>IF(Panchanga!$R204&gt;15,"K","S")&amp;ROUNDUP(MOD(Panchanga!$R204,15),0)&amp;" ("&amp;ROUND(Panchanga!$R204,2)&amp;")"</f>
        <v>S9 (8.26)</v>
      </c>
      <c r="N204" s="4">
        <f>IF(AND(Panchanga!$R204&lt;28.5,Panchanga!$R204&gt;0.49999),MOD((Panchanga!$R204-0.5)*2,7),MOD((Panchanga!$R204+30-28.5),30)*2+7)</f>
        <v>1.5155999999999992</v>
      </c>
      <c r="O204" s="4" t="str">
        <f>CHOOSE(ROUNDUP(Panchanga!$N204,0),"Bhava","Baalava","Kaulava","Taitula","Garija","Vanija","Vishti","Shakuni","Chatushapda","Naaga","Kimstugna")</f>
        <v>Baalava</v>
      </c>
      <c r="P204" s="11" t="str">
        <f>CHOOSE(ROUNDUP(Panchanga!$S204,0),"viṣkambha","prīti","āyuṣmāna","saubhāgya","śobhana","atigaṇḍa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("&amp;Panchanga!$S204&amp;")"</f>
        <v>āyuṣmāna (2.27)</v>
      </c>
      <c r="Q204" s="4">
        <f>IF(AND(Panchanga!$R204&lt;28.5,Panchanga!$R204&gt;0.49999),MOD((Panchanga!$R204-0.5)*2,7),MOD((Panchanga!$R204+30-28.5),30)*2+7)</f>
        <v>1.5155999999999992</v>
      </c>
      <c r="R204" s="4">
        <f>ROUNDUP(MOD(360+P[[#This Row],[Moon]]-P[[#This Row],[Sun]],360)/12,4)</f>
        <v>8.2577999999999996</v>
      </c>
      <c r="S204" s="4">
        <f>ROUNDUP(MOD(P[[#This Row],[Sun]]+P[[#This Row],[Moon]],360)/13.333333333,2)</f>
        <v>2.2699999999999996</v>
      </c>
      <c r="T204" s="4" t="str">
        <f>SIGN(W205-Panchanga!$W204)*INT(Panchanga!$W204/30+1)&amp;"Ma,"&amp;SIGN(X205-Panchanga!$X204)*INT(Panchanga!$X204/30+1)&amp;"Me,"&amp;SIGN(Y205-Panchanga!$Y204)*INT(Panchanga!$Y204/30+1)&amp;"J, "&amp;SIGN(Z205-Panchanga!$Z204)*INT(Panchanga!$Z204/30+1)&amp;"V,"&amp;SIGN(AA205-Panchanga!$AA204)*INT(Panchanga!$AA204/30+1)&amp;"S,"&amp;INT(Panchanga!$AB204/30+1)&amp;"R"</f>
        <v>3Ma,5Me,2J, 6V,-11S,12R</v>
      </c>
      <c r="U204" s="4">
        <f t="shared" si="34"/>
        <v>145.54801023370851</v>
      </c>
      <c r="V204" s="4">
        <f t="shared" si="35"/>
        <v>244.64139153607152</v>
      </c>
      <c r="W204" s="4">
        <f>Planet(Panchanga!$G204,4)</f>
        <v>70.082313154997678</v>
      </c>
      <c r="X204" s="4">
        <f>Planet(Panchanga!$G204,2)</f>
        <v>129.94467153741331</v>
      </c>
      <c r="Y204" s="4">
        <f>Planet(Panchanga!$G204,5)</f>
        <v>55.932384817318848</v>
      </c>
      <c r="Z204" s="4">
        <f>Planet(Panchanga!$G204,3)</f>
        <v>172.27019764366409</v>
      </c>
      <c r="AA204" s="4">
        <f>Planet(Panchanga!$G204,6)</f>
        <v>321.53284376163811</v>
      </c>
      <c r="AB204" s="4">
        <f>Planet(Panchanga!$G204,10)</f>
        <v>343.17200796177133</v>
      </c>
      <c r="AC204" s="4" t="str">
        <f>TEXT(Panchanga!$C204+($C205-Panchanga!$C204)/ABS(IF($R205&lt;1,$R205+30,$R205)-Panchanga!$R204)*(ROUNDUP(Panchanga!$R204,0)-Panchanga!$R204),"hh:mm AM/PM")</f>
        <v>11:28 PM</v>
      </c>
      <c r="AD204" s="4"/>
    </row>
    <row r="205" spans="1:30" x14ac:dyDescent="0.2">
      <c r="A205" s="3">
        <f t="shared" si="37"/>
        <v>45548</v>
      </c>
      <c r="B205" s="3">
        <f t="shared" si="32"/>
        <v>45548.229166666664</v>
      </c>
      <c r="C205" s="6">
        <f t="shared" si="33"/>
        <v>45548.249640455157</v>
      </c>
      <c r="D205" s="6">
        <f>sunset(Lat,Long,B205)+TimeZone/24-0.000277777777777778</f>
        <v>45547.758294477637</v>
      </c>
      <c r="E205" s="6">
        <f>PlanetRiseSet(Lat,Long,B205,1,1)+TimeZone/24+0.00103009259259259</f>
        <v>45547.560495997466</v>
      </c>
      <c r="F205" s="6">
        <f>PlanetRiseSet(Lat,Long,B205+1,1,2)+TimeZone/24+0.00103009259259259</f>
        <v>45549.079026058003</v>
      </c>
      <c r="G205" s="17">
        <f>Panchanga!$C205-TimeZone/24</f>
        <v>45548.020473788492</v>
      </c>
      <c r="H205" s="13" t="str">
        <f>INT(P[[#This Row],[Sun]]/30)&amp;"s"&amp;ROUNDUP(MOD(P[[#This Row],[Sun]],30),2)</f>
        <v>4s26.53</v>
      </c>
      <c r="I205" s="13" t="str">
        <f>INT(P[[#This Row],[Moon]]/30)&amp;"s"&amp;ROUNDUP(MOD(P[[#This Row],[Moon]],30),2)</f>
        <v>8s17.85</v>
      </c>
      <c r="J205" s="14">
        <f t="shared" si="36"/>
        <v>45548.020473788492</v>
      </c>
      <c r="K205" s="10" t="str">
        <f>naks(P[[#This Row],[Moon]])</f>
        <v>Purva Asadha</v>
      </c>
      <c r="L205" s="15">
        <f>(C206-P[[#This Row],[SunRise]])/(MOD(360+V206-P[[#This Row],[Moon]],360))*(13.3333333333333-MOD(P[[#This Row],[Moon]],13.333333333333))+P[[#This Row],[SunRise]]</f>
        <v>45548.895915842528</v>
      </c>
      <c r="M205" s="4" t="str">
        <f>IF(Panchanga!$R205&gt;15,"K","S")&amp;ROUNDUP(MOD(Panchanga!$R205,15),0)&amp;" ("&amp;ROUND(Panchanga!$R205,2)&amp;")"</f>
        <v>S10 (9.28)</v>
      </c>
      <c r="N205" s="4">
        <f>IF(AND(Panchanga!$R205&lt;28.5,Panchanga!$R205&gt;0.49999),MOD((Panchanga!$R205-0.5)*2,7),MOD((Panchanga!$R205+30-28.5),30)*2+7)</f>
        <v>3.553799999999999</v>
      </c>
      <c r="O205" s="4" t="str">
        <f>CHOOSE(ROUNDUP(Panchanga!$N205,0),"Bhava","Baalava","Kaulava","Taitula","Garija","Vanija","Vishti","Shakuni","Chatushapda","Naaga","Kimstugna")</f>
        <v>Taitula</v>
      </c>
      <c r="P205" s="11" t="str">
        <f>CHOOSE(ROUNDUP(Panchanga!$S205,0),"viṣkambha","prīti","āyuṣmāna","saubhāgya","śobhana","atigaṇḍa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("&amp;Panchanga!$S205&amp;")"</f>
        <v>saubhāgya (3.33)</v>
      </c>
      <c r="Q205" s="4">
        <f>IF(AND(Panchanga!$R205&lt;28.5,Panchanga!$R205&gt;0.49999),MOD((Panchanga!$R205-0.5)*2,7),MOD((Panchanga!$R205+30-28.5),30)*2+7)</f>
        <v>3.553799999999999</v>
      </c>
      <c r="R205" s="4">
        <f>ROUNDUP(MOD(360+P[[#This Row],[Moon]]-P[[#This Row],[Sun]],360)/12,4)</f>
        <v>9.2768999999999995</v>
      </c>
      <c r="S205" s="4">
        <f>ROUNDUP(MOD(P[[#This Row],[Sun]]+P[[#This Row],[Moon]],360)/13.333333333,2)</f>
        <v>3.3299999999999996</v>
      </c>
      <c r="T205" s="4" t="str">
        <f>SIGN(W206-Panchanga!$W205)*INT(Panchanga!$W205/30+1)&amp;"Ma,"&amp;SIGN(X206-Panchanga!$X205)*INT(Panchanga!$X205/30+1)&amp;"Me,"&amp;SIGN(Y206-Panchanga!$Y205)*INT(Panchanga!$Y205/30+1)&amp;"J, "&amp;SIGN(Z206-Panchanga!$Z205)*INT(Panchanga!$Z205/30+1)&amp;"V,"&amp;SIGN(AA206-Panchanga!$AA205)*INT(Panchanga!$AA205/30+1)&amp;"S,"&amp;INT(Panchanga!$AB205/30+1)&amp;"R"</f>
        <v>3Ma,5Me,2J, 6V,-11S,12R</v>
      </c>
      <c r="U205" s="4">
        <f t="shared" si="34"/>
        <v>146.52100271948365</v>
      </c>
      <c r="V205" s="4">
        <f t="shared" si="35"/>
        <v>257.84316328814629</v>
      </c>
      <c r="W205" s="4">
        <f>Planet(Panchanga!$G205,4)</f>
        <v>70.666383134776495</v>
      </c>
      <c r="X205" s="4">
        <f>Planet(Panchanga!$G205,2)</f>
        <v>131.58522971237463</v>
      </c>
      <c r="Y205" s="4">
        <f>Planet(Panchanga!$G205,5)</f>
        <v>56.016600658195387</v>
      </c>
      <c r="Z205" s="4">
        <f>Planet(Panchanga!$G205,3)</f>
        <v>173.49183773368676</v>
      </c>
      <c r="AA205" s="4">
        <f>Planet(Panchanga!$G205,6)</f>
        <v>321.4565581919897</v>
      </c>
      <c r="AB205" s="4">
        <f>Planet(Panchanga!$G205,10)</f>
        <v>343.11901542461408</v>
      </c>
      <c r="AC205" s="4" t="str">
        <f>TEXT(Panchanga!$C205+($C206-Panchanga!$C205)/ABS(IF($R206&lt;1,$R206+30,$R206)-Panchanga!$R205)*(ROUNDUP(Panchanga!$R205,0)-Panchanga!$R205),"hh:mm AM/PM")</f>
        <v>10:24 PM</v>
      </c>
      <c r="AD205" s="4"/>
    </row>
    <row r="206" spans="1:30" x14ac:dyDescent="0.2">
      <c r="A206" s="3">
        <f t="shared" si="37"/>
        <v>45549</v>
      </c>
      <c r="B206" s="3">
        <f t="shared" si="32"/>
        <v>45549.229166666664</v>
      </c>
      <c r="C206" s="6">
        <f t="shared" si="33"/>
        <v>45549.249650194928</v>
      </c>
      <c r="D206" s="6">
        <f>sunset(Lat,Long,B206)+TimeZone/24-0.000277777777777778</f>
        <v>45548.757790121759</v>
      </c>
      <c r="E206" s="6">
        <f>PlanetRiseSet(Lat,Long,B206,1,1)+TimeZone/24+0.00103009259259259</f>
        <v>45548.600108772669</v>
      </c>
      <c r="F206" s="6">
        <f>PlanetRiseSet(Lat,Long,B206+1,1,2)+TimeZone/24+0.00103009259259259</f>
        <v>45550.122340841372</v>
      </c>
      <c r="G206" s="17">
        <f>Panchanga!$C206-TimeZone/24</f>
        <v>45549.020483528264</v>
      </c>
      <c r="H206" s="13" t="str">
        <f>INT(P[[#This Row],[Sun]]/30)&amp;"s"&amp;ROUNDUP(MOD(P[[#This Row],[Sun]],30),2)</f>
        <v>4s27.5</v>
      </c>
      <c r="I206" s="13" t="str">
        <f>INT(P[[#This Row],[Moon]]/30)&amp;"s"&amp;ROUNDUP(MOD(P[[#This Row],[Moon]],30),2)</f>
        <v>9s1.5</v>
      </c>
      <c r="J206" s="14">
        <f t="shared" si="36"/>
        <v>45549.020483528264</v>
      </c>
      <c r="K206" s="10" t="str">
        <f>naks(P[[#This Row],[Moon]])</f>
        <v>Uttara Asadha</v>
      </c>
      <c r="L206" s="15">
        <f>(C207-P[[#This Row],[SunRise]])/(MOD(360+V207-P[[#This Row],[Moon]],360))*(13.3333333333333-MOD(P[[#This Row],[Moon]],13.333333333333))+P[[#This Row],[SunRise]]</f>
        <v>45549.85218092033</v>
      </c>
      <c r="M206" s="4" t="str">
        <f>IF(Panchanga!$R206&gt;15,"K","S")&amp;ROUNDUP(MOD(Panchanga!$R206,15),0)&amp;" ("&amp;ROUND(Panchanga!$R206,2)&amp;")"</f>
        <v>S11 (10.33)</v>
      </c>
      <c r="N206" s="4">
        <f>IF(AND(Panchanga!$R206&lt;28.5,Panchanga!$R206&gt;0.49999),MOD((Panchanga!$R206-0.5)*2,7),MOD((Panchanga!$R206+30-28.5),30)*2+7)</f>
        <v>5.666999999999998</v>
      </c>
      <c r="O206" s="4" t="str">
        <f>CHOOSE(ROUNDUP(Panchanga!$N206,0),"Bhava","Baalava","Kaulava","Taitula","Garija","Vanija","Vishti","Shakuni","Chatushapda","Naaga","Kimstugna")</f>
        <v>Vanija</v>
      </c>
      <c r="P206" s="11" t="str">
        <f>CHOOSE(ROUNDUP(Panchanga!$S206,0),"viṣkambha","prīti","āyuṣmāna","saubhāgya","śobhana","atigaṇḍa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("&amp;Panchanga!$S206&amp;")"</f>
        <v>śobhana (4.43)</v>
      </c>
      <c r="Q206" s="4">
        <f>IF(AND(Panchanga!$R206&lt;28.5,Panchanga!$R206&gt;0.49999),MOD((Panchanga!$R206-0.5)*2,7),MOD((Panchanga!$R206+30-28.5),30)*2+7)</f>
        <v>5.666999999999998</v>
      </c>
      <c r="R206" s="4">
        <f>ROUNDUP(MOD(360+P[[#This Row],[Moon]]-P[[#This Row],[Sun]],360)/12,4)</f>
        <v>10.333499999999999</v>
      </c>
      <c r="S206" s="4">
        <f>ROUNDUP(MOD(P[[#This Row],[Sun]]+P[[#This Row],[Moon]],360)/13.333333333,2)</f>
        <v>4.43</v>
      </c>
      <c r="T206" s="4" t="str">
        <f>SIGN(W207-Panchanga!$W206)*INT(Panchanga!$W206/30+1)&amp;"Ma,"&amp;SIGN(X207-Panchanga!$X206)*INT(Panchanga!$X206/30+1)&amp;"Me,"&amp;SIGN(Y207-Panchanga!$Y206)*INT(Panchanga!$Y206/30+1)&amp;"J, "&amp;SIGN(Z207-Panchanga!$Z206)*INT(Panchanga!$Z206/30+1)&amp;"V,"&amp;SIGN(AA207-Panchanga!$AA206)*INT(Panchanga!$AA206/30+1)&amp;"S,"&amp;INT(Panchanga!$AB206/30+1)&amp;"R"</f>
        <v>3Ma,5Me,2J, 6V,-11S,12R</v>
      </c>
      <c r="U206" s="4">
        <f t="shared" si="34"/>
        <v>147.49443103014815</v>
      </c>
      <c r="V206" s="4">
        <f t="shared" si="35"/>
        <v>271.49615006419384</v>
      </c>
      <c r="W206" s="4">
        <f>Planet(Panchanga!$G206,4)</f>
        <v>71.247639705947307</v>
      </c>
      <c r="X206" s="4">
        <f>Planet(Panchanga!$G206,2)</f>
        <v>133.27838998554739</v>
      </c>
      <c r="Y206" s="4">
        <f>Planet(Panchanga!$G206,5)</f>
        <v>56.097969896030257</v>
      </c>
      <c r="Z206" s="4">
        <f>Planet(Panchanga!$G206,3)</f>
        <v>174.71316639377474</v>
      </c>
      <c r="AA206" s="4">
        <f>Planet(Panchanga!$G206,6)</f>
        <v>321.38047667895762</v>
      </c>
      <c r="AB206" s="4">
        <f>Planet(Panchanga!$G206,10)</f>
        <v>343.06602292152496</v>
      </c>
      <c r="AC206" s="4" t="str">
        <f>TEXT(Panchanga!$C206+($C207-Panchanga!$C206)/ABS(IF($R207&lt;1,$R207+30,$R207)-Panchanga!$R206)*(ROUNDUP(Panchanga!$R206,0)-Panchanga!$R206),"hh:mm AM/PM")</f>
        <v>08:36 PM</v>
      </c>
      <c r="AD206" s="4"/>
    </row>
    <row r="207" spans="1:30" x14ac:dyDescent="0.2">
      <c r="A207" s="3">
        <f t="shared" si="37"/>
        <v>45550</v>
      </c>
      <c r="B207" s="3">
        <f t="shared" si="32"/>
        <v>45550.229166666664</v>
      </c>
      <c r="C207" s="6">
        <f t="shared" si="33"/>
        <v>45550.249659496512</v>
      </c>
      <c r="D207" s="6">
        <f>sunset(Lat,Long,B207)+TimeZone/24-0.000277777777777778</f>
        <v>45549.757284528154</v>
      </c>
      <c r="E207" s="6">
        <f>PlanetRiseSet(Lat,Long,B207,1,1)+TimeZone/24+0.00103009259259259</f>
        <v>45549.638150689811</v>
      </c>
      <c r="F207" s="6">
        <f>PlanetRiseSet(Lat,Long,B207+1,1,2)+TimeZone/24+0.00103009259259259</f>
        <v>45551.165305202048</v>
      </c>
      <c r="G207" s="17">
        <f>Panchanga!$C207-TimeZone/24</f>
        <v>45550.020492829848</v>
      </c>
      <c r="H207" s="13" t="str">
        <f>INT(P[[#This Row],[Sun]]/30)&amp;"s"&amp;ROUNDUP(MOD(P[[#This Row],[Sun]],30),2)</f>
        <v>4s28.47</v>
      </c>
      <c r="I207" s="13" t="str">
        <f>INT(P[[#This Row],[Moon]]/30)&amp;"s"&amp;ROUNDUP(MOD(P[[#This Row],[Moon]],30),2)</f>
        <v>9s15.61</v>
      </c>
      <c r="J207" s="14">
        <f t="shared" si="36"/>
        <v>45550.020492829848</v>
      </c>
      <c r="K207" s="10" t="str">
        <f>naks(P[[#This Row],[Moon]])</f>
        <v>Sravana</v>
      </c>
      <c r="L207" s="15">
        <f>(C208-P[[#This Row],[SunRise]])/(MOD(360+V208-P[[#This Row],[Moon]],360))*(13.3333333333333-MOD(P[[#This Row],[Moon]],13.333333333333))+P[[#This Row],[SunRise]]</f>
        <v>45550.780782854672</v>
      </c>
      <c r="M207" s="4" t="str">
        <f>IF(Panchanga!$R207&gt;15,"K","S")&amp;ROUNDUP(MOD(Panchanga!$R207,15),0)&amp;" ("&amp;ROUND(Panchanga!$R207,2)&amp;")"</f>
        <v>S12 (11.43)</v>
      </c>
      <c r="N207" s="4">
        <f>IF(AND(Panchanga!$R207&lt;28.5,Panchanga!$R207&gt;0.49999),MOD((Panchanga!$R207-0.5)*2,7),MOD((Panchanga!$R207+30-28.5),30)*2+7)</f>
        <v>0.85699999999999932</v>
      </c>
      <c r="O207" s="4" t="str">
        <f>CHOOSE(ROUNDUP(Panchanga!$N207,0),"Bhava","Baalava","Kaulava","Taitula","Garija","Vanija","Vishti","Shakuni","Chatushapda","Naaga","Kimstugna")</f>
        <v>Bhava</v>
      </c>
      <c r="P207" s="11" t="str">
        <f>CHOOSE(ROUNDUP(Panchanga!$S207,0),"viṣkambha","prīti","āyuṣmāna","saubhāgya","śobhana","atigaṇḍa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("&amp;Panchanga!$S207&amp;")"</f>
        <v>atigaṇḍa  (5.56)</v>
      </c>
      <c r="Q207" s="4">
        <f>IF(AND(Panchanga!$R207&lt;28.5,Panchanga!$R207&gt;0.49999),MOD((Panchanga!$R207-0.5)*2,7),MOD((Panchanga!$R207+30-28.5),30)*2+7)</f>
        <v>0.85699999999999932</v>
      </c>
      <c r="R207" s="4">
        <f>ROUNDUP(MOD(360+P[[#This Row],[Moon]]-P[[#This Row],[Sun]],360)/12,4)</f>
        <v>11.4285</v>
      </c>
      <c r="S207" s="4">
        <f>ROUNDUP(MOD(P[[#This Row],[Sun]]+P[[#This Row],[Moon]],360)/13.333333333,2)</f>
        <v>5.56</v>
      </c>
      <c r="T207" s="4" t="str">
        <f>SIGN(W208-Panchanga!$W207)*INT(Panchanga!$W207/30+1)&amp;"Ma,"&amp;SIGN(X208-Panchanga!$X207)*INT(Panchanga!$X207/30+1)&amp;"Me,"&amp;SIGN(Y208-Panchanga!$Y207)*INT(Panchanga!$Y207/30+1)&amp;"J, "&amp;SIGN(Z208-Panchanga!$Z207)*INT(Panchanga!$Z207/30+1)&amp;"V,"&amp;SIGN(AA208-Panchanga!$AA207)*INT(Panchanga!$AA207/30+1)&amp;"S,"&amp;INT(Panchanga!$AB207/30+1)&amp;"R"</f>
        <v>3Ma,5Me,2J, 6V,-11S,12R</v>
      </c>
      <c r="U207" s="4">
        <f t="shared" si="34"/>
        <v>148.46830519426399</v>
      </c>
      <c r="V207" s="4">
        <f t="shared" si="35"/>
        <v>285.60983535291894</v>
      </c>
      <c r="W207" s="4">
        <f>Planet(Panchanga!$G207,4)</f>
        <v>71.826055378500669</v>
      </c>
      <c r="X207" s="4">
        <f>Planet(Panchanga!$G207,2)</f>
        <v>135.01559883233617</v>
      </c>
      <c r="Y207" s="4">
        <f>Planet(Panchanga!$G207,5)</f>
        <v>56.176469278224587</v>
      </c>
      <c r="Z207" s="4">
        <f>Planet(Panchanga!$G207,3)</f>
        <v>175.93417697784892</v>
      </c>
      <c r="AA207" s="4">
        <f>Planet(Panchanga!$G207,6)</f>
        <v>321.30463859658619</v>
      </c>
      <c r="AB207" s="4">
        <f>Planet(Panchanga!$G207,10)</f>
        <v>343.01303044158499</v>
      </c>
      <c r="AC207" s="4" t="str">
        <f>TEXT(Panchanga!$C207+($C208-Panchanga!$C207)/ABS(IF($R208&lt;1,$R208+30,$R208)-Panchanga!$R207)*(ROUNDUP(Panchanga!$R207,0)-Panchanga!$R207),"hh:mm AM/PM")</f>
        <v>06:07 PM</v>
      </c>
      <c r="AD207" s="4"/>
    </row>
    <row r="208" spans="1:30" x14ac:dyDescent="0.2">
      <c r="A208" s="3">
        <f t="shared" si="37"/>
        <v>45551</v>
      </c>
      <c r="B208" s="3">
        <f t="shared" si="32"/>
        <v>45551.229166666664</v>
      </c>
      <c r="C208" s="6">
        <f t="shared" si="33"/>
        <v>45551.249668577373</v>
      </c>
      <c r="D208" s="6">
        <f>sunset(Lat,Long,B208)+TimeZone/24-0.000277777777777778</f>
        <v>45550.756777982737</v>
      </c>
      <c r="E208" s="6">
        <f>PlanetRiseSet(Lat,Long,B208,1,1)+TimeZone/24+0.00103009259259259</f>
        <v>45550.673868394144</v>
      </c>
      <c r="F208" s="6">
        <f>PlanetRiseSet(Lat,Long,B208+1,1,2)+TimeZone/24+0.00103009259259259</f>
        <v>45552.20735699885</v>
      </c>
      <c r="G208" s="17">
        <f>Panchanga!$C208-TimeZone/24</f>
        <v>45551.020501910709</v>
      </c>
      <c r="H208" s="13" t="str">
        <f>INT(P[[#This Row],[Sun]]/30)&amp;"s"&amp;ROUNDUP(MOD(P[[#This Row],[Sun]],30),2)</f>
        <v>4s29.45</v>
      </c>
      <c r="I208" s="13" t="str">
        <f>INT(P[[#This Row],[Moon]]/30)&amp;"s"&amp;ROUNDUP(MOD(P[[#This Row],[Moon]],30),2)</f>
        <v>10s0.16</v>
      </c>
      <c r="J208" s="14">
        <f t="shared" si="36"/>
        <v>45551.020501910709</v>
      </c>
      <c r="K208" s="10" t="str">
        <f>naks(P[[#This Row],[Moon]])</f>
        <v>Dhanistha</v>
      </c>
      <c r="L208" s="15">
        <f>(C209-P[[#This Row],[SunRise]])/(MOD(360+V209-P[[#This Row],[Moon]],360))*(13.3333333333333-MOD(P[[#This Row],[Moon]],13.333333333333))+P[[#This Row],[SunRise]]</f>
        <v>45551.687181052861</v>
      </c>
      <c r="M208" s="4" t="str">
        <f>IF(Panchanga!$R208&gt;15,"K","S")&amp;ROUNDUP(MOD(Panchanga!$R208,15),0)&amp;" ("&amp;ROUND(Panchanga!$R208,2)&amp;")"</f>
        <v>S13 (12.56)</v>
      </c>
      <c r="N208" s="4">
        <f>IF(AND(Panchanga!$R208&lt;28.5,Panchanga!$R208&gt;0.49999),MOD((Panchanga!$R208-0.5)*2,7),MOD((Panchanga!$R208+30-28.5),30)*2+7)</f>
        <v>3.1181999999999981</v>
      </c>
      <c r="O208" s="4" t="str">
        <f>CHOOSE(ROUNDUP(Panchanga!$N208,0),"Bhava","Baalava","Kaulava","Taitula","Garija","Vanija","Vishti","Shakuni","Chatushapda","Naaga","Kimstugna")</f>
        <v>Taitula</v>
      </c>
      <c r="P208" s="11" t="str">
        <f>CHOOSE(ROUNDUP(Panchanga!$S208,0),"viṣkambha","prīti","āyuṣmāna","saubhāgya","śobhana","atigaṇḍa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("&amp;Panchanga!$S208&amp;")"</f>
        <v>sukarmā  (6.72)</v>
      </c>
      <c r="Q208" s="4">
        <f>IF(AND(Panchanga!$R208&lt;28.5,Panchanga!$R208&gt;0.49999),MOD((Panchanga!$R208-0.5)*2,7),MOD((Panchanga!$R208+30-28.5),30)*2+7)</f>
        <v>3.1181999999999981</v>
      </c>
      <c r="R208" s="4">
        <f>ROUNDUP(MOD(360+P[[#This Row],[Moon]]-P[[#This Row],[Sun]],360)/12,4)</f>
        <v>12.559099999999999</v>
      </c>
      <c r="S208" s="4">
        <f>ROUNDUP(MOD(P[[#This Row],[Sun]]+P[[#This Row],[Moon]],360)/13.333333333,2)</f>
        <v>6.72</v>
      </c>
      <c r="T208" s="4" t="str">
        <f>SIGN(W209-Panchanga!$W208)*INT(Panchanga!$W208/30+1)&amp;"Ma,"&amp;SIGN(X209-Panchanga!$X208)*INT(Panchanga!$X208/30+1)&amp;"Me,"&amp;SIGN(Y209-Panchanga!$Y208)*INT(Panchanga!$Y208/30+1)&amp;"J, "&amp;SIGN(Z209-Panchanga!$Z208)*INT(Panchanga!$Z208/30+1)&amp;"V,"&amp;SIGN(AA209-Panchanga!$AA208)*INT(Panchanga!$AA208/30+1)&amp;"S,"&amp;INT(Panchanga!$AB208/30+1)&amp;"R"</f>
        <v>3Ma,5Me,2J, 6V,-11S,12R</v>
      </c>
      <c r="U208" s="4">
        <f t="shared" si="34"/>
        <v>149.44263966184383</v>
      </c>
      <c r="V208" s="4">
        <f t="shared" si="35"/>
        <v>300.15178309014237</v>
      </c>
      <c r="W208" s="4">
        <f>Planet(Panchanga!$G208,4)</f>
        <v>72.401602221126694</v>
      </c>
      <c r="X208" s="4">
        <f>Planet(Panchanga!$G208,2)</f>
        <v>136.788835667586</v>
      </c>
      <c r="Y208" s="4">
        <f>Planet(Panchanga!$G208,5)</f>
        <v>56.252075721682203</v>
      </c>
      <c r="Z208" s="4">
        <f>Planet(Panchanga!$G208,3)</f>
        <v>177.15486557250418</v>
      </c>
      <c r="AA208" s="4">
        <f>Planet(Panchanga!$G208,6)</f>
        <v>321.22908253936833</v>
      </c>
      <c r="AB208" s="4">
        <f>Planet(Panchanga!$G208,10)</f>
        <v>342.960037973395</v>
      </c>
      <c r="AC208" s="4" t="str">
        <f>TEXT(Panchanga!$C208+($C209-Panchanga!$C208)/ABS(IF($R209&lt;1,$R209+30,$R209)-Panchanga!$R208)*(ROUNDUP(Panchanga!$R208,0)-Panchanga!$R208),"hh:mm AM/PM")</f>
        <v>03:07 PM</v>
      </c>
      <c r="AD208" s="4"/>
    </row>
    <row r="209" spans="1:30" x14ac:dyDescent="0.2">
      <c r="A209" s="3">
        <f t="shared" si="37"/>
        <v>45552</v>
      </c>
      <c r="B209" s="3">
        <f t="shared" si="32"/>
        <v>45552.229166666664</v>
      </c>
      <c r="C209" s="6">
        <f t="shared" si="33"/>
        <v>45552.249677669875</v>
      </c>
      <c r="D209" s="6">
        <f>sunset(Lat,Long,B209)+TimeZone/24-0.000277777777777778</f>
        <v>45551.756270782134</v>
      </c>
      <c r="E209" s="6">
        <f>PlanetRiseSet(Lat,Long,B209,1,1)+TimeZone/24+0.00103009259259259</f>
        <v>45551.707222851612</v>
      </c>
      <c r="F209" s="6">
        <f>PlanetRiseSet(Lat,Long,B209+1,1,2)+TimeZone/24+0.00103009259259259</f>
        <v>45553.248602312677</v>
      </c>
      <c r="G209" s="17">
        <f>Panchanga!$C209-TimeZone/24</f>
        <v>45552.020511003211</v>
      </c>
      <c r="H209" s="13" t="str">
        <f>INT(P[[#This Row],[Sun]]/30)&amp;"s"&amp;ROUNDUP(MOD(P[[#This Row],[Sun]],30),2)</f>
        <v>5s0.42</v>
      </c>
      <c r="I209" s="13" t="str">
        <f>INT(P[[#This Row],[Moon]]/30)&amp;"s"&amp;ROUNDUP(MOD(P[[#This Row],[Moon]],30),2)</f>
        <v>10s15.05</v>
      </c>
      <c r="J209" s="14">
        <f t="shared" si="36"/>
        <v>45552.020511003211</v>
      </c>
      <c r="K209" s="10" t="str">
        <f>naks(P[[#This Row],[Moon]])</f>
        <v>Satabhisaj</v>
      </c>
      <c r="L209" s="15">
        <f>(C210-P[[#This Row],[SunRise]])/(MOD(360+V210-P[[#This Row],[Moon]],360))*(13.3333333333333-MOD(P[[#This Row],[Moon]],13.333333333333))+P[[#This Row],[SunRise]]</f>
        <v>45552.577601924553</v>
      </c>
      <c r="M209" s="4" t="str">
        <f>IF(Panchanga!$R209&gt;15,"K","S")&amp;ROUNDUP(MOD(Panchanga!$R209,15),0)&amp;" ("&amp;ROUND(Panchanga!$R209,2)&amp;")"</f>
        <v>S14 (13.72)</v>
      </c>
      <c r="N209" s="4">
        <f>IF(AND(Panchanga!$R209&lt;28.5,Panchanga!$R209&gt;0.49999),MOD((Panchanga!$R209-0.5)*2,7),MOD((Panchanga!$R209+30-28.5),30)*2+7)</f>
        <v>5.4375999999999998</v>
      </c>
      <c r="O209" s="4" t="str">
        <f>CHOOSE(ROUNDUP(Panchanga!$N209,0),"Bhava","Baalava","Kaulava","Taitula","Garija","Vanija","Vishti","Shakuni","Chatushapda","Naaga","Kimstugna")</f>
        <v>Vanija</v>
      </c>
      <c r="P209" s="11" t="str">
        <f>CHOOSE(ROUNDUP(Panchanga!$S209,0),"viṣkambha","prīti","āyuṣmāna","saubhāgya","śobhana","atigaṇḍa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("&amp;Panchanga!$S209&amp;")"</f>
        <v>dhṛti  (7.91)</v>
      </c>
      <c r="Q209" s="4">
        <f>IF(AND(Panchanga!$R209&lt;28.5,Panchanga!$R209&gt;0.49999),MOD((Panchanga!$R209-0.5)*2,7),MOD((Panchanga!$R209+30-28.5),30)*2+7)</f>
        <v>5.4375999999999998</v>
      </c>
      <c r="R209" s="4">
        <f>ROUNDUP(MOD(360+P[[#This Row],[Moon]]-P[[#This Row],[Sun]],360)/12,4)</f>
        <v>13.7188</v>
      </c>
      <c r="S209" s="4">
        <f>ROUNDUP(MOD(P[[#This Row],[Sun]]+P[[#This Row],[Moon]],360)/13.333333333,2)</f>
        <v>7.91</v>
      </c>
      <c r="T209" s="4" t="str">
        <f>SIGN(W210-Panchanga!$W209)*INT(Panchanga!$W209/30+1)&amp;"Ma,"&amp;SIGN(X210-Panchanga!$X209)*INT(Panchanga!$X209/30+1)&amp;"Me,"&amp;SIGN(Y210-Panchanga!$Y209)*INT(Panchanga!$Y209/30+1)&amp;"J, "&amp;SIGN(Z210-Panchanga!$Z209)*INT(Panchanga!$Z209/30+1)&amp;"V,"&amp;SIGN(AA210-Panchanga!$AA209)*INT(Panchanga!$AA209/30+1)&amp;"S,"&amp;INT(Panchanga!$AB209/30+1)&amp;"R"</f>
        <v>3Ma,5Me,2J, 6V,-11S,12R</v>
      </c>
      <c r="U209" s="4">
        <f t="shared" si="34"/>
        <v>150.41745361021916</v>
      </c>
      <c r="V209" s="4">
        <f t="shared" si="35"/>
        <v>315.04265632940434</v>
      </c>
      <c r="W209" s="4">
        <f>Planet(Panchanga!$G209,4)</f>
        <v>72.974250593389826</v>
      </c>
      <c r="X209" s="4">
        <f>Planet(Panchanga!$G209,2)</f>
        <v>138.59070471413665</v>
      </c>
      <c r="Y209" s="4">
        <f>Planet(Panchanga!$G209,5)</f>
        <v>56.324765926293857</v>
      </c>
      <c r="Z209" s="4">
        <f>Planet(Panchanga!$G209,3)</f>
        <v>178.37523172694188</v>
      </c>
      <c r="AA209" s="4">
        <f>Planet(Panchanga!$G209,6)</f>
        <v>321.15384630856346</v>
      </c>
      <c r="AB209" s="4">
        <f>Planet(Panchanga!$G209,10)</f>
        <v>342.90704550456155</v>
      </c>
      <c r="AC209" s="4" t="str">
        <f>TEXT(Panchanga!$C209+($C210-Panchanga!$C209)/ABS(IF($R210&lt;1,$R210+30,$R210)-Panchanga!$R209)*(ROUNDUP(Panchanga!$R209,0)-Panchanga!$R209),"hh:mm AM/PM")</f>
        <v>11:43 AM</v>
      </c>
      <c r="AD209" s="4"/>
    </row>
    <row r="210" spans="1:30" x14ac:dyDescent="0.2">
      <c r="A210" s="3">
        <f t="shared" si="37"/>
        <v>45553</v>
      </c>
      <c r="B210" s="3">
        <f t="shared" si="32"/>
        <v>45553.229166666664</v>
      </c>
      <c r="C210" s="6">
        <f t="shared" si="33"/>
        <v>45553.249687023614</v>
      </c>
      <c r="D210" s="6">
        <f>sunset(Lat,Long,B210)+TimeZone/24-0.000277777777777778</f>
        <v>45552.755763232752</v>
      </c>
      <c r="E210" s="6">
        <f>PlanetRiseSet(Lat,Long,B210,1,1)+TimeZone/24+0.00103009259259259</f>
        <v>45552.738758154366</v>
      </c>
      <c r="F210" s="6">
        <f>PlanetRiseSet(Lat,Long,B210+1,1,2)+TimeZone/24+0.00103009259259259</f>
        <v>45554.289586805426</v>
      </c>
      <c r="G210" s="17">
        <f>Panchanga!$C210-TimeZone/24</f>
        <v>45553.020520356949</v>
      </c>
      <c r="H210" s="13" t="str">
        <f>INT(P[[#This Row],[Sun]]/30)&amp;"s"&amp;ROUNDUP(MOD(P[[#This Row],[Sun]],30),2)</f>
        <v>5s1.4</v>
      </c>
      <c r="I210" s="13" t="str">
        <f>INT(P[[#This Row],[Moon]]/30)&amp;"s"&amp;ROUNDUP(MOD(P[[#This Row],[Moon]],30),2)</f>
        <v>11s0.17</v>
      </c>
      <c r="J210" s="14">
        <f t="shared" si="36"/>
        <v>45553.020520356949</v>
      </c>
      <c r="K210" s="10" t="str">
        <f>naks(P[[#This Row],[Moon]])</f>
        <v>Purva Bhadrapada</v>
      </c>
      <c r="L210" s="15">
        <f>(C211-P[[#This Row],[SunRise]])/(MOD(360+V211-P[[#This Row],[Moon]],360))*(13.3333333333333-MOD(P[[#This Row],[Moon]],13.333333333333))+P[[#This Row],[SunRise]]</f>
        <v>45553.458547900198</v>
      </c>
      <c r="M210" s="4" t="str">
        <f>IF(Panchanga!$R210&gt;15,"K","S")&amp;ROUNDUP(MOD(Panchanga!$R210,15),0)&amp;" ("&amp;ROUND(Panchanga!$R210,2)&amp;")"</f>
        <v>S15 (14.9)</v>
      </c>
      <c r="N210" s="4">
        <f>IF(AND(Panchanga!$R210&lt;28.5,Panchanga!$R210&gt;0.49999),MOD((Panchanga!$R210-0.5)*2,7),MOD((Panchanga!$R210+30-28.5),30)*2+7)</f>
        <v>0.79459999999999908</v>
      </c>
      <c r="O210" s="4" t="str">
        <f>CHOOSE(ROUNDUP(Panchanga!$N210,0),"Bhava","Baalava","Kaulava","Taitula","Garija","Vanija","Vishti","Shakuni","Chatushapda","Naaga","Kimstugna")</f>
        <v>Bhava</v>
      </c>
      <c r="P210" s="11" t="str">
        <f>CHOOSE(ROUNDUP(Panchanga!$S210,0),"viṣkambha","prīti","āyuṣmāna","saubhāgya","śobhana","atigaṇḍa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("&amp;Panchanga!$S210&amp;")"</f>
        <v>gaṇḍa  (9.12)</v>
      </c>
      <c r="Q210" s="4">
        <f>IF(AND(Panchanga!$R210&lt;28.5,Panchanga!$R210&gt;0.49999),MOD((Panchanga!$R210-0.5)*2,7),MOD((Panchanga!$R210+30-28.5),30)*2+7)</f>
        <v>0.79459999999999908</v>
      </c>
      <c r="R210" s="4">
        <f>ROUNDUP(MOD(360+P[[#This Row],[Moon]]-P[[#This Row],[Sun]],360)/12,4)</f>
        <v>14.8973</v>
      </c>
      <c r="S210" s="4">
        <f>ROUNDUP(MOD(P[[#This Row],[Sun]]+P[[#This Row],[Moon]],360)/13.333333333,2)</f>
        <v>9.1199999999999992</v>
      </c>
      <c r="T210" s="4" t="str">
        <f>SIGN(W211-Panchanga!$W210)*INT(Panchanga!$W210/30+1)&amp;"Ma,"&amp;SIGN(X211-Panchanga!$X210)*INT(Panchanga!$X210/30+1)&amp;"Me,"&amp;SIGN(Y211-Panchanga!$Y210)*INT(Panchanga!$Y210/30+1)&amp;"J, "&amp;SIGN(Z211-Panchanga!$Z210)*INT(Panchanga!$Z210/30+1)&amp;"V,"&amp;SIGN(AA211-Panchanga!$AA210)*INT(Panchanga!$AA210/30+1)&amp;"S,"&amp;INT(Panchanga!$AB210/30+1)&amp;"R"</f>
        <v>3Ma,5Me,2J, 6V,-11S,12R</v>
      </c>
      <c r="U210" s="4">
        <f t="shared" si="34"/>
        <v>151.39277052309302</v>
      </c>
      <c r="V210" s="4">
        <f t="shared" si="35"/>
        <v>330.16014144845769</v>
      </c>
      <c r="W210" s="4">
        <f>Planet(Panchanga!$G210,4)</f>
        <v>73.543967452461146</v>
      </c>
      <c r="X210" s="4">
        <f>Planet(Panchanga!$G210,2)</f>
        <v>140.41449340684346</v>
      </c>
      <c r="Y210" s="4">
        <f>Planet(Panchanga!$G210,5)</f>
        <v>56.394515920515971</v>
      </c>
      <c r="Z210" s="4">
        <f>Planet(Panchanga!$G210,3)</f>
        <v>179.5952788880883</v>
      </c>
      <c r="AA210" s="4">
        <f>Planet(Panchanga!$G210,6)</f>
        <v>321.07896700918235</v>
      </c>
      <c r="AB210" s="4">
        <f>Planet(Panchanga!$G210,10)</f>
        <v>342.85405302189577</v>
      </c>
      <c r="AC210" s="4" t="str">
        <f>TEXT(Panchanga!$C210+($C211-Panchanga!$C210)/ABS(IF($R211&lt;1,$R211+30,$R211)-Panchanga!$R210)*(ROUNDUP(Panchanga!$R210,0)-Panchanga!$R210),"hh:mm AM/PM")</f>
        <v>08:04 AM</v>
      </c>
      <c r="AD210" s="4"/>
    </row>
    <row r="211" spans="1:30" x14ac:dyDescent="0.2">
      <c r="A211" s="3">
        <f t="shared" si="37"/>
        <v>45554</v>
      </c>
      <c r="B211" s="3">
        <f t="shared" si="32"/>
        <v>45554.229166666664</v>
      </c>
      <c r="C211" s="6">
        <f t="shared" si="33"/>
        <v>45554.249696898427</v>
      </c>
      <c r="D211" s="6">
        <f>sunset(Lat,Long,B211)+TimeZone/24-0.000277777777777778</f>
        <v>45553.755255649376</v>
      </c>
      <c r="E211" s="6">
        <f>PlanetRiseSet(Lat,Long,B211,1,1)+TimeZone/24+0.00103009259259259</f>
        <v>45553.769358532656</v>
      </c>
      <c r="F211" s="6">
        <f>PlanetRiseSet(Lat,Long,B211+1,1,2)+TimeZone/24+0.00103009259259259</f>
        <v>45555.330998867437</v>
      </c>
      <c r="G211" s="17">
        <f>Panchanga!$C211-TimeZone/24</f>
        <v>45554.020530231763</v>
      </c>
      <c r="H211" s="13" t="str">
        <f>INT(P[[#This Row],[Sun]]/30)&amp;"s"&amp;ROUNDUP(MOD(P[[#This Row],[Sun]],30),2)</f>
        <v>5s2.37</v>
      </c>
      <c r="I211" s="13" t="str">
        <f>INT(P[[#This Row],[Moon]]/30)&amp;"s"&amp;ROUNDUP(MOD(P[[#This Row],[Moon]],30),2)</f>
        <v>11s15.36</v>
      </c>
      <c r="J211" s="14">
        <f t="shared" si="36"/>
        <v>45554.020530231763</v>
      </c>
      <c r="K211" s="10" t="str">
        <f>naks(P[[#This Row],[Moon]])</f>
        <v>Uttara Bhadrapada</v>
      </c>
      <c r="L211" s="15">
        <f>(C212-P[[#This Row],[SunRise]])/(MOD(360+V212-P[[#This Row],[Moon]],360))*(13.3333333333333-MOD(P[[#This Row],[Moon]],13.333333333333))+P[[#This Row],[SunRise]]</f>
        <v>45554.336626616736</v>
      </c>
      <c r="M211" s="4" t="str">
        <f>IF(Panchanga!$R211&gt;15,"K","S")&amp;ROUNDUP(MOD(Panchanga!$R211,15),0)&amp;" ("&amp;ROUND(Panchanga!$R211,2)&amp;")"</f>
        <v>K2 (16.08)</v>
      </c>
      <c r="N211" s="4">
        <f>IF(AND(Panchanga!$R211&lt;28.5,Panchanga!$R211&gt;0.49999),MOD((Panchanga!$R211-0.5)*2,7),MOD((Panchanga!$R211+30-28.5),30)*2+7)</f>
        <v>3.164200000000001</v>
      </c>
      <c r="O211" s="4" t="str">
        <f>CHOOSE(ROUNDUP(Panchanga!$N211,0),"Bhava","Baalava","Kaulava","Taitula","Garija","Vanija","Vishti","Shakuni","Chatushapda","Naaga","Kimstugna")</f>
        <v>Taitula</v>
      </c>
      <c r="P211" s="11" t="str">
        <f>CHOOSE(ROUNDUP(Panchanga!$S211,0),"viṣkambha","prīti","āyuṣmāna","saubhāgya","śobhana","atigaṇḍa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("&amp;Panchanga!$S211&amp;")"</f>
        <v>vṛddhi  (10.33)</v>
      </c>
      <c r="Q211" s="4">
        <f>IF(AND(Panchanga!$R211&lt;28.5,Panchanga!$R211&gt;0.49999),MOD((Panchanga!$R211-0.5)*2,7),MOD((Panchanga!$R211+30-28.5),30)*2+7)</f>
        <v>3.164200000000001</v>
      </c>
      <c r="R211" s="4">
        <f>ROUNDUP(MOD(360+P[[#This Row],[Moon]]-P[[#This Row],[Sun]],360)/12,4)</f>
        <v>16.082100000000001</v>
      </c>
      <c r="S211" s="4">
        <f>ROUNDUP(MOD(P[[#This Row],[Sun]]+P[[#This Row],[Moon]],360)/13.333333333,2)</f>
        <v>10.33</v>
      </c>
      <c r="T211" s="4" t="str">
        <f>SIGN(W212-Panchanga!$W211)*INT(Panchanga!$W211/30+1)&amp;"Ma,"&amp;SIGN(X212-Panchanga!$X211)*INT(Panchanga!$X211/30+1)&amp;"Me,"&amp;SIGN(Y212-Panchanga!$Y211)*INT(Panchanga!$Y211/30+1)&amp;"J, "&amp;SIGN(Z212-Panchanga!$Z211)*INT(Panchanga!$Z211/30+1)&amp;"V,"&amp;SIGN(AA212-Panchanga!$AA211)*INT(Panchanga!$AA211/30+1)&amp;"S,"&amp;INT(Panchanga!$AB211/30+1)&amp;"R"</f>
        <v>3Ma,5Me,2J, 7V,-11S,12R</v>
      </c>
      <c r="U211" s="4">
        <f t="shared" si="34"/>
        <v>152.36861678218347</v>
      </c>
      <c r="V211" s="4">
        <f t="shared" si="35"/>
        <v>345.35314107299916</v>
      </c>
      <c r="W211" s="4">
        <f>Planet(Panchanga!$G211,4)</f>
        <v>74.110714556411295</v>
      </c>
      <c r="X211" s="4">
        <f>Planet(Panchanga!$G211,2)</f>
        <v>142.25419908258783</v>
      </c>
      <c r="Y211" s="4">
        <f>Planet(Panchanga!$G211,5)</f>
        <v>56.46130065864606</v>
      </c>
      <c r="Z211" s="4">
        <f>Planet(Panchanga!$G211,3)</f>
        <v>180.81501421491669</v>
      </c>
      <c r="AA211" s="4">
        <f>Planet(Panchanga!$G211,6)</f>
        <v>321.00448127499874</v>
      </c>
      <c r="AB211" s="4">
        <f>Planet(Panchanga!$G211,10)</f>
        <v>342.80106051161249</v>
      </c>
      <c r="AC211" s="4" t="str">
        <f>TEXT(Panchanga!$C211+($C212-Panchanga!$C211)/ABS(IF($R212&lt;1,$R212+30,$R212)-Panchanga!$R211)*(ROUNDUP(Panchanga!$R211,0)-Panchanga!$R211),"hh:mm AM/PM")</f>
        <v>12:41 AM</v>
      </c>
      <c r="AD211" s="4"/>
    </row>
    <row r="212" spans="1:30" x14ac:dyDescent="0.2">
      <c r="A212" s="3">
        <f t="shared" si="37"/>
        <v>45555</v>
      </c>
      <c r="B212" s="3">
        <f t="shared" si="32"/>
        <v>45555.229166666664</v>
      </c>
      <c r="C212" s="6">
        <f t="shared" si="33"/>
        <v>45555.249707558345</v>
      </c>
      <c r="D212" s="6">
        <f>sunset(Lat,Long,B212)+TimeZone/24-0.000277777777777778</f>
        <v>45554.754748350984</v>
      </c>
      <c r="E212" s="6">
        <f>PlanetRiseSet(Lat,Long,B212,1,1)+TimeZone/24+0.00103009259259259</f>
        <v>45554.800050283935</v>
      </c>
      <c r="F212" s="6">
        <f>PlanetRiseSet(Lat,Long,B212+1,1,2)+TimeZone/24+0.00103009259259259</f>
        <v>45556.373366218679</v>
      </c>
      <c r="G212" s="17">
        <f>Panchanga!$C212-TimeZone/24</f>
        <v>45555.020540891681</v>
      </c>
      <c r="H212" s="13" t="str">
        <f>INT(P[[#This Row],[Sun]]/30)&amp;"s"&amp;ROUNDUP(MOD(P[[#This Row],[Sun]],30),2)</f>
        <v>5s3.35</v>
      </c>
      <c r="I212" s="13" t="str">
        <f>INT(P[[#This Row],[Moon]]/30)&amp;"s"&amp;ROUNDUP(MOD(P[[#This Row],[Moon]],30),2)</f>
        <v>0s0.47</v>
      </c>
      <c r="J212" s="14">
        <f t="shared" si="36"/>
        <v>45555.020540891681</v>
      </c>
      <c r="K212" s="10" t="str">
        <f>naks(P[[#This Row],[Moon]])</f>
        <v>Aswini</v>
      </c>
      <c r="L212" s="15">
        <f>(C213-P[[#This Row],[SunRise]])/(MOD(360+V213-P[[#This Row],[Moon]],360))*(13.3333333333333-MOD(P[[#This Row],[Moon]],13.333333333333))+P[[#This Row],[SunRise]]</f>
        <v>45556.114296373577</v>
      </c>
      <c r="M212" s="4" t="str">
        <f>IF(Panchanga!$R212&gt;15,"K","S")&amp;ROUNDUP(MOD(Panchanga!$R212,15),0)&amp;" ("&amp;ROUND(Panchanga!$R212,2)&amp;")"</f>
        <v>K3 (17.26)</v>
      </c>
      <c r="N212" s="4">
        <f>IF(AND(Panchanga!$R212&lt;28.5,Panchanga!$R212&gt;0.49999),MOD((Panchanga!$R212-0.5)*2,7),MOD((Panchanga!$R212+30-28.5),30)*2+7)</f>
        <v>5.5197999999999965</v>
      </c>
      <c r="O212" s="4" t="str">
        <f>CHOOSE(ROUNDUP(Panchanga!$N212,0),"Bhava","Baalava","Kaulava","Taitula","Garija","Vanija","Vishti","Shakuni","Chatushapda","Naaga","Kimstugna")</f>
        <v>Vanija</v>
      </c>
      <c r="P212" s="11" t="str">
        <f>CHOOSE(ROUNDUP(Panchanga!$S212,0),"viṣkambha","prīti","āyuṣmāna","saubhāgya","śobhana","atigaṇḍa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("&amp;Panchanga!$S212&amp;")"</f>
        <v>dhruva  (11.54)</v>
      </c>
      <c r="Q212" s="4">
        <f>IF(AND(Panchanga!$R212&lt;28.5,Panchanga!$R212&gt;0.49999),MOD((Panchanga!$R212-0.5)*2,7),MOD((Panchanga!$R212+30-28.5),30)*2+7)</f>
        <v>5.5197999999999965</v>
      </c>
      <c r="R212" s="4">
        <f>ROUNDUP(MOD(360+P[[#This Row],[Moon]]-P[[#This Row],[Sun]],360)/12,4)</f>
        <v>17.259899999999998</v>
      </c>
      <c r="S212" s="4">
        <f>ROUNDUP(MOD(P[[#This Row],[Sun]]+P[[#This Row],[Moon]],360)/13.333333333,2)</f>
        <v>11.54</v>
      </c>
      <c r="T212" s="4" t="str">
        <f>SIGN(W213-Panchanga!$W212)*INT(Panchanga!$W212/30+1)&amp;"Ma,"&amp;SIGN(X213-Panchanga!$X212)*INT(Panchanga!$X212/30+1)&amp;"Me,"&amp;SIGN(Y213-Panchanga!$Y212)*INT(Panchanga!$Y212/30+1)&amp;"J, "&amp;SIGN(Z213-Panchanga!$Z212)*INT(Panchanga!$Z212/30+1)&amp;"V,"&amp;SIGN(AA213-Panchanga!$AA212)*INT(Panchanga!$AA212/30+1)&amp;"S,"&amp;INT(Panchanga!$AB212/30+1)&amp;"R"</f>
        <v>3Ma,5Me,2J, 7V,-11S,12R</v>
      </c>
      <c r="U212" s="4">
        <f t="shared" si="34"/>
        <v>153.34501940897394</v>
      </c>
      <c r="V212" s="4">
        <f t="shared" si="35"/>
        <v>0.4635040336247449</v>
      </c>
      <c r="W212" s="4">
        <f>Planet(Panchanga!$G212,4)</f>
        <v>74.674447087946049</v>
      </c>
      <c r="X212" s="4">
        <f>Planet(Panchanga!$G212,2)</f>
        <v>144.10452808132794</v>
      </c>
      <c r="Y212" s="4">
        <f>Planet(Panchanga!$G212,5)</f>
        <v>56.525093820363495</v>
      </c>
      <c r="Z212" s="4">
        <f>Planet(Panchanga!$G212,3)</f>
        <v>182.03444764746996</v>
      </c>
      <c r="AA212" s="4">
        <f>Planet(Panchanga!$G212,6)</f>
        <v>320.93042560115725</v>
      </c>
      <c r="AB212" s="4">
        <f>Planet(Panchanga!$G212,10)</f>
        <v>342.74806795974411</v>
      </c>
      <c r="AC212" s="4" t="str">
        <f>TEXT(Panchanga!$C212+($C213-Panchanga!$C212)/ABS(IF($R213&lt;1,$R213+30,$R213)-Panchanga!$R212)*(ROUNDUP(Panchanga!$R212,0)-Panchanga!$R212),"hh:mm AM/PM")</f>
        <v>09:19 PM</v>
      </c>
      <c r="AD212" s="4"/>
    </row>
    <row r="213" spans="1:30" x14ac:dyDescent="0.2">
      <c r="A213" s="3">
        <f t="shared" si="37"/>
        <v>45556</v>
      </c>
      <c r="B213" s="3">
        <f t="shared" si="32"/>
        <v>45556.229166666664</v>
      </c>
      <c r="C213" s="6">
        <f t="shared" si="33"/>
        <v>45556.24971926181</v>
      </c>
      <c r="D213" s="6">
        <f>sunset(Lat,Long,B213)+TimeZone/24-0.000277777777777778</f>
        <v>45555.754241657021</v>
      </c>
      <c r="E213" s="6">
        <f>PlanetRiseSet(Lat,Long,B213,1,1)+TimeZone/24+0.00103009259259259</f>
        <v>45555.831861012302</v>
      </c>
      <c r="F213" s="6">
        <f>PlanetRiseSet(Lat,Long,B213+1,1,2)+TimeZone/24+0.00103009259259259</f>
        <v>45557.416747530144</v>
      </c>
      <c r="G213" s="17">
        <f>Panchanga!$C213-TimeZone/24</f>
        <v>45556.020552595146</v>
      </c>
      <c r="H213" s="13" t="str">
        <f>INT(P[[#This Row],[Sun]]/30)&amp;"s"&amp;ROUNDUP(MOD(P[[#This Row],[Sun]],30),2)</f>
        <v>5s4.33</v>
      </c>
      <c r="I213" s="13" t="str">
        <f>INT(P[[#This Row],[Moon]]/30)&amp;"s"&amp;ROUNDUP(MOD(P[[#This Row],[Moon]],30),2)</f>
        <v>0s15.35</v>
      </c>
      <c r="J213" s="14">
        <f t="shared" si="36"/>
        <v>45556.020552595146</v>
      </c>
      <c r="K213" s="10" t="str">
        <f>naks(P[[#This Row],[Moon]])</f>
        <v>Bharani</v>
      </c>
      <c r="L213" s="15">
        <f>(C214-P[[#This Row],[SunRise]])/(MOD(360+V214-P[[#This Row],[Moon]],360))*(13.3333333333333-MOD(P[[#This Row],[Moon]],13.333333333333))+P[[#This Row],[SunRise]]</f>
        <v>45557.027408065143</v>
      </c>
      <c r="M213" s="4" t="str">
        <f>IF(Panchanga!$R213&gt;15,"K","S")&amp;ROUNDUP(MOD(Panchanga!$R213,15),0)&amp;" ("&amp;ROUND(Panchanga!$R213,2)&amp;")"</f>
        <v>K4 (18.42)</v>
      </c>
      <c r="N213" s="4">
        <f>IF(AND(Panchanga!$R213&lt;28.5,Panchanga!$R213&gt;0.49999),MOD((Panchanga!$R213-0.5)*2,7),MOD((Panchanga!$R213+30-28.5),30)*2+7)</f>
        <v>0.83800000000000097</v>
      </c>
      <c r="O213" s="4" t="str">
        <f>CHOOSE(ROUNDUP(Panchanga!$N213,0),"Bhava","Baalava","Kaulava","Taitula","Garija","Vanija","Vishti","Shakuni","Chatushapda","Naaga","Kimstugna")</f>
        <v>Bhava</v>
      </c>
      <c r="P213" s="11" t="str">
        <f>CHOOSE(ROUNDUP(Panchanga!$S213,0),"viṣkambha","prīti","āyuṣmāna","saubhāgya","śobhana","atigaṇḍa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("&amp;Panchanga!$S213&amp;")"</f>
        <v>vyāghāta (12.73)</v>
      </c>
      <c r="Q213" s="4">
        <f>IF(AND(Panchanga!$R213&lt;28.5,Panchanga!$R213&gt;0.49999),MOD((Panchanga!$R213-0.5)*2,7),MOD((Panchanga!$R213+30-28.5),30)*2+7)</f>
        <v>0.83800000000000097</v>
      </c>
      <c r="R213" s="4">
        <f>ROUNDUP(MOD(360+P[[#This Row],[Moon]]-P[[#This Row],[Sun]],360)/12,4)</f>
        <v>18.419</v>
      </c>
      <c r="S213" s="4">
        <f>ROUNDUP(MOD(P[[#This Row],[Sun]]+P[[#This Row],[Moon]],360)/13.333333333,2)</f>
        <v>12.73</v>
      </c>
      <c r="T213" s="4" t="str">
        <f>SIGN(W214-Panchanga!$W213)*INT(Panchanga!$W213/30+1)&amp;"Ma,"&amp;SIGN(X214-Panchanga!$X213)*INT(Panchanga!$X213/30+1)&amp;"Me,"&amp;SIGN(Y214-Panchanga!$Y213)*INT(Panchanga!$Y213/30+1)&amp;"J, "&amp;SIGN(Z214-Panchanga!$Z213)*INT(Panchanga!$Z213/30+1)&amp;"V,"&amp;SIGN(AA214-Panchanga!$AA213)*INT(Panchanga!$AA213/30+1)&amp;"S,"&amp;INT(Panchanga!$AB213/30+1)&amp;"R"</f>
        <v>3Ma,5Me,2J, 7V,-11S,12R</v>
      </c>
      <c r="U213" s="4">
        <f t="shared" si="34"/>
        <v>154.32200349186888</v>
      </c>
      <c r="V213" s="4">
        <f t="shared" si="35"/>
        <v>15.349169559922071</v>
      </c>
      <c r="W213" s="4">
        <f>Planet(Panchanga!$G213,4)</f>
        <v>75.235113146256211</v>
      </c>
      <c r="X213" s="4">
        <f>Planet(Panchanga!$G213,2)</f>
        <v>145.96087283157678</v>
      </c>
      <c r="Y213" s="4">
        <f>Planet(Panchanga!$G213,5)</f>
        <v>56.585867911162914</v>
      </c>
      <c r="Z213" s="4">
        <f>Planet(Panchanga!$G213,3)</f>
        <v>183.25359038871997</v>
      </c>
      <c r="AA213" s="4">
        <f>Planet(Panchanga!$G213,6)</f>
        <v>320.85683669105168</v>
      </c>
      <c r="AB213" s="4">
        <f>Planet(Panchanga!$G213,10)</f>
        <v>342.69507535257173</v>
      </c>
      <c r="AC213" s="4" t="str">
        <f>TEXT(Panchanga!$C213+($C214-Panchanga!$C213)/ABS(IF($R214&lt;1,$R214+30,$R214)-Panchanga!$R213)*(ROUNDUP(Panchanga!$R213,0)-Panchanga!$R213),"hh:mm AM/PM")</f>
        <v>06:19 PM</v>
      </c>
      <c r="AD213" s="4"/>
    </row>
    <row r="214" spans="1:30" x14ac:dyDescent="0.2">
      <c r="A214" s="3">
        <f t="shared" si="37"/>
        <v>45557</v>
      </c>
      <c r="B214" s="3">
        <f t="shared" si="32"/>
        <v>45557.229166666664</v>
      </c>
      <c r="C214" s="6">
        <f t="shared" si="33"/>
        <v>45557.249732256088</v>
      </c>
      <c r="D214" s="6">
        <f>sunset(Lat,Long,B214)+TimeZone/24-0.000277777777777778</f>
        <v>45556.753735881808</v>
      </c>
      <c r="E214" s="6">
        <f>PlanetRiseSet(Lat,Long,B214,1,1)+TimeZone/24+0.00103009259259259</f>
        <v>45556.865671700951</v>
      </c>
      <c r="F214" s="6">
        <f>PlanetRiseSet(Lat,Long,B214+1,1,2)+TimeZone/24+0.00103009259259259</f>
        <v>45558.460496006686</v>
      </c>
      <c r="G214" s="17">
        <f>Panchanga!$C214-TimeZone/24</f>
        <v>45557.020565589424</v>
      </c>
      <c r="H214" s="13" t="str">
        <f>INT(P[[#This Row],[Sun]]/30)&amp;"s"&amp;ROUNDUP(MOD(P[[#This Row],[Sun]],30),2)</f>
        <v>5s5.3</v>
      </c>
      <c r="I214" s="13" t="str">
        <f>INT(P[[#This Row],[Moon]]/30)&amp;"s"&amp;ROUNDUP(MOD(P[[#This Row],[Moon]],30),2)</f>
        <v>0s29.91</v>
      </c>
      <c r="J214" s="14">
        <f t="shared" si="36"/>
        <v>45557.020565589424</v>
      </c>
      <c r="K214" s="10" t="str">
        <f>naks(P[[#This Row],[Moon]])</f>
        <v>Krittika</v>
      </c>
      <c r="L214" s="15">
        <f>(C215-P[[#This Row],[SunRise]])/(MOD(360+V215-P[[#This Row],[Moon]],360))*(13.3333333333333-MOD(P[[#This Row],[Moon]],13.333333333333))+P[[#This Row],[SunRise]]</f>
        <v>45557.963132947829</v>
      </c>
      <c r="M214" s="4" t="str">
        <f>IF(Panchanga!$R214&gt;15,"K","S")&amp;ROUNDUP(MOD(Panchanga!$R214,15),0)&amp;" ("&amp;ROUND(Panchanga!$R214,2)&amp;")"</f>
        <v>K5 (19.55)</v>
      </c>
      <c r="N214" s="4">
        <f>IF(AND(Panchanga!$R214&lt;28.5,Panchanga!$R214&gt;0.49999),MOD((Panchanga!$R214-0.5)*2,7),MOD((Panchanga!$R214+30-28.5),30)*2+7)</f>
        <v>3.1006</v>
      </c>
      <c r="O214" s="4" t="str">
        <f>CHOOSE(ROUNDUP(Panchanga!$N214,0),"Bhava","Baalava","Kaulava","Taitula","Garija","Vanija","Vishti","Shakuni","Chatushapda","Naaga","Kimstugna")</f>
        <v>Taitula</v>
      </c>
      <c r="P214" s="11" t="str">
        <f>CHOOSE(ROUNDUP(Panchanga!$S214,0),"viṣkambha","prīti","āyuṣmāna","saubhāgya","śobhana","atigaṇḍa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("&amp;Panchanga!$S214&amp;")"</f>
        <v>harṣaṇa (13.9)</v>
      </c>
      <c r="Q214" s="4">
        <f>IF(AND(Panchanga!$R214&lt;28.5,Panchanga!$R214&gt;0.49999),MOD((Panchanga!$R214-0.5)*2,7),MOD((Panchanga!$R214+30-28.5),30)*2+7)</f>
        <v>3.1006</v>
      </c>
      <c r="R214" s="4">
        <f>ROUNDUP(MOD(360+P[[#This Row],[Moon]]-P[[#This Row],[Sun]],360)/12,4)</f>
        <v>19.5503</v>
      </c>
      <c r="S214" s="4">
        <f>ROUNDUP(MOD(P[[#This Row],[Sun]]+P[[#This Row],[Moon]],360)/13.333333333,2)</f>
        <v>13.9</v>
      </c>
      <c r="T214" s="4" t="str">
        <f>SIGN(W215-Panchanga!$W214)*INT(Panchanga!$W214/30+1)&amp;"Ma,"&amp;SIGN(X215-Panchanga!$X214)*INT(Panchanga!$X214/30+1)&amp;"Me,"&amp;SIGN(Y215-Panchanga!$Y214)*INT(Panchanga!$Y214/30+1)&amp;"J, "&amp;SIGN(Z215-Panchanga!$Z214)*INT(Panchanga!$Z214/30+1)&amp;"V,"&amp;SIGN(AA215-Panchanga!$AA214)*INT(Panchanga!$AA214/30+1)&amp;"S,"&amp;INT(Panchanga!$AB214/30+1)&amp;"R"</f>
        <v>3Ma,5Me,2J, 7V,-11S,12R</v>
      </c>
      <c r="U214" s="4">
        <f t="shared" si="34"/>
        <v>155.29959002094935</v>
      </c>
      <c r="V214" s="4">
        <f t="shared" si="35"/>
        <v>29.902091141010295</v>
      </c>
      <c r="W214" s="4">
        <f>Planet(Panchanga!$G214,4)</f>
        <v>75.792654257209264</v>
      </c>
      <c r="X214" s="4">
        <f>Planet(Panchanga!$G214,2)</f>
        <v>147.81927297731337</v>
      </c>
      <c r="Y214" s="4">
        <f>Planet(Panchanga!$G214,5)</f>
        <v>56.643594653179704</v>
      </c>
      <c r="Z214" s="4">
        <f>Planet(Panchanga!$G214,3)</f>
        <v>184.47245322533166</v>
      </c>
      <c r="AA214" s="4">
        <f>Planet(Panchanga!$G214,6)</f>
        <v>320.78375171082035</v>
      </c>
      <c r="AB214" s="4">
        <f>Planet(Panchanga!$G214,10)</f>
        <v>342.64208267700599</v>
      </c>
      <c r="AC214" s="4" t="str">
        <f>TEXT(Panchanga!$C214+($C215-Panchanga!$C214)/ABS(IF($R215&lt;1,$R215+30,$R215)-Panchanga!$R214)*(ROUNDUP(Panchanga!$R214,0)-Panchanga!$R214),"hh:mm AM/PM")</f>
        <v>03:49 PM</v>
      </c>
      <c r="AD214" s="4"/>
    </row>
    <row r="215" spans="1:30" x14ac:dyDescent="0.2">
      <c r="A215" s="3">
        <f t="shared" si="37"/>
        <v>45558</v>
      </c>
      <c r="B215" s="3">
        <f t="shared" si="32"/>
        <v>45558.229166666664</v>
      </c>
      <c r="C215" s="6">
        <f t="shared" si="33"/>
        <v>45558.249746773079</v>
      </c>
      <c r="D215" s="6">
        <f>sunset(Lat,Long,B215)+TimeZone/24-0.000277777777777778</f>
        <v>45557.753231330353</v>
      </c>
      <c r="E215" s="6">
        <f>PlanetRiseSet(Lat,Long,B215,1,1)+TimeZone/24+0.00103009259259259</f>
        <v>45557.90199912215</v>
      </c>
      <c r="F215" s="6">
        <f>PlanetRiseSet(Lat,Long,B215+1,1,2)+TimeZone/24+0.00103009259259259</f>
        <v>45558.460496200401</v>
      </c>
      <c r="G215" s="17">
        <f>Panchanga!$C215-TimeZone/24</f>
        <v>45558.020580106415</v>
      </c>
      <c r="H215" s="13" t="str">
        <f>INT(P[[#This Row],[Sun]]/30)&amp;"s"&amp;ROUNDUP(MOD(P[[#This Row],[Sun]],30),2)</f>
        <v>5s6.28</v>
      </c>
      <c r="I215" s="13" t="str">
        <f>INT(P[[#This Row],[Moon]]/30)&amp;"s"&amp;ROUNDUP(MOD(P[[#This Row],[Moon]],30),2)</f>
        <v>1s14.06</v>
      </c>
      <c r="J215" s="14">
        <f t="shared" si="36"/>
        <v>45558.020580106415</v>
      </c>
      <c r="K215" s="10" t="str">
        <f>naks(P[[#This Row],[Moon]])</f>
        <v>Rohini</v>
      </c>
      <c r="L215" s="15">
        <f>(C216-P[[#This Row],[SunRise]])/(MOD(360+V216-P[[#This Row],[Moon]],360))*(13.3333333333333-MOD(P[[#This Row],[Moon]],13.333333333333))+P[[#This Row],[SunRise]]</f>
        <v>45558.925226195191</v>
      </c>
      <c r="M215" s="4" t="str">
        <f>IF(Panchanga!$R215&gt;15,"K","S")&amp;ROUNDUP(MOD(Panchanga!$R215,15),0)&amp;" ("&amp;ROUND(Panchanga!$R215,2)&amp;")"</f>
        <v>K6 (20.65)</v>
      </c>
      <c r="N215" s="4">
        <f>IF(AND(Panchanga!$R215&lt;28.5,Panchanga!$R215&gt;0.49999),MOD((Panchanga!$R215-0.5)*2,7),MOD((Panchanga!$R215+30-28.5),30)*2+7)</f>
        <v>5.296599999999998</v>
      </c>
      <c r="O215" s="4" t="str">
        <f>CHOOSE(ROUNDUP(Panchanga!$N215,0),"Bhava","Baalava","Kaulava","Taitula","Garija","Vanija","Vishti","Shakuni","Chatushapda","Naaga","Kimstugna")</f>
        <v>Vanija</v>
      </c>
      <c r="P215" s="11" t="str">
        <f>CHOOSE(ROUNDUP(Panchanga!$S215,0),"viṣkambha","prīti","āyuṣmāna","saubhāgya","śobhana","atigaṇḍa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("&amp;Panchanga!$S215&amp;")"</f>
        <v>siddhi (15.03)</v>
      </c>
      <c r="Q215" s="4">
        <f>IF(AND(Panchanga!$R215&lt;28.5,Panchanga!$R215&gt;0.49999),MOD((Panchanga!$R215-0.5)*2,7),MOD((Panchanga!$R215+30-28.5),30)*2+7)</f>
        <v>5.296599999999998</v>
      </c>
      <c r="R215" s="4">
        <f>ROUNDUP(MOD(360+P[[#This Row],[Moon]]-P[[#This Row],[Sun]],360)/12,4)</f>
        <v>20.648299999999999</v>
      </c>
      <c r="S215" s="4">
        <f>ROUNDUP(MOD(P[[#This Row],[Sun]]+P[[#This Row],[Moon]],360)/13.333333333,2)</f>
        <v>15.03</v>
      </c>
      <c r="T215" s="4" t="str">
        <f>SIGN(W216-Panchanga!$W215)*INT(Panchanga!$W215/30+1)&amp;"Ma,"&amp;SIGN(X216-Panchanga!$X215)*INT(Panchanga!$X215/30+1)&amp;"Me,"&amp;SIGN(Y216-Panchanga!$Y215)*INT(Panchanga!$Y215/30+1)&amp;"J, "&amp;SIGN(Z216-Panchanga!$Z215)*INT(Panchanga!$Z215/30+1)&amp;"V,"&amp;SIGN(AA216-Panchanga!$AA215)*INT(Panchanga!$AA215/30+1)&amp;"S,"&amp;INT(Panchanga!$AB215/30+1)&amp;"R"</f>
        <v>3Ma,5Me,2J, 7V,-11S,12R</v>
      </c>
      <c r="U215" s="4">
        <f t="shared" si="34"/>
        <v>156.27779465563978</v>
      </c>
      <c r="V215" s="4">
        <f t="shared" si="35"/>
        <v>44.056907035045541</v>
      </c>
      <c r="W215" s="4">
        <f>Planet(Panchanga!$G215,4)</f>
        <v>76.347006645563013</v>
      </c>
      <c r="X215" s="4">
        <f>Planet(Panchanga!$G215,2)</f>
        <v>149.67636614437922</v>
      </c>
      <c r="Y215" s="4">
        <f>Planet(Panchanga!$G215,5)</f>
        <v>56.698245544572437</v>
      </c>
      <c r="Z215" s="4">
        <f>Planet(Panchanga!$G215,3)</f>
        <v>185.69104514067661</v>
      </c>
      <c r="AA215" s="4">
        <f>Planet(Panchanga!$G215,6)</f>
        <v>320.71120839811118</v>
      </c>
      <c r="AB215" s="4">
        <f>Planet(Panchanga!$G215,10)</f>
        <v>342.58908992073634</v>
      </c>
      <c r="AC215" s="4" t="str">
        <f>TEXT(Panchanga!$C215+($C216-Panchanga!$C215)/ABS(IF($R216&lt;1,$R216+30,$R216)-Panchanga!$R215)*(ROUNDUP(Panchanga!$R215,0)-Panchanga!$R215),"hh:mm AM/PM")</f>
        <v>01:56 PM</v>
      </c>
      <c r="AD215" s="4"/>
    </row>
    <row r="216" spans="1:30" x14ac:dyDescent="0.2">
      <c r="A216" s="3">
        <f t="shared" si="37"/>
        <v>45559</v>
      </c>
      <c r="B216" s="3">
        <f t="shared" si="32"/>
        <v>45559.229166666664</v>
      </c>
      <c r="C216" s="6">
        <f t="shared" si="33"/>
        <v>45559.249763027452</v>
      </c>
      <c r="D216" s="6">
        <f>sunset(Lat,Long,B216)+TimeZone/24-0.000277777777777778</f>
        <v>45558.752728299281</v>
      </c>
      <c r="E216" s="6">
        <f>PlanetRiseSet(Lat,Long,B216,1,1)+TimeZone/24+0.00103009259259259</f>
        <v>45558.940732810333</v>
      </c>
      <c r="F216" s="6">
        <f>PlanetRiseSet(Lat,Long,B216+1,1,2)+TimeZone/24+0.00103009259259259</f>
        <v>45559.503303025071</v>
      </c>
      <c r="G216" s="17">
        <f>Panchanga!$C216-TimeZone/24</f>
        <v>45559.020596360788</v>
      </c>
      <c r="H216" s="13" t="str">
        <f>INT(P[[#This Row],[Sun]]/30)&amp;"s"&amp;ROUNDUP(MOD(P[[#This Row],[Sun]],30),2)</f>
        <v>5s7.26</v>
      </c>
      <c r="I216" s="13" t="str">
        <f>INT(P[[#This Row],[Moon]]/30)&amp;"s"&amp;ROUNDUP(MOD(P[[#This Row],[Moon]],30),2)</f>
        <v>1s27.8</v>
      </c>
      <c r="J216" s="14">
        <f t="shared" si="36"/>
        <v>45559.020596360788</v>
      </c>
      <c r="K216" s="10" t="str">
        <f>naks(P[[#This Row],[Moon]])</f>
        <v>Mrigashira</v>
      </c>
      <c r="L216" s="15">
        <f>(C217-P[[#This Row],[SunRise]])/(MOD(360+V217-P[[#This Row],[Moon]],360))*(13.3333333333333-MOD(P[[#This Row],[Moon]],13.333333333333))+P[[#This Row],[SunRise]]</f>
        <v>45559.91601764068</v>
      </c>
      <c r="M216" s="4" t="str">
        <f>IF(Panchanga!$R216&gt;15,"K","S")&amp;ROUNDUP(MOD(Panchanga!$R216,15),0)&amp;" ("&amp;ROUND(Panchanga!$R216,2)&amp;")"</f>
        <v>K7 (21.71)</v>
      </c>
      <c r="N216" s="4">
        <f>IF(AND(Panchanga!$R216&lt;28.5,Panchanga!$R216&gt;0.49999),MOD((Panchanga!$R216-0.5)*2,7),MOD((Panchanga!$R216+30-28.5),30)*2+7)</f>
        <v>0.42239999999999611</v>
      </c>
      <c r="O216" s="4" t="str">
        <f>CHOOSE(ROUNDUP(Panchanga!$N216,0),"Bhava","Baalava","Kaulava","Taitula","Garija","Vanija","Vishti","Shakuni","Chatushapda","Naaga","Kimstugna")</f>
        <v>Bhava</v>
      </c>
      <c r="P216" s="11" t="str">
        <f>CHOOSE(ROUNDUP(Panchanga!$S216,0),"viṣkambha","prīti","āyuṣmāna","saubhāgya","śobhana","atigaṇḍa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("&amp;Panchanga!$S216&amp;")"</f>
        <v>vyatipāta (16.13)</v>
      </c>
      <c r="Q216" s="4">
        <f>IF(AND(Panchanga!$R216&lt;28.5,Panchanga!$R216&gt;0.49999),MOD((Panchanga!$R216-0.5)*2,7),MOD((Panchanga!$R216+30-28.5),30)*2+7)</f>
        <v>0.42239999999999611</v>
      </c>
      <c r="R216" s="4">
        <f>ROUNDUP(MOD(360+P[[#This Row],[Moon]]-P[[#This Row],[Sun]],360)/12,4)</f>
        <v>21.711199999999998</v>
      </c>
      <c r="S216" s="4">
        <f>ROUNDUP(MOD(P[[#This Row],[Sun]]+P[[#This Row],[Moon]],360)/13.333333333,2)</f>
        <v>16.130000000000003</v>
      </c>
      <c r="T216" s="4" t="str">
        <f>SIGN(W217-Panchanga!$W216)*INT(Panchanga!$W216/30+1)&amp;"Ma,"&amp;SIGN(X217-Panchanga!$X216)*INT(Panchanga!$X216/30+1)&amp;"Me,"&amp;SIGN(Y217-Panchanga!$Y216)*INT(Panchanga!$Y216/30+1)&amp;"J, "&amp;SIGN(Z217-Panchanga!$Z216)*INT(Panchanga!$Z216/30+1)&amp;"V,"&amp;SIGN(AA217-Panchanga!$AA216)*INT(Panchanga!$AA216/30+1)&amp;"S,"&amp;INT(Panchanga!$AB216/30+1)&amp;"R"</f>
        <v>3Ma,6Me,2J, 7V,-11S,12R</v>
      </c>
      <c r="U216" s="4">
        <f t="shared" si="34"/>
        <v>157.25662753518654</v>
      </c>
      <c r="V216" s="4">
        <f t="shared" si="35"/>
        <v>57.79023003065052</v>
      </c>
      <c r="W216" s="4">
        <f>Planet(Panchanga!$G216,4)</f>
        <v>76.898102787574658</v>
      </c>
      <c r="X216" s="4">
        <f>Planet(Panchanga!$G216,2)</f>
        <v>151.52933298795094</v>
      </c>
      <c r="Y216" s="4">
        <f>Planet(Panchanga!$G216,5)</f>
        <v>56.749792428611926</v>
      </c>
      <c r="Z216" s="4">
        <f>Planet(Panchanga!$G216,3)</f>
        <v>186.90937250773212</v>
      </c>
      <c r="AA216" s="4">
        <f>Planet(Panchanga!$G216,6)</f>
        <v>320.6392450181703</v>
      </c>
      <c r="AB216" s="4">
        <f>Planet(Panchanga!$G216,10)</f>
        <v>342.5360970724131</v>
      </c>
      <c r="AC216" s="4" t="str">
        <f>TEXT(Panchanga!$C216+($C217-Panchanga!$C216)/ABS(IF($R217&lt;1,$R217+30,$R217)-Panchanga!$R216)*(ROUNDUP(Panchanga!$R216,0)-Panchanga!$R216),"hh:mm AM/PM")</f>
        <v>12:43 PM</v>
      </c>
      <c r="AD216" s="4"/>
    </row>
    <row r="217" spans="1:30" x14ac:dyDescent="0.2">
      <c r="A217" s="3">
        <f t="shared" si="37"/>
        <v>45560</v>
      </c>
      <c r="B217" s="3">
        <f t="shared" si="32"/>
        <v>45560.229166666664</v>
      </c>
      <c r="C217" s="6">
        <f t="shared" si="33"/>
        <v>45560.24978122177</v>
      </c>
      <c r="D217" s="6">
        <f>sunset(Lat,Long,B217)+TimeZone/24-0.000277777777777778</f>
        <v>45559.752227072648</v>
      </c>
      <c r="E217" s="6">
        <f>PlanetRiseSet(Lat,Long,B217,1,1)+TimeZone/24+0.00103009259259259</f>
        <v>45559.981009778254</v>
      </c>
      <c r="F217" s="6">
        <f>PlanetRiseSet(Lat,Long,B217+1,1,2)+TimeZone/24+0.00103009259259259</f>
        <v>45560.543658265997</v>
      </c>
      <c r="G217" s="17">
        <f>Panchanga!$C217-TimeZone/24</f>
        <v>45560.020614555106</v>
      </c>
      <c r="H217" s="13" t="str">
        <f>INT(P[[#This Row],[Sun]]/30)&amp;"s"&amp;ROUNDUP(MOD(P[[#This Row],[Sun]],30),2)</f>
        <v>5s8.24</v>
      </c>
      <c r="I217" s="13" t="str">
        <f>INT(P[[#This Row],[Moon]]/30)&amp;"s"&amp;ROUNDUP(MOD(P[[#This Row],[Moon]],30),2)</f>
        <v>2s11.12</v>
      </c>
      <c r="J217" s="14">
        <f t="shared" si="36"/>
        <v>45560.020614555106</v>
      </c>
      <c r="K217" s="10" t="str">
        <f>naks(P[[#This Row],[Moon]])</f>
        <v>Ardra</v>
      </c>
      <c r="L217" s="15">
        <f>(C218-P[[#This Row],[SunRise]])/(MOD(360+V218-P[[#This Row],[Moon]],360))*(13.3333333333333-MOD(P[[#This Row],[Moon]],13.333333333333))+P[[#This Row],[SunRise]]</f>
        <v>45560.93608786774</v>
      </c>
      <c r="M217" s="4" t="str">
        <f>IF(Panchanga!$R217&gt;15,"K","S")&amp;ROUNDUP(MOD(Panchanga!$R217,15),0)&amp;" ("&amp;ROUND(Panchanga!$R217,2)&amp;")"</f>
        <v>K8 (22.74)</v>
      </c>
      <c r="N217" s="4">
        <f>IF(AND(Panchanga!$R217&lt;28.5,Panchanga!$R217&gt;0.49999),MOD((Panchanga!$R217-0.5)*2,7),MOD((Panchanga!$R217+30-28.5),30)*2+7)</f>
        <v>2.4795999999999978</v>
      </c>
      <c r="O217" s="4" t="str">
        <f>CHOOSE(ROUNDUP(Panchanga!$N217,0),"Bhava","Baalava","Kaulava","Taitula","Garija","Vanija","Vishti","Shakuni","Chatushapda","Naaga","Kimstugna")</f>
        <v>Kaulava</v>
      </c>
      <c r="P217" s="11" t="str">
        <f>CHOOSE(ROUNDUP(Panchanga!$S217,0),"viṣkambha","prīti","āyuṣmāna","saubhāgya","śobhana","atigaṇḍa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("&amp;Panchanga!$S217&amp;")"</f>
        <v>varīyas (17.21)</v>
      </c>
      <c r="Q217" s="4">
        <f>IF(AND(Panchanga!$R217&lt;28.5,Panchanga!$R217&gt;0.49999),MOD((Panchanga!$R217-0.5)*2,7),MOD((Panchanga!$R217+30-28.5),30)*2+7)</f>
        <v>2.4795999999999978</v>
      </c>
      <c r="R217" s="4">
        <f>ROUNDUP(MOD(360+P[[#This Row],[Moon]]-P[[#This Row],[Sun]],360)/12,4)</f>
        <v>22.739799999999999</v>
      </c>
      <c r="S217" s="4">
        <f>ROUNDUP(MOD(P[[#This Row],[Sun]]+P[[#This Row],[Moon]],360)/13.333333333,2)</f>
        <v>17.21</v>
      </c>
      <c r="T217" s="4" t="str">
        <f>SIGN(W218-Panchanga!$W217)*INT(Panchanga!$W217/30+1)&amp;"Ma,"&amp;SIGN(X218-Panchanga!$X217)*INT(Panchanga!$X217/30+1)&amp;"Me,"&amp;SIGN(Y218-Panchanga!$Y217)*INT(Panchanga!$Y217/30+1)&amp;"J, "&amp;SIGN(Z218-Panchanga!$Z217)*INT(Panchanga!$Z217/30+1)&amp;"V,"&amp;SIGN(AA218-Panchanga!$AA217)*INT(Panchanga!$AA217/30+1)&amp;"S,"&amp;INT(Panchanga!$AB217/30+1)&amp;"R"</f>
        <v>3Ma,6Me,2J, 7V,-11S,12R</v>
      </c>
      <c r="U217" s="4">
        <f t="shared" si="34"/>
        <v>158.23609383706571</v>
      </c>
      <c r="V217" s="4">
        <f t="shared" si="35"/>
        <v>71.11336199925033</v>
      </c>
      <c r="W217" s="4">
        <f>Planet(Panchanga!$G217,4)</f>
        <v>77.445872790429249</v>
      </c>
      <c r="X217" s="4">
        <f>Planet(Panchanga!$G217,2)</f>
        <v>153.37584003144235</v>
      </c>
      <c r="Y217" s="4">
        <f>Planet(Panchanga!$G217,5)</f>
        <v>56.798207952486891</v>
      </c>
      <c r="Z217" s="4">
        <f>Planet(Panchanga!$G217,3)</f>
        <v>188.12743885795399</v>
      </c>
      <c r="AA217" s="4">
        <f>Planet(Panchanga!$G217,6)</f>
        <v>320.56790022028275</v>
      </c>
      <c r="AB217" s="4">
        <f>Planet(Panchanga!$G217,10)</f>
        <v>342.48310412128313</v>
      </c>
      <c r="AC217" s="4" t="str">
        <f>TEXT(Panchanga!$C217+($C218-Panchanga!$C217)/ABS(IF($R218&lt;1,$R218+30,$R218)-Panchanga!$R217)*(ROUNDUP(Panchanga!$R217,0)-Panchanga!$R217),"hh:mm AM/PM")</f>
        <v>12:15 PM</v>
      </c>
      <c r="AD217" s="4"/>
    </row>
    <row r="218" spans="1:30" x14ac:dyDescent="0.2">
      <c r="A218" s="3">
        <f t="shared" si="37"/>
        <v>45561</v>
      </c>
      <c r="B218" s="3">
        <f t="shared" si="32"/>
        <v>45561.229166666664</v>
      </c>
      <c r="C218" s="6">
        <f t="shared" si="33"/>
        <v>45561.249801548351</v>
      </c>
      <c r="D218" s="6">
        <f>sunset(Lat,Long,B218)+TimeZone/24-0.000277777777777778</f>
        <v>45560.751727927985</v>
      </c>
      <c r="E218" s="6">
        <f>PlanetRiseSet(Lat,Long,B218,1,1)+TimeZone/24+0.00103009259259259</f>
        <v>45561.021456018709</v>
      </c>
      <c r="F218" s="6">
        <f>PlanetRiseSet(Lat,Long,B218+1,1,2)+TimeZone/24+0.00103009259259259</f>
        <v>45561.580479358476</v>
      </c>
      <c r="G218" s="17">
        <f>Panchanga!$C218-TimeZone/24</f>
        <v>45561.020634881686</v>
      </c>
      <c r="H218" s="13" t="str">
        <f>INT(P[[#This Row],[Sun]]/30)&amp;"s"&amp;ROUNDUP(MOD(P[[#This Row],[Sun]],30),2)</f>
        <v>5s9.22</v>
      </c>
      <c r="I218" s="13" t="str">
        <f>INT(P[[#This Row],[Moon]]/30)&amp;"s"&amp;ROUNDUP(MOD(P[[#This Row],[Moon]],30),2)</f>
        <v>2s24.07</v>
      </c>
      <c r="J218" s="14">
        <f t="shared" si="36"/>
        <v>45561.020634881686</v>
      </c>
      <c r="K218" s="10" t="str">
        <f>naks(P[[#This Row],[Moon]])</f>
        <v>Punarvasu</v>
      </c>
      <c r="L218" s="15">
        <f>(C219-P[[#This Row],[SunRise]])/(MOD(360+V219-P[[#This Row],[Moon]],360))*(13.3333333333333-MOD(P[[#This Row],[Moon]],13.333333333333))+P[[#This Row],[SunRise]]</f>
        <v>45561.984193973367</v>
      </c>
      <c r="M218" s="4" t="str">
        <f>IF(Panchanga!$R218&gt;15,"K","S")&amp;ROUNDUP(MOD(Panchanga!$R218,15),0)&amp;" ("&amp;ROUND(Panchanga!$R218,2)&amp;")"</f>
        <v>K9 (23.74)</v>
      </c>
      <c r="N218" s="4">
        <f>IF(AND(Panchanga!$R218&lt;28.5,Panchanga!$R218&gt;0.49999),MOD((Panchanga!$R218-0.5)*2,7),MOD((Panchanga!$R218+30-28.5),30)*2+7)</f>
        <v>4.4744000000000028</v>
      </c>
      <c r="O218" s="4" t="str">
        <f>CHOOSE(ROUNDUP(Panchanga!$N218,0),"Bhava","Baalava","Kaulava","Taitula","Garija","Vanija","Vishti","Shakuni","Chatushapda","Naaga","Kimstugna")</f>
        <v>Garija</v>
      </c>
      <c r="P218" s="11" t="str">
        <f>CHOOSE(ROUNDUP(Panchanga!$S218,0),"viṣkambha","prīti","āyuṣmāna","saubhāgya","śobhana","atigaṇḍa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("&amp;Panchanga!$S218&amp;")"</f>
        <v>parigha (18.25)</v>
      </c>
      <c r="Q218" s="4">
        <f>IF(AND(Panchanga!$R218&lt;28.5,Panchanga!$R218&gt;0.49999),MOD((Panchanga!$R218-0.5)*2,7),MOD((Panchanga!$R218+30-28.5),30)*2+7)</f>
        <v>4.4744000000000028</v>
      </c>
      <c r="R218" s="4">
        <f>ROUNDUP(MOD(360+P[[#This Row],[Moon]]-P[[#This Row],[Sun]],360)/12,4)</f>
        <v>23.737200000000001</v>
      </c>
      <c r="S218" s="4">
        <f>ROUNDUP(MOD(P[[#This Row],[Sun]]+P[[#This Row],[Moon]],360)/13.333333333,2)</f>
        <v>18.25</v>
      </c>
      <c r="T218" s="4" t="str">
        <f>SIGN(W219-Panchanga!$W218)*INT(Panchanga!$W218/30+1)&amp;"Ma,"&amp;SIGN(X219-Panchanga!$X218)*INT(Panchanga!$X218/30+1)&amp;"Me,"&amp;SIGN(Y219-Panchanga!$Y218)*INT(Panchanga!$Y218/30+1)&amp;"J, "&amp;SIGN(Z219-Panchanga!$Z218)*INT(Panchanga!$Z218/30+1)&amp;"V,"&amp;SIGN(AA219-Panchanga!$AA218)*INT(Panchanga!$AA218/30+1)&amp;"S,"&amp;INT(Panchanga!$AB218/30+1)&amp;"R"</f>
        <v>3Ma,6Me,2J, 7V,-11S,12R</v>
      </c>
      <c r="U218" s="4">
        <f t="shared" si="34"/>
        <v>159.21619462809392</v>
      </c>
      <c r="V218" s="4">
        <f t="shared" si="35"/>
        <v>84.062119945723282</v>
      </c>
      <c r="W218" s="4">
        <f>Planet(Panchanga!$G218,4)</f>
        <v>77.990245367071253</v>
      </c>
      <c r="X218" s="4">
        <f>Planet(Panchanga!$G218,2)</f>
        <v>155.2139828466716</v>
      </c>
      <c r="Y218" s="4">
        <f>Planet(Panchanga!$G218,5)</f>
        <v>56.843465879172911</v>
      </c>
      <c r="Z218" s="4">
        <f>Planet(Panchanga!$G218,3)</f>
        <v>189.34524501597915</v>
      </c>
      <c r="AA218" s="4">
        <f>Planet(Panchanga!$G218,6)</f>
        <v>320.4972128637848</v>
      </c>
      <c r="AB218" s="4">
        <f>Planet(Panchanga!$G218,10)</f>
        <v>342.43011105717318</v>
      </c>
      <c r="AC218" s="4" t="str">
        <f>TEXT(Panchanga!$C218+($C219-Panchanga!$C218)/ABS(IF($R219&lt;1,$R219+30,$R219)-Panchanga!$R218)*(ROUNDUP(Panchanga!$R218,0)-Panchanga!$R218),"hh:mm AM/PM")</f>
        <v>12:29 PM</v>
      </c>
      <c r="AD218" s="4"/>
    </row>
    <row r="219" spans="1:30" x14ac:dyDescent="0.2">
      <c r="A219" s="3">
        <f t="shared" si="37"/>
        <v>45562</v>
      </c>
      <c r="B219" s="3">
        <f t="shared" si="32"/>
        <v>45562.229166666664</v>
      </c>
      <c r="C219" s="6">
        <f t="shared" si="33"/>
        <v>45562.249824191131</v>
      </c>
      <c r="D219" s="6">
        <f>sunset(Lat,Long,B219)+TimeZone/24-0.000277777777777778</f>
        <v>45561.751231134913</v>
      </c>
      <c r="E219" s="6">
        <f>PlanetRiseSet(Lat,Long,B219,1,1)+TimeZone/24+0.00103009259259259</f>
        <v>45562.060736520834</v>
      </c>
      <c r="F219" s="6">
        <f>PlanetRiseSet(Lat,Long,B219+1,1,2)+TimeZone/24+0.00103009259259259</f>
        <v>45562.613440465801</v>
      </c>
      <c r="G219" s="17">
        <f>Panchanga!$C219-TimeZone/24</f>
        <v>45562.020657524467</v>
      </c>
      <c r="H219" s="13" t="str">
        <f>INT(P[[#This Row],[Sun]]/30)&amp;"s"&amp;ROUNDUP(MOD(P[[#This Row],[Sun]],30),2)</f>
        <v>5s10.2</v>
      </c>
      <c r="I219" s="13" t="str">
        <f>INT(P[[#This Row],[Moon]]/30)&amp;"s"&amp;ROUNDUP(MOD(P[[#This Row],[Moon]],30),2)</f>
        <v>3s6.69</v>
      </c>
      <c r="J219" s="14">
        <f t="shared" si="36"/>
        <v>45562.020657524467</v>
      </c>
      <c r="K219" s="10" t="str">
        <f>naks(P[[#This Row],[Moon]])</f>
        <v>Pushya</v>
      </c>
      <c r="L219" s="15">
        <f>(C220-P[[#This Row],[SunRise]])/(MOD(360+V220-P[[#This Row],[Moon]],360))*(13.3333333333333-MOD(P[[#This Row],[Moon]],13.333333333333))+P[[#This Row],[SunRise]]</f>
        <v>45563.05749076607</v>
      </c>
      <c r="M219" s="4" t="str">
        <f>IF(Panchanga!$R219&gt;15,"K","S")&amp;ROUNDUP(MOD(Panchanga!$R219,15),0)&amp;" ("&amp;ROUND(Panchanga!$R219,2)&amp;")"</f>
        <v>K10 (24.71)</v>
      </c>
      <c r="N219" s="4">
        <f>IF(AND(Panchanga!$R219&lt;28.5,Panchanga!$R219&gt;0.49999),MOD((Panchanga!$R219-0.5)*2,7),MOD((Panchanga!$R219+30-28.5),30)*2+7)</f>
        <v>6.4149999999999991</v>
      </c>
      <c r="O219" s="4" t="str">
        <f>CHOOSE(ROUNDUP(Panchanga!$N219,0),"Bhava","Baalava","Kaulava","Taitula","Garija","Vanija","Vishti","Shakuni","Chatushapda","Naaga","Kimstugna")</f>
        <v>Vishti</v>
      </c>
      <c r="P219" s="11" t="str">
        <f>CHOOSE(ROUNDUP(Panchanga!$S219,0),"viṣkambha","prīti","āyuṣmāna","saubhāgya","śobhana","atigaṇḍa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("&amp;Panchanga!$S219&amp;")"</f>
        <v>śiva (19.27)</v>
      </c>
      <c r="Q219" s="4">
        <f>IF(AND(Panchanga!$R219&lt;28.5,Panchanga!$R219&gt;0.49999),MOD((Panchanga!$R219-0.5)*2,7),MOD((Panchanga!$R219+30-28.5),30)*2+7)</f>
        <v>6.4149999999999991</v>
      </c>
      <c r="R219" s="4">
        <f>ROUNDUP(MOD(360+P[[#This Row],[Moon]]-P[[#This Row],[Sun]],360)/12,4)</f>
        <v>24.7075</v>
      </c>
      <c r="S219" s="4">
        <f>ROUNDUP(MOD(P[[#This Row],[Sun]]+P[[#This Row],[Moon]],360)/13.333333333,2)</f>
        <v>19.270000000000003</v>
      </c>
      <c r="T219" s="4" t="str">
        <f>SIGN(W220-Panchanga!$W219)*INT(Panchanga!$W219/30+1)&amp;"Ma,"&amp;SIGN(X220-Panchanga!$X219)*INT(Panchanga!$X219/30+1)&amp;"Me,"&amp;SIGN(Y220-Panchanga!$Y219)*INT(Panchanga!$Y219/30+1)&amp;"J, "&amp;SIGN(Z220-Panchanga!$Z219)*INT(Panchanga!$Z219/30+1)&amp;"V,"&amp;SIGN(AA220-Panchanga!$AA219)*INT(Panchanga!$AA219/30+1)&amp;"S,"&amp;INT(Panchanga!$AB219/30+1)&amp;"R"</f>
        <v>3Ma,6Me,2J, 7V,-11S,12R</v>
      </c>
      <c r="U219" s="4">
        <f t="shared" si="34"/>
        <v>160.19692766264674</v>
      </c>
      <c r="V219" s="4">
        <f t="shared" si="35"/>
        <v>96.686737245497554</v>
      </c>
      <c r="W219" s="4">
        <f>Planet(Panchanga!$G219,4)</f>
        <v>78.531148432092721</v>
      </c>
      <c r="X219" s="4">
        <f>Planet(Panchanga!$G219,2)</f>
        <v>157.04223143549243</v>
      </c>
      <c r="Y219" s="4">
        <f>Planet(Panchanga!$G219,5)</f>
        <v>56.885541283397842</v>
      </c>
      <c r="Z219" s="4">
        <f>Planet(Panchanga!$G219,3)</f>
        <v>190.56278935954842</v>
      </c>
      <c r="AA219" s="4">
        <f>Planet(Panchanga!$G219,6)</f>
        <v>320.42722185138632</v>
      </c>
      <c r="AB219" s="4">
        <f>Planet(Panchanga!$G219,10)</f>
        <v>342.3771178702911</v>
      </c>
      <c r="AC219" s="4" t="str">
        <f>TEXT(Panchanga!$C219+($C220-Panchanga!$C219)/ABS(IF($R220&lt;1,$R220+30,$R220)-Panchanga!$R219)*(ROUNDUP(Panchanga!$R219,0)-Panchanga!$R219),"hh:mm AM/PM")</f>
        <v>01:24 PM</v>
      </c>
      <c r="AD219" s="4"/>
    </row>
    <row r="220" spans="1:30" x14ac:dyDescent="0.2">
      <c r="A220" s="3">
        <f t="shared" si="37"/>
        <v>45563</v>
      </c>
      <c r="B220" s="3">
        <f t="shared" si="32"/>
        <v>45563.229166666664</v>
      </c>
      <c r="C220" s="6">
        <f t="shared" si="33"/>
        <v>45563.249849327527</v>
      </c>
      <c r="D220" s="6">
        <f>sunset(Lat,Long,B220)+TimeZone/24-0.000277777777777778</f>
        <v>45562.750736958391</v>
      </c>
      <c r="E220" s="6">
        <f>PlanetRiseSet(Lat,Long,B220,1,1)+TimeZone/24+0.00103009259259259</f>
        <v>45563.098022883911</v>
      </c>
      <c r="F220" s="6">
        <f>PlanetRiseSet(Lat,Long,B220+1,1,2)+TimeZone/24+0.00103009259259259</f>
        <v>45563.642868686155</v>
      </c>
      <c r="G220" s="17">
        <f>Panchanga!$C220-TimeZone/24</f>
        <v>45563.020682660863</v>
      </c>
      <c r="H220" s="13" t="str">
        <f>INT(P[[#This Row],[Sun]]/30)&amp;"s"&amp;ROUNDUP(MOD(P[[#This Row],[Sun]],30),2)</f>
        <v>5s11.18</v>
      </c>
      <c r="I220" s="13" t="str">
        <f>INT(P[[#This Row],[Moon]]/30)&amp;"s"&amp;ROUNDUP(MOD(P[[#This Row],[Moon]],30),2)</f>
        <v>3s19.05</v>
      </c>
      <c r="J220" s="14">
        <f t="shared" si="36"/>
        <v>45563.020682660863</v>
      </c>
      <c r="K220" s="10" t="str">
        <f>naks(P[[#This Row],[Moon]])</f>
        <v>Aslesha</v>
      </c>
      <c r="L220" s="15">
        <f>(C221-P[[#This Row],[SunRise]])/(MOD(360+V221-P[[#This Row],[Moon]],360))*(13.3333333333333-MOD(P[[#This Row],[Moon]],13.333333333333))+P[[#This Row],[SunRise]]</f>
        <v>45564.151972539948</v>
      </c>
      <c r="M220" s="4" t="str">
        <f>IF(Panchanga!$R220&gt;15,"K","S")&amp;ROUNDUP(MOD(Panchanga!$R220,15),0)&amp;" ("&amp;ROUND(Panchanga!$R220,2)&amp;")"</f>
        <v>K11 (25.66)</v>
      </c>
      <c r="N220" s="4">
        <f>IF(AND(Panchanga!$R220&lt;28.5,Panchanga!$R220&gt;0.49999),MOD((Panchanga!$R220-0.5)*2,7),MOD((Panchanga!$R220+30-28.5),30)*2+7)</f>
        <v>1.3109999999999999</v>
      </c>
      <c r="O220" s="4" t="str">
        <f>CHOOSE(ROUNDUP(Panchanga!$N220,0),"Bhava","Baalava","Kaulava","Taitula","Garija","Vanija","Vishti","Shakuni","Chatushapda","Naaga","Kimstugna")</f>
        <v>Baalava</v>
      </c>
      <c r="P220" s="11" t="str">
        <f>CHOOSE(ROUNDUP(Panchanga!$S220,0),"viṣkambha","prīti","āyuṣmāna","saubhāgya","śobhana","atigaṇḍa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("&amp;Panchanga!$S220&amp;")"</f>
        <v>siddha (20.27)</v>
      </c>
      <c r="Q220" s="4">
        <f>IF(AND(Panchanga!$R220&lt;28.5,Panchanga!$R220&gt;0.49999),MOD((Panchanga!$R220-0.5)*2,7),MOD((Panchanga!$R220+30-28.5),30)*2+7)</f>
        <v>1.3109999999999999</v>
      </c>
      <c r="R220" s="4">
        <f>ROUNDUP(MOD(360+P[[#This Row],[Moon]]-P[[#This Row],[Sun]],360)/12,4)</f>
        <v>25.6555</v>
      </c>
      <c r="S220" s="4">
        <f>ROUNDUP(MOD(P[[#This Row],[Sun]]+P[[#This Row],[Moon]],360)/13.333333333,2)</f>
        <v>20.270000000000003</v>
      </c>
      <c r="T220" s="4" t="str">
        <f>SIGN(W221-Panchanga!$W220)*INT(Panchanga!$W220/30+1)&amp;"Ma,"&amp;SIGN(X221-Panchanga!$X220)*INT(Panchanga!$X220/30+1)&amp;"Me,"&amp;SIGN(Y221-Panchanga!$Y220)*INT(Panchanga!$Y220/30+1)&amp;"J, "&amp;SIGN(Z221-Panchanga!$Z220)*INT(Panchanga!$Z220/30+1)&amp;"V,"&amp;SIGN(AA221-Panchanga!$AA220)*INT(Panchanga!$AA220/30+1)&amp;"S,"&amp;INT(Panchanga!$AB220/30+1)&amp;"R"</f>
        <v>3Ma,6Me,2J, 7V,-11S,12R</v>
      </c>
      <c r="U220" s="4">
        <f t="shared" si="34"/>
        <v>161.17828800288916</v>
      </c>
      <c r="V220" s="4">
        <f t="shared" si="35"/>
        <v>109.04354460921054</v>
      </c>
      <c r="W220" s="4">
        <f>Planet(Panchanga!$G220,4)</f>
        <v>79.06850945585721</v>
      </c>
      <c r="X220" s="4">
        <f>Planet(Panchanga!$G220,2)</f>
        <v>158.85937919878276</v>
      </c>
      <c r="Y220" s="4">
        <f>Planet(Panchanga!$G220,5)</f>
        <v>56.924410683343091</v>
      </c>
      <c r="Z220" s="4">
        <f>Planet(Panchanga!$G220,3)</f>
        <v>191.78006805908507</v>
      </c>
      <c r="AA220" s="4">
        <f>Planet(Panchanga!$G220,6)</f>
        <v>320.35796599760801</v>
      </c>
      <c r="AB220" s="4">
        <f>Planet(Panchanga!$G220,10)</f>
        <v>342.32412455130861</v>
      </c>
      <c r="AC220" s="4" t="str">
        <f>TEXT(Panchanga!$C220+($C221-Panchanga!$C220)/ABS(IF($R221&lt;1,$R221+30,$R221)-Panchanga!$R220)*(ROUNDUP(Panchanga!$R220,0)-Panchanga!$R220),"hh:mm AM/PM")</f>
        <v>02:53 PM</v>
      </c>
      <c r="AD220" s="4"/>
    </row>
    <row r="221" spans="1:30" x14ac:dyDescent="0.2">
      <c r="A221" s="3">
        <f t="shared" si="37"/>
        <v>45564</v>
      </c>
      <c r="B221" s="3">
        <f t="shared" si="32"/>
        <v>45564.229166666664</v>
      </c>
      <c r="C221" s="6">
        <f t="shared" si="33"/>
        <v>45564.249877129834</v>
      </c>
      <c r="D221" s="6">
        <f>sunset(Lat,Long,B221)+TimeZone/24-0.000277777777777778</f>
        <v>45563.750245658259</v>
      </c>
      <c r="E221" s="6">
        <f>PlanetRiseSet(Lat,Long,B221,1,1)+TimeZone/24+0.00103009259259259</f>
        <v>45564.133108023241</v>
      </c>
      <c r="F221" s="6">
        <f>PlanetRiseSet(Lat,Long,B221+1,1,2)+TimeZone/24+0.00103009259259259</f>
        <v>45564.669452017326</v>
      </c>
      <c r="G221" s="17">
        <f>Panchanga!$C221-TimeZone/24</f>
        <v>45564.02071046317</v>
      </c>
      <c r="H221" s="13" t="str">
        <f>INT(P[[#This Row],[Sun]]/30)&amp;"s"&amp;ROUNDUP(MOD(P[[#This Row],[Sun]],30),2)</f>
        <v>5s12.17</v>
      </c>
      <c r="I221" s="13" t="str">
        <f>INT(P[[#This Row],[Moon]]/30)&amp;"s"&amp;ROUNDUP(MOD(P[[#This Row],[Moon]],30),2)</f>
        <v>4s1.19</v>
      </c>
      <c r="J221" s="14">
        <f t="shared" si="36"/>
        <v>45564.02071046317</v>
      </c>
      <c r="K221" s="10" t="str">
        <f>naks(P[[#This Row],[Moon]])</f>
        <v>Makha</v>
      </c>
      <c r="L221" s="15">
        <f>(C222-P[[#This Row],[SunRise]])/(MOD(360+V222-P[[#This Row],[Moon]],360))*(13.3333333333333-MOD(P[[#This Row],[Moon]],13.333333333333))+P[[#This Row],[SunRise]]</f>
        <v>45565.262991066993</v>
      </c>
      <c r="M221" s="4" t="str">
        <f>IF(Panchanga!$R221&gt;15,"K","S")&amp;ROUNDUP(MOD(Panchanga!$R221,15),0)&amp;" ("&amp;ROUND(Panchanga!$R221,2)&amp;")"</f>
        <v>K12 (26.59)</v>
      </c>
      <c r="N221" s="4">
        <f>IF(AND(Panchanga!$R221&lt;28.5,Panchanga!$R221&gt;0.49999),MOD((Panchanga!$R221-0.5)*2,7),MOD((Panchanga!$R221+30-28.5),30)*2+7)</f>
        <v>3.171599999999998</v>
      </c>
      <c r="O221" s="4" t="str">
        <f>CHOOSE(ROUNDUP(Panchanga!$N221,0),"Bhava","Baalava","Kaulava","Taitula","Garija","Vanija","Vishti","Shakuni","Chatushapda","Naaga","Kimstugna")</f>
        <v>Taitula</v>
      </c>
      <c r="P221" s="11" t="str">
        <f>CHOOSE(ROUNDUP(Panchanga!$S221,0),"viṣkambha","prīti","āyuṣmāna","saubhāgya","śobhana","atigaṇḍa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("&amp;Panchanga!$S221&amp;")"</f>
        <v>sādhya (21.26)</v>
      </c>
      <c r="Q221" s="4">
        <f>IF(AND(Panchanga!$R221&lt;28.5,Panchanga!$R221&gt;0.49999),MOD((Panchanga!$R221-0.5)*2,7),MOD((Panchanga!$R221+30-28.5),30)*2+7)</f>
        <v>3.171599999999998</v>
      </c>
      <c r="R221" s="4">
        <f>ROUNDUP(MOD(360+P[[#This Row],[Moon]]-P[[#This Row],[Sun]],360)/12,4)</f>
        <v>26.585799999999999</v>
      </c>
      <c r="S221" s="4">
        <f>ROUNDUP(MOD(P[[#This Row],[Sun]]+P[[#This Row],[Moon]],360)/13.333333333,2)</f>
        <v>21.26</v>
      </c>
      <c r="T221" s="4" t="str">
        <f>SIGN(W222-Panchanga!$W221)*INT(Panchanga!$W221/30+1)&amp;"Ma,"&amp;SIGN(X222-Panchanga!$X221)*INT(Panchanga!$X221/30+1)&amp;"Me,"&amp;SIGN(Y222-Panchanga!$Y221)*INT(Panchanga!$Y221/30+1)&amp;"J, "&amp;SIGN(Z222-Panchanga!$Z221)*INT(Panchanga!$Z221/30+1)&amp;"V,"&amp;SIGN(AA222-Panchanga!$AA221)*INT(Panchanga!$AA221/30+1)&amp;"S,"&amp;INT(Panchanga!$AB221/30+1)&amp;"R"</f>
        <v>3Ma,6Me,2J, 7V,-11S,12R</v>
      </c>
      <c r="U221" s="4">
        <f t="shared" si="34"/>
        <v>162.16026850188678</v>
      </c>
      <c r="V221" s="4">
        <f t="shared" si="35"/>
        <v>121.18906958263085</v>
      </c>
      <c r="W221" s="4">
        <f>Planet(Panchanga!$G221,4)</f>
        <v>79.602255706198719</v>
      </c>
      <c r="X221" s="4">
        <f>Planet(Panchanga!$G221,2)</f>
        <v>160.66449668643133</v>
      </c>
      <c r="Y221" s="4">
        <f>Planet(Panchanga!$G221,5)</f>
        <v>56.960052142951149</v>
      </c>
      <c r="Z221" s="4">
        <f>Planet(Panchanga!$G221,3)</f>
        <v>192.99707526861917</v>
      </c>
      <c r="AA221" s="4">
        <f>Planet(Panchanga!$G221,6)</f>
        <v>320.28948390763929</v>
      </c>
      <c r="AB221" s="4">
        <f>Planet(Panchanga!$G221,10)</f>
        <v>342.2711310910633</v>
      </c>
      <c r="AC221" s="4" t="str">
        <f>TEXT(Panchanga!$C221+($C222-Panchanga!$C221)/ABS(IF($R222&lt;1,$R222+30,$R222)-Panchanga!$R221)*(ROUNDUP(Panchanga!$R221,0)-Panchanga!$R221),"hh:mm AM/PM")</f>
        <v>04:50 PM</v>
      </c>
      <c r="AD221" s="4"/>
    </row>
    <row r="222" spans="1:30" x14ac:dyDescent="0.2">
      <c r="A222" s="3">
        <f t="shared" si="37"/>
        <v>45565</v>
      </c>
      <c r="B222" s="3">
        <f t="shared" si="32"/>
        <v>45565.229166666664</v>
      </c>
      <c r="C222" s="6">
        <f t="shared" si="33"/>
        <v>45565.24990776569</v>
      </c>
      <c r="D222" s="6">
        <f>sunset(Lat,Long,B222)+TimeZone/24-0.000277777777777778</f>
        <v>45564.749757491561</v>
      </c>
      <c r="E222" s="6">
        <f>PlanetRiseSet(Lat,Long,B222,1,1)+TimeZone/24+0.00103009259259259</f>
        <v>45565.166256104749</v>
      </c>
      <c r="F222" s="6">
        <f>PlanetRiseSet(Lat,Long,B222+1,1,2)+TimeZone/24+0.00103009259259259</f>
        <v>45565.693999111805</v>
      </c>
      <c r="G222" s="17">
        <f>Panchanga!$C222-TimeZone/24</f>
        <v>45565.020741099026</v>
      </c>
      <c r="H222" s="13" t="str">
        <f>INT(P[[#This Row],[Sun]]/30)&amp;"s"&amp;ROUNDUP(MOD(P[[#This Row],[Sun]],30),2)</f>
        <v>5s13.15</v>
      </c>
      <c r="I222" s="13" t="str">
        <f>INT(P[[#This Row],[Moon]]/30)&amp;"s"&amp;ROUNDUP(MOD(P[[#This Row],[Moon]],30),2)</f>
        <v>4s13.18</v>
      </c>
      <c r="J222" s="14">
        <f t="shared" si="36"/>
        <v>45565.020741099026</v>
      </c>
      <c r="K222" s="10" t="str">
        <f>naks(P[[#This Row],[Moon]])</f>
        <v>Makha</v>
      </c>
      <c r="L222" s="15">
        <f>(C223-P[[#This Row],[SunRise]])/(MOD(360+V223-P[[#This Row],[Moon]],360))*(13.3333333333333-MOD(P[[#This Row],[Moon]],13.333333333333))+P[[#This Row],[SunRise]]</f>
        <v>45565.263112066488</v>
      </c>
      <c r="M222" s="4" t="str">
        <f>IF(Panchanga!$R222&gt;15,"K","S")&amp;ROUNDUP(MOD(Panchanga!$R222,15),0)&amp;" ("&amp;ROUND(Panchanga!$R222,2)&amp;")"</f>
        <v>K13 (27.5)</v>
      </c>
      <c r="N222" s="4">
        <f>IF(AND(Panchanga!$R222&lt;28.5,Panchanga!$R222&gt;0.49999),MOD((Panchanga!$R222-0.5)*2,7),MOD((Panchanga!$R222+30-28.5),30)*2+7)</f>
        <v>5.0058000000000007</v>
      </c>
      <c r="O222" s="4" t="str">
        <f>CHOOSE(ROUNDUP(Panchanga!$N222,0),"Bhava","Baalava","Kaulava","Taitula","Garija","Vanija","Vishti","Shakuni","Chatushapda","Naaga","Kimstugna")</f>
        <v>Vanija</v>
      </c>
      <c r="P222" s="11" t="str">
        <f>CHOOSE(ROUNDUP(Panchanga!$S222,0),"viṣkambha","prīti","āyuṣmāna","saubhāgya","śobhana","atigaṇḍa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("&amp;Panchanga!$S222&amp;")"</f>
        <v>śubha (22.23)</v>
      </c>
      <c r="Q222" s="4">
        <f>IF(AND(Panchanga!$R222&lt;28.5,Panchanga!$R222&gt;0.49999),MOD((Panchanga!$R222-0.5)*2,7),MOD((Panchanga!$R222+30-28.5),30)*2+7)</f>
        <v>5.0058000000000007</v>
      </c>
      <c r="R222" s="4">
        <f>ROUNDUP(MOD(360+P[[#This Row],[Moon]]-P[[#This Row],[Sun]],360)/12,4)</f>
        <v>27.5029</v>
      </c>
      <c r="S222" s="4">
        <f>ROUNDUP(MOD(P[[#This Row],[Sun]]+P[[#This Row],[Moon]],360)/13.333333333,2)</f>
        <v>22.23</v>
      </c>
      <c r="T222" s="4" t="str">
        <f>SIGN(W223-Panchanga!$W222)*INT(Panchanga!$W222/30+1)&amp;"Ma,"&amp;SIGN(X223-Panchanga!$X222)*INT(Panchanga!$X222/30+1)&amp;"Me,"&amp;SIGN(Y223-Panchanga!$Y222)*INT(Panchanga!$Y222/30+1)&amp;"J, "&amp;SIGN(Z223-Panchanga!$Z222)*INT(Panchanga!$Z222/30+1)&amp;"V,"&amp;SIGN(AA223-Panchanga!$AA222)*INT(Panchanga!$AA222/30+1)&amp;"S,"&amp;INT(Panchanga!$AB222/30+1)&amp;"R"</f>
        <v>3Ma,6Me,2J, 7V,-11S,12R</v>
      </c>
      <c r="U222" s="4">
        <f t="shared" si="34"/>
        <v>163.14286023621969</v>
      </c>
      <c r="V222" s="4">
        <f t="shared" si="35"/>
        <v>133.17650293556446</v>
      </c>
      <c r="W222" s="4">
        <f>Planet(Panchanga!$G222,4)</f>
        <v>80.132314428709535</v>
      </c>
      <c r="X222" s="4">
        <f>Planet(Panchanga!$G222,2)</f>
        <v>162.45689200519439</v>
      </c>
      <c r="Y222" s="4">
        <f>Planet(Panchanga!$G222,5)</f>
        <v>56.992445354220528</v>
      </c>
      <c r="Z222" s="4">
        <f>Planet(Panchanga!$G222,3)</f>
        <v>194.21380330695308</v>
      </c>
      <c r="AA222" s="4">
        <f>Planet(Panchanga!$G222,6)</f>
        <v>320.22181387191478</v>
      </c>
      <c r="AB222" s="4">
        <f>Planet(Panchanga!$G222,10)</f>
        <v>342.21813748062442</v>
      </c>
      <c r="AC222" s="4" t="str">
        <f>TEXT(Panchanga!$C222+($C223-Panchanga!$C222)/ABS(IF($R223&lt;1,$R223+30,$R223)-Panchanga!$R222)*(ROUNDUP(Panchanga!$R222,0)-Panchanga!$R222),"hh:mm AM/PM")</f>
        <v>07:08 PM</v>
      </c>
      <c r="AD222" s="4"/>
    </row>
    <row r="223" spans="1:30" x14ac:dyDescent="0.2">
      <c r="A223" s="3">
        <f t="shared" si="37"/>
        <v>45566</v>
      </c>
      <c r="B223" s="3">
        <f t="shared" si="32"/>
        <v>45566.229166666664</v>
      </c>
      <c r="C223" s="6">
        <f t="shared" si="33"/>
        <v>45566.249941398542</v>
      </c>
      <c r="D223" s="6">
        <f>sunset(Lat,Long,B223)+TimeZone/24-0.000277777777777778</f>
        <v>45565.749272711153</v>
      </c>
      <c r="E223" s="6">
        <f>PlanetRiseSet(Lat,Long,B223,1,1)+TimeZone/24+0.00103009259259259</f>
        <v>45566.19799677391</v>
      </c>
      <c r="F223" s="6">
        <f>PlanetRiseSet(Lat,Long,B223+1,1,2)+TimeZone/24+0.00103009259259259</f>
        <v>45566.717317552924</v>
      </c>
      <c r="G223" s="17">
        <f>Panchanga!$C223-TimeZone/24</f>
        <v>45566.020774731878</v>
      </c>
      <c r="H223" s="13" t="str">
        <f>INT(P[[#This Row],[Sun]]/30)&amp;"s"&amp;ROUNDUP(MOD(P[[#This Row],[Sun]],30),2)</f>
        <v>5s14.13</v>
      </c>
      <c r="I223" s="13" t="str">
        <f>INT(P[[#This Row],[Moon]]/30)&amp;"s"&amp;ROUNDUP(MOD(P[[#This Row],[Moon]],30),2)</f>
        <v>4s25.06</v>
      </c>
      <c r="J223" s="14">
        <f t="shared" si="36"/>
        <v>45566.020774731878</v>
      </c>
      <c r="K223" s="10" t="str">
        <f>naks(P[[#This Row],[Moon]])</f>
        <v>Purva Phalguni</v>
      </c>
      <c r="L223" s="15">
        <f>(C224-P[[#This Row],[SunRise]])/(MOD(360+V224-P[[#This Row],[Moon]],360))*(13.3333333333333-MOD(P[[#This Row],[Moon]],13.333333333333))+P[[#This Row],[SunRise]]</f>
        <v>45566.386474437735</v>
      </c>
      <c r="M223" s="4" t="str">
        <f>IF(Panchanga!$R223&gt;15,"K","S")&amp;ROUNDUP(MOD(Panchanga!$R223,15),0)&amp;" ("&amp;ROUND(Panchanga!$R223,2)&amp;")"</f>
        <v>K14 (28.41)</v>
      </c>
      <c r="N223" s="4">
        <f>IF(AND(Panchanga!$R223&lt;28.5,Panchanga!$R223&gt;0.49999),MOD((Panchanga!$R223-0.5)*2,7),MOD((Panchanga!$R223+30-28.5),30)*2+7)</f>
        <v>6.821399999999997</v>
      </c>
      <c r="O223" s="4" t="str">
        <f>CHOOSE(ROUNDUP(Panchanga!$N223,0),"Bhava","Baalava","Kaulava","Taitula","Garija","Vanija","Vishti","Shakuni","Chatushapda","Naaga","Kimstugna")</f>
        <v>Vishti</v>
      </c>
      <c r="P223" s="11" t="str">
        <f>CHOOSE(ROUNDUP(Panchanga!$S223,0),"viṣkambha","prīti","āyuṣmāna","saubhāgya","śobhana","atigaṇḍa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("&amp;Panchanga!$S223&amp;")"</f>
        <v>śukla (23.19)</v>
      </c>
      <c r="Q223" s="4">
        <f>IF(AND(Panchanga!$R223&lt;28.5,Panchanga!$R223&gt;0.49999),MOD((Panchanga!$R223-0.5)*2,7),MOD((Panchanga!$R223+30-28.5),30)*2+7)</f>
        <v>6.821399999999997</v>
      </c>
      <c r="R223" s="4">
        <f>ROUNDUP(MOD(360+P[[#This Row],[Moon]]-P[[#This Row],[Sun]],360)/12,4)</f>
        <v>28.410699999999999</v>
      </c>
      <c r="S223" s="4">
        <f>ROUNDUP(MOD(P[[#This Row],[Sun]]+P[[#This Row],[Moon]],360)/13.333333333,2)</f>
        <v>23.19</v>
      </c>
      <c r="T223" s="4" t="str">
        <f>SIGN(W224-Panchanga!$W223)*INT(Panchanga!$W223/30+1)&amp;"Ma,"&amp;SIGN(X224-Panchanga!$X223)*INT(Panchanga!$X223/30+1)&amp;"Me,"&amp;SIGN(Y224-Panchanga!$Y223)*INT(Panchanga!$Y223/30+1)&amp;"J, "&amp;SIGN(Z224-Panchanga!$Z223)*INT(Panchanga!$Z223/30+1)&amp;"V,"&amp;SIGN(AA224-Panchanga!$AA223)*INT(Panchanga!$AA223/30+1)&amp;"S,"&amp;INT(Panchanga!$AB223/30+1)&amp;"R"</f>
        <v>3Ma,6Me,2J, 7V,-11S,12R</v>
      </c>
      <c r="U223" s="4">
        <f t="shared" si="34"/>
        <v>164.12605292214866</v>
      </c>
      <c r="V223" s="4">
        <f t="shared" si="35"/>
        <v>145.05412332616143</v>
      </c>
      <c r="W223" s="4">
        <f>Planet(Panchanga!$G223,4)</f>
        <v>80.658612958370369</v>
      </c>
      <c r="X223" s="4">
        <f>Planet(Panchanga!$G223,2)</f>
        <v>164.23607549004123</v>
      </c>
      <c r="Y223" s="4">
        <f>Planet(Panchanga!$G223,5)</f>
        <v>57.021571695487054</v>
      </c>
      <c r="Z223" s="4">
        <f>Planet(Panchanga!$G223,3)</f>
        <v>195.43024285164827</v>
      </c>
      <c r="AA223" s="4">
        <f>Planet(Panchanga!$G223,6)</f>
        <v>320.15499376248852</v>
      </c>
      <c r="AB223" s="4">
        <f>Planet(Panchanga!$G223,10)</f>
        <v>342.16514371140948</v>
      </c>
      <c r="AC223" s="4" t="str">
        <f>TEXT(Panchanga!$C223+($C224-Panchanga!$C223)/ABS(IF($R224&lt;1,$R224+30,$R224)-Panchanga!$R223)*(ROUNDUP(Panchanga!$R223,0)-Panchanga!$R223),"hh:mm AM/PM")</f>
        <v>09:40 PM</v>
      </c>
      <c r="AD223" s="4"/>
    </row>
    <row r="224" spans="1:30" x14ac:dyDescent="0.2">
      <c r="A224" s="3">
        <f t="shared" si="37"/>
        <v>45567</v>
      </c>
      <c r="B224" s="3">
        <f t="shared" si="32"/>
        <v>45567.229166666664</v>
      </c>
      <c r="C224" s="6">
        <f t="shared" si="33"/>
        <v>45567.249978189044</v>
      </c>
      <c r="D224" s="6">
        <f>sunset(Lat,Long,B224)+TimeZone/24-0.000277777777777778</f>
        <v>45566.748791567559</v>
      </c>
      <c r="E224" s="6">
        <f>PlanetRiseSet(Lat,Long,B224,1,1)+TimeZone/24+0.00103009259259259</f>
        <v>45567.228975341808</v>
      </c>
      <c r="F224" s="6">
        <f>PlanetRiseSet(Lat,Long,B224+1,1,2)+TimeZone/24+0.00103009259259259</f>
        <v>45567.740179677181</v>
      </c>
      <c r="G224" s="17">
        <f>Panchanga!$C224-TimeZone/24</f>
        <v>45567.02081152238</v>
      </c>
      <c r="H224" s="13" t="str">
        <f>INT(P[[#This Row],[Sun]]/30)&amp;"s"&amp;ROUNDUP(MOD(P[[#This Row],[Sun]],30),2)</f>
        <v>5s15.11</v>
      </c>
      <c r="I224" s="13" t="str">
        <f>INT(P[[#This Row],[Moon]]/30)&amp;"s"&amp;ROUNDUP(MOD(P[[#This Row],[Moon]],30),2)</f>
        <v>5s6.87</v>
      </c>
      <c r="J224" s="14">
        <f t="shared" si="36"/>
        <v>45567.02081152238</v>
      </c>
      <c r="K224" s="10" t="str">
        <f>naks(P[[#This Row],[Moon]])</f>
        <v>Uttara Phalguni</v>
      </c>
      <c r="L224" s="15">
        <f>(C225-P[[#This Row],[SunRise]])/(MOD(360+V225-P[[#This Row],[Moon]],360))*(13.3333333333333-MOD(P[[#This Row],[Moon]],13.333333333333))+P[[#This Row],[SunRise]]</f>
        <v>45567.516014167348</v>
      </c>
      <c r="M224" s="4" t="str">
        <f>IF(Panchanga!$R224&gt;15,"K","S")&amp;ROUNDUP(MOD(Panchanga!$R224,15),0)&amp;" ("&amp;ROUND(Panchanga!$R224,2)&amp;")"</f>
        <v>K15 (29.31)</v>
      </c>
      <c r="N224" s="4">
        <f>IF(AND(Panchanga!$R224&lt;28.5,Panchanga!$R224&gt;0.49999),MOD((Panchanga!$R224-0.5)*2,7),MOD((Panchanga!$R224+30-28.5),30)*2+7)</f>
        <v>8.6260000000000048</v>
      </c>
      <c r="O224" s="4" t="str">
        <f>CHOOSE(ROUNDUP(Panchanga!$N224,0),"Bhava","Baalava","Kaulava","Taitula","Garija","Vanija","Vishti","Shakuni","Chatushapda","Naaga","Kimstugna")</f>
        <v>Chatushapda</v>
      </c>
      <c r="P224" s="11" t="str">
        <f>CHOOSE(ROUNDUP(Panchanga!$S224,0),"viṣkambha","prīti","āyuṣmāna","saubhāgya","śobhana","atigaṇḍa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("&amp;Panchanga!$S224&amp;")"</f>
        <v>brahma (24.15)</v>
      </c>
      <c r="Q224" s="4">
        <f>IF(AND(Panchanga!$R224&lt;28.5,Panchanga!$R224&gt;0.49999),MOD((Panchanga!$R224-0.5)*2,7),MOD((Panchanga!$R224+30-28.5),30)*2+7)</f>
        <v>8.6260000000000048</v>
      </c>
      <c r="R224" s="4">
        <f>ROUNDUP(MOD(360+P[[#This Row],[Moon]]-P[[#This Row],[Sun]],360)/12,4)</f>
        <v>29.312999999999999</v>
      </c>
      <c r="S224" s="4">
        <f>ROUNDUP(MOD(P[[#This Row],[Sun]]+P[[#This Row],[Moon]],360)/13.333333333,2)</f>
        <v>24.150000000000002</v>
      </c>
      <c r="T224" s="4" t="str">
        <f>SIGN(W225-Panchanga!$W224)*INT(Panchanga!$W224/30+1)&amp;"Ma,"&amp;SIGN(X225-Panchanga!$X224)*INT(Panchanga!$X224/30+1)&amp;"Me,"&amp;SIGN(Y225-Panchanga!$Y224)*INT(Panchanga!$Y224/30+1)&amp;"J, "&amp;SIGN(Z225-Panchanga!$Z224)*INT(Panchanga!$Z224/30+1)&amp;"V,"&amp;SIGN(AA225-Panchanga!$AA224)*INT(Panchanga!$AA224/30+1)&amp;"S,"&amp;INT(Panchanga!$AB224/30+1)&amp;"R"</f>
        <v>3Ma,6Me,2J, 7V,-11S,12R</v>
      </c>
      <c r="U224" s="4">
        <f t="shared" si="34"/>
        <v>165.10983530277448</v>
      </c>
      <c r="V224" s="4">
        <f t="shared" si="35"/>
        <v>156.86520345974671</v>
      </c>
      <c r="W224" s="4">
        <f>Planet(Panchanga!$G224,4)</f>
        <v>81.181078767026008</v>
      </c>
      <c r="X224" s="4">
        <f>Planet(Panchanga!$G224,2)</f>
        <v>166.00170302726877</v>
      </c>
      <c r="Y224" s="4">
        <f>Planet(Panchanga!$G224,5)</f>
        <v>57.04741426880183</v>
      </c>
      <c r="Z224" s="4">
        <f>Planet(Panchanga!$G224,3)</f>
        <v>196.64638314277093</v>
      </c>
      <c r="AA224" s="4">
        <f>Planet(Panchanga!$G224,6)</f>
        <v>320.08906094106521</v>
      </c>
      <c r="AB224" s="4">
        <f>Planet(Panchanga!$G224,10)</f>
        <v>342.1121497748523</v>
      </c>
      <c r="AC224" s="4" t="str">
        <f>TEXT(Panchanga!$C224+($C225-Panchanga!$C224)/ABS(IF($R225&lt;1,$R225+30,$R225)-Panchanga!$R224)*(ROUNDUP(Panchanga!$R224,0)-Panchanga!$R224),"hh:mm AM/PM")</f>
        <v>12:19 AM</v>
      </c>
      <c r="AD224" s="4"/>
    </row>
    <row r="225" spans="1:30" x14ac:dyDescent="0.2">
      <c r="A225" s="3">
        <f t="shared" si="37"/>
        <v>45568</v>
      </c>
      <c r="B225" s="3">
        <f t="shared" si="32"/>
        <v>45568.229166666664</v>
      </c>
      <c r="C225" s="6">
        <f t="shared" si="33"/>
        <v>45568.250018294588</v>
      </c>
      <c r="D225" s="6">
        <f>sunset(Lat,Long,B225)+TimeZone/24-0.000277777777777778</f>
        <v>45567.748314309909</v>
      </c>
      <c r="E225" s="6">
        <f>PlanetRiseSet(Lat,Long,B225,1,1)+TimeZone/24+0.00103009259259259</f>
        <v>45568.259869153298</v>
      </c>
      <c r="F225" s="6">
        <f>PlanetRiseSet(Lat,Long,B225+1,1,2)+TimeZone/24+0.00103009259259259</f>
        <v>45568.763331666276</v>
      </c>
      <c r="G225" s="17">
        <f>Panchanga!$C225-TimeZone/24</f>
        <v>45568.020851627924</v>
      </c>
      <c r="H225" s="13" t="str">
        <f>INT(P[[#This Row],[Sun]]/30)&amp;"s"&amp;ROUNDUP(MOD(P[[#This Row],[Sun]],30),2)</f>
        <v>5s16.1</v>
      </c>
      <c r="I225" s="13" t="str">
        <f>INT(P[[#This Row],[Moon]]/30)&amp;"s"&amp;ROUNDUP(MOD(P[[#This Row],[Moon]],30),2)</f>
        <v>5s18.65</v>
      </c>
      <c r="J225" s="14">
        <f t="shared" si="36"/>
        <v>45568.020851627924</v>
      </c>
      <c r="K225" s="10" t="str">
        <f>naks(P[[#This Row],[Moon]])</f>
        <v>Hasta</v>
      </c>
      <c r="L225" s="15">
        <f>(C226-P[[#This Row],[SunRise]])/(MOD(360+V226-P[[#This Row],[Moon]],360))*(13.3333333333333-MOD(P[[#This Row],[Moon]],13.333333333333))+P[[#This Row],[SunRise]]</f>
        <v>45568.647221343286</v>
      </c>
      <c r="M225" s="4" t="str">
        <f>IF(Panchanga!$R225&gt;15,"K","S")&amp;ROUNDUP(MOD(Panchanga!$R225,15),0)&amp;" ("&amp;ROUND(Panchanga!$R225,2)&amp;")"</f>
        <v>S1 (0.21)</v>
      </c>
      <c r="N225" s="4">
        <f>IF(AND(Panchanga!$R225&lt;28.5,Panchanga!$R225&gt;0.49999),MOD((Panchanga!$R225-0.5)*2,7),MOD((Panchanga!$R225+30-28.5),30)*2+7)</f>
        <v>10.426000000000002</v>
      </c>
      <c r="O225" s="4" t="str">
        <f>CHOOSE(ROUNDUP(Panchanga!$N225,0),"Bhava","Baalava","Kaulava","Taitula","Garija","Vanija","Vishti","Shakuni","Chatushapda","Naaga","Kimstugna")</f>
        <v>Kimstugna</v>
      </c>
      <c r="P225" s="11" t="str">
        <f>CHOOSE(ROUNDUP(Panchanga!$S225,0),"viṣkambha","prīti","āyuṣmāna","saubhāgya","śobhana","atigaṇḍa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("&amp;Panchanga!$S225&amp;")"</f>
        <v>mahendra (25.11)</v>
      </c>
      <c r="Q225" s="4">
        <f>IF(AND(Panchanga!$R225&lt;28.5,Panchanga!$R225&gt;0.49999),MOD((Panchanga!$R225-0.5)*2,7),MOD((Panchanga!$R225+30-28.5),30)*2+7)</f>
        <v>10.426000000000002</v>
      </c>
      <c r="R225" s="4">
        <f>ROUNDUP(MOD(360+P[[#This Row],[Moon]]-P[[#This Row],[Sun]],360)/12,4)</f>
        <v>0.21299999999999999</v>
      </c>
      <c r="S225" s="4">
        <f>ROUNDUP(MOD(P[[#This Row],[Sun]]+P[[#This Row],[Moon]],360)/13.333333333,2)</f>
        <v>25.110000000000003</v>
      </c>
      <c r="T225" s="4" t="str">
        <f>SIGN(W226-Panchanga!$W225)*INT(Panchanga!$W225/30+1)&amp;"Ma,"&amp;SIGN(X226-Panchanga!$X225)*INT(Panchanga!$X225/30+1)&amp;"Me,"&amp;SIGN(Y226-Panchanga!$Y225)*INT(Panchanga!$Y225/30+1)&amp;"J, "&amp;SIGN(Z226-Panchanga!$Z225)*INT(Panchanga!$Z225/30+1)&amp;"V,"&amp;SIGN(AA226-Panchanga!$AA225)*INT(Panchanga!$AA225/30+1)&amp;"S,"&amp;INT(Panchanga!$AB225/30+1)&amp;"R"</f>
        <v>3Ma,6Me,2J, 7V,-11S,12R</v>
      </c>
      <c r="U225" s="4">
        <f t="shared" si="34"/>
        <v>166.09419547392858</v>
      </c>
      <c r="V225" s="4">
        <f t="shared" si="35"/>
        <v>168.64903165835713</v>
      </c>
      <c r="W225" s="4">
        <f>Planet(Panchanga!$G225,4)</f>
        <v>81.699639467075002</v>
      </c>
      <c r="X225" s="4">
        <f>Planet(Panchanga!$G225,2)</f>
        <v>167.75356858626449</v>
      </c>
      <c r="Y225" s="4">
        <f>Planet(Panchanga!$G225,5)</f>
        <v>57.06995792524603</v>
      </c>
      <c r="Z225" s="4">
        <f>Planet(Panchanga!$G225,3)</f>
        <v>197.86221216021889</v>
      </c>
      <c r="AA225" s="4">
        <f>Planet(Panchanga!$G225,6)</f>
        <v>320.02405217771241</v>
      </c>
      <c r="AB225" s="4">
        <f>Planet(Panchanga!$G225,10)</f>
        <v>342.05915566261882</v>
      </c>
      <c r="AC225" s="4" t="str">
        <f>TEXT(Panchanga!$C225+($C226-Panchanga!$C225)/ABS(IF($R226&lt;1,$R226+30,$R226)-Panchanga!$R225)*(ROUNDUP(Panchanga!$R225,0)-Panchanga!$R225),"hh:mm AM/PM")</f>
        <v>02:58 AM</v>
      </c>
      <c r="AD225" s="4"/>
    </row>
    <row r="226" spans="1:30" x14ac:dyDescent="0.2">
      <c r="A226" s="3">
        <f t="shared" si="37"/>
        <v>45569</v>
      </c>
      <c r="B226" s="3">
        <f t="shared" si="32"/>
        <v>45569.229166666664</v>
      </c>
      <c r="C226" s="6">
        <f t="shared" si="33"/>
        <v>45569.250061870705</v>
      </c>
      <c r="D226" s="6">
        <f>sunset(Lat,Long,B226)+TimeZone/24-0.000277777777777778</f>
        <v>45568.747841184537</v>
      </c>
      <c r="E226" s="6">
        <f>PlanetRiseSet(Lat,Long,B226,1,1)+TimeZone/24+0.00103009259259259</f>
        <v>45569.291340987817</v>
      </c>
      <c r="F226" s="6">
        <f>PlanetRiseSet(Lat,Long,B226+1,1,2)+TimeZone/24+0.00103009259259259</f>
        <v>45569.787514208969</v>
      </c>
      <c r="G226" s="17">
        <f>Panchanga!$C226-TimeZone/24</f>
        <v>45569.020895204041</v>
      </c>
      <c r="H226" s="13" t="str">
        <f>INT(P[[#This Row],[Sun]]/30)&amp;"s"&amp;ROUNDUP(MOD(P[[#This Row],[Sun]],30),2)</f>
        <v>5s17.08</v>
      </c>
      <c r="I226" s="13" t="str">
        <f>INT(P[[#This Row],[Moon]]/30)&amp;"s"&amp;ROUNDUP(MOD(P[[#This Row],[Moon]],30),2)</f>
        <v>6s0.45</v>
      </c>
      <c r="J226" s="14">
        <f t="shared" si="36"/>
        <v>45569.020895204041</v>
      </c>
      <c r="K226" s="10" t="str">
        <f>naks(P[[#This Row],[Moon]])</f>
        <v>Chitra</v>
      </c>
      <c r="L226" s="15">
        <f>(C227-P[[#This Row],[SunRise]])/(MOD(360+V227-P[[#This Row],[Moon]],360))*(13.3333333333333-MOD(P[[#This Row],[Moon]],13.333333333333))+P[[#This Row],[SunRise]]</f>
        <v>45569.77571145742</v>
      </c>
      <c r="M226" s="4" t="str">
        <f>IF(Panchanga!$R226&gt;15,"K","S")&amp;ROUNDUP(MOD(Panchanga!$R226,15),0)&amp;" ("&amp;ROUND(Panchanga!$R226,2)&amp;")"</f>
        <v>S2 (1.11)</v>
      </c>
      <c r="N226" s="4">
        <f>IF(AND(Panchanga!$R226&lt;28.5,Panchanga!$R226&gt;0.49999),MOD((Panchanga!$R226-0.5)*2,7),MOD((Panchanga!$R226+30-28.5),30)*2+7)</f>
        <v>1.2273999999999998</v>
      </c>
      <c r="O226" s="4" t="str">
        <f>CHOOSE(ROUNDUP(Panchanga!$N226,0),"Bhava","Baalava","Kaulava","Taitula","Garija","Vanija","Vishti","Shakuni","Chatushapda","Naaga","Kimstugna")</f>
        <v>Baalava</v>
      </c>
      <c r="P226" s="11" t="str">
        <f>CHOOSE(ROUNDUP(Panchanga!$S226,0),"viṣkambha","prīti","āyuṣmāna","saubhāgya","śobhana","atigaṇḍa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("&amp;Panchanga!$S226&amp;")"</f>
        <v>vaidhṛti (26.07)</v>
      </c>
      <c r="Q226" s="4">
        <f>IF(AND(Panchanga!$R226&lt;28.5,Panchanga!$R226&gt;0.49999),MOD((Panchanga!$R226-0.5)*2,7),MOD((Panchanga!$R226+30-28.5),30)*2+7)</f>
        <v>1.2273999999999998</v>
      </c>
      <c r="R226" s="4">
        <f>ROUNDUP(MOD(360+P[[#This Row],[Moon]]-P[[#This Row],[Sun]],360)/12,4)</f>
        <v>1.1136999999999999</v>
      </c>
      <c r="S226" s="4">
        <f>ROUNDUP(MOD(P[[#This Row],[Sun]]+P[[#This Row],[Moon]],360)/13.333333333,2)</f>
        <v>26.07</v>
      </c>
      <c r="T226" s="4" t="str">
        <f>SIGN(W227-Panchanga!$W226)*INT(Panchanga!$W226/30+1)&amp;"Ma,"&amp;SIGN(X227-Panchanga!$X226)*INT(Panchanga!$X226/30+1)&amp;"Me,"&amp;SIGN(Y227-Panchanga!$Y226)*INT(Panchanga!$Y226/30+1)&amp;"J, "&amp;SIGN(Z227-Panchanga!$Z226)*INT(Panchanga!$Z226/30+1)&amp;"V,"&amp;SIGN(AA227-Panchanga!$AA226)*INT(Panchanga!$AA226/30+1)&amp;"S,"&amp;INT(Panchanga!$AB226/30+1)&amp;"R"</f>
        <v>3Ma,6Me,2J, 7V,-11S,12R</v>
      </c>
      <c r="U226" s="4">
        <f t="shared" si="34"/>
        <v>167.07912115144671</v>
      </c>
      <c r="V226" s="4">
        <f t="shared" si="35"/>
        <v>180.44276238123345</v>
      </c>
      <c r="W226" s="4">
        <f>Planet(Panchanga!$G226,4)</f>
        <v>82.214222817206618</v>
      </c>
      <c r="X226" s="4">
        <f>Planet(Panchanga!$G226,2)</f>
        <v>169.49159877542462</v>
      </c>
      <c r="Y226" s="4">
        <f>Planet(Panchanga!$G226,5)</f>
        <v>57.089189290995755</v>
      </c>
      <c r="Z226" s="4">
        <f>Planet(Panchanga!$G226,3)</f>
        <v>199.07771675786148</v>
      </c>
      <c r="AA226" s="4">
        <f>Planet(Panchanga!$G226,6)</f>
        <v>319.96000357815518</v>
      </c>
      <c r="AB226" s="4">
        <f>Planet(Panchanga!$G226,10)</f>
        <v>342.00616136649097</v>
      </c>
      <c r="AC226" s="4" t="str">
        <f>TEXT(Panchanga!$C226+($C227-Panchanga!$C226)/ABS(IF($R227&lt;1,$R227+30,$R227)-Panchanga!$R226)*(ROUNDUP(Panchanga!$R226,0)-Panchanga!$R226),"hh:mm AM/PM")</f>
        <v>05:31 AM</v>
      </c>
      <c r="AD226" s="4"/>
    </row>
    <row r="227" spans="1:30" x14ac:dyDescent="0.2">
      <c r="A227" s="3">
        <f t="shared" si="37"/>
        <v>45570</v>
      </c>
      <c r="B227" s="3">
        <f t="shared" si="32"/>
        <v>45570.229166666664</v>
      </c>
      <c r="C227" s="6">
        <f t="shared" si="33"/>
        <v>45570.250109070599</v>
      </c>
      <c r="D227" s="6">
        <f>sunset(Lat,Long,B227)+TimeZone/24-0.000277777777777778</f>
        <v>45569.747372437312</v>
      </c>
      <c r="E227" s="6">
        <f>PlanetRiseSet(Lat,Long,B227,1,1)+TimeZone/24+0.00103009259259259</f>
        <v>45570.323995089777</v>
      </c>
      <c r="F227" s="6">
        <f>PlanetRiseSet(Lat,Long,B227+1,1,2)+TimeZone/24+0.00103009259259259</f>
        <v>45570.813471206617</v>
      </c>
      <c r="G227" s="17">
        <f>Panchanga!$C227-TimeZone/24</f>
        <v>45570.020942403935</v>
      </c>
      <c r="H227" s="13" t="str">
        <f>INT(P[[#This Row],[Sun]]/30)&amp;"s"&amp;ROUNDUP(MOD(P[[#This Row],[Sun]],30),2)</f>
        <v>5s18.07</v>
      </c>
      <c r="I227" s="13" t="str">
        <f>INT(P[[#This Row],[Moon]]/30)&amp;"s"&amp;ROUNDUP(MOD(P[[#This Row],[Moon]],30),2)</f>
        <v>6s12.29</v>
      </c>
      <c r="J227" s="14">
        <f t="shared" si="36"/>
        <v>45570.020942403935</v>
      </c>
      <c r="K227" s="10" t="str">
        <f>naks(P[[#This Row],[Moon]])</f>
        <v>Swati</v>
      </c>
      <c r="L227" s="15">
        <f>(C228-P[[#This Row],[SunRise]])/(MOD(360+V228-P[[#This Row],[Moon]],360))*(13.3333333333333-MOD(P[[#This Row],[Moon]],13.333333333333))+P[[#This Row],[SunRise]]</f>
        <v>45570.897048031955</v>
      </c>
      <c r="M227" s="4" t="str">
        <f>IF(Panchanga!$R227&gt;15,"K","S")&amp;ROUNDUP(MOD(Panchanga!$R227,15),0)&amp;" ("&amp;ROUND(Panchanga!$R227,2)&amp;")"</f>
        <v>S3 (2.02)</v>
      </c>
      <c r="N227" s="4">
        <f>IF(AND(Panchanga!$R227&lt;28.5,Panchanga!$R227&gt;0.49999),MOD((Panchanga!$R227-0.5)*2,7),MOD((Panchanga!$R227+30-28.5),30)*2+7)</f>
        <v>3.0366000000000009</v>
      </c>
      <c r="O227" s="4" t="str">
        <f>CHOOSE(ROUNDUP(Panchanga!$N227,0),"Bhava","Baalava","Kaulava","Taitula","Garija","Vanija","Vishti","Shakuni","Chatushapda","Naaga","Kimstugna")</f>
        <v>Taitula</v>
      </c>
      <c r="P227" s="11" t="str">
        <f>CHOOSE(ROUNDUP(Panchanga!$S227,0),"viṣkambha","prīti","āyuṣmāna","saubhāgya","śobhana","atigaṇḍa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("&amp;Panchanga!$S227&amp;")"</f>
        <v>viṣkambha (0.03)</v>
      </c>
      <c r="Q227" s="4">
        <f>IF(AND(Panchanga!$R227&lt;28.5,Panchanga!$R227&gt;0.49999),MOD((Panchanga!$R227-0.5)*2,7),MOD((Panchanga!$R227+30-28.5),30)*2+7)</f>
        <v>3.0366000000000009</v>
      </c>
      <c r="R227" s="4">
        <f>ROUNDUP(MOD(360+P[[#This Row],[Moon]]-P[[#This Row],[Sun]],360)/12,4)</f>
        <v>2.0183000000000004</v>
      </c>
      <c r="S227" s="4">
        <f>ROUNDUP(MOD(P[[#This Row],[Sun]]+P[[#This Row],[Moon]],360)/13.333333333,2)</f>
        <v>0.03</v>
      </c>
      <c r="T227" s="4" t="str">
        <f>SIGN(W228-Panchanga!$W227)*INT(Panchanga!$W227/30+1)&amp;"Ma,"&amp;SIGN(X228-Panchanga!$X227)*INT(Panchanga!$X227/30+1)&amp;"Me,"&amp;SIGN(Y228-Panchanga!$Y227)*INT(Panchanga!$Y227/30+1)&amp;"J, "&amp;SIGN(Z228-Panchanga!$Z227)*INT(Panchanga!$Z227/30+1)&amp;"V,"&amp;SIGN(AA228-Panchanga!$AA227)*INT(Panchanga!$AA227/30+1)&amp;"S,"&amp;INT(Panchanga!$AB227/30+1)&amp;"R"</f>
        <v>3Ma,6Me,2J, 7V,-11S,12R</v>
      </c>
      <c r="U227" s="4">
        <f t="shared" si="34"/>
        <v>168.06459991300102</v>
      </c>
      <c r="V227" s="4">
        <f t="shared" si="35"/>
        <v>192.28372680008246</v>
      </c>
      <c r="W227" s="4">
        <f>Planet(Panchanga!$G227,4)</f>
        <v>82.724756764263574</v>
      </c>
      <c r="X227" s="4">
        <f>Planet(Panchanga!$G227,2)</f>
        <v>171.21580696304176</v>
      </c>
      <c r="Y227" s="4">
        <f>Planet(Panchanga!$G227,5)</f>
        <v>57.105096800058035</v>
      </c>
      <c r="Z227" s="4">
        <f>Planet(Panchanga!$G227,3)</f>
        <v>200.2928827598829</v>
      </c>
      <c r="AA227" s="4">
        <f>Planet(Panchanga!$G227,6)</f>
        <v>319.89695051452838</v>
      </c>
      <c r="AB227" s="4">
        <f>Planet(Panchanga!$G227,10)</f>
        <v>341.95316687834992</v>
      </c>
      <c r="AC227" s="4" t="str">
        <f>TEXT(Panchanga!$C227+($C228-Panchanga!$C227)/ABS(IF($R228&lt;1,$R228+30,$R228)-Panchanga!$R227)*(ROUNDUP(Panchanga!$R227,0)-Panchanga!$R227),"hh:mm AM/PM")</f>
        <v>07:50 AM</v>
      </c>
      <c r="AD227" s="4"/>
    </row>
    <row r="228" spans="1:30" x14ac:dyDescent="0.2">
      <c r="A228" s="3">
        <f t="shared" si="37"/>
        <v>45571</v>
      </c>
      <c r="B228" s="3">
        <f t="shared" si="32"/>
        <v>45571.229166666664</v>
      </c>
      <c r="C228" s="6">
        <f t="shared" si="33"/>
        <v>45571.250160045143</v>
      </c>
      <c r="D228" s="6">
        <f>sunset(Lat,Long,B228)+TimeZone/24-0.000277777777777778</f>
        <v>45570.746908314104</v>
      </c>
      <c r="E228" s="6">
        <f>PlanetRiseSet(Lat,Long,B228,1,1)+TimeZone/24+0.00103009259259259</f>
        <v>45571.35830475219</v>
      </c>
      <c r="F228" s="6">
        <f>PlanetRiseSet(Lat,Long,B228+1,1,2)+TimeZone/24+0.00103009259259259</f>
        <v>45571.841921072606</v>
      </c>
      <c r="G228" s="17">
        <f>Panchanga!$C228-TimeZone/24</f>
        <v>45571.020993378479</v>
      </c>
      <c r="H228" s="13" t="str">
        <f>INT(P[[#This Row],[Sun]]/30)&amp;"s"&amp;ROUNDUP(MOD(P[[#This Row],[Sun]],30),2)</f>
        <v>5s19.06</v>
      </c>
      <c r="I228" s="13" t="str">
        <f>INT(P[[#This Row],[Moon]]/30)&amp;"s"&amp;ROUNDUP(MOD(P[[#This Row],[Moon]],30),2)</f>
        <v>6s24.22</v>
      </c>
      <c r="J228" s="14">
        <f t="shared" si="36"/>
        <v>45571.020993378479</v>
      </c>
      <c r="K228" s="10" t="str">
        <f>naks(P[[#This Row],[Moon]])</f>
        <v>Visakha</v>
      </c>
      <c r="L228" s="15">
        <f>(C229-P[[#This Row],[SunRise]])/(MOD(360+V229-P[[#This Row],[Moon]],360))*(13.3333333333333-MOD(P[[#This Row],[Moon]],13.333333333333))+P[[#This Row],[SunRise]]</f>
        <v>45572.006626959526</v>
      </c>
      <c r="M228" s="4" t="str">
        <f>IF(Panchanga!$R228&gt;15,"K","S")&amp;ROUNDUP(MOD(Panchanga!$R228,15),0)&amp;" ("&amp;ROUND(Panchanga!$R228,2)&amp;")"</f>
        <v>S3 (2.93)</v>
      </c>
      <c r="N228" s="4">
        <f>IF(AND(Panchanga!$R228&lt;28.5,Panchanga!$R228&gt;0.49999),MOD((Panchanga!$R228-0.5)*2,7),MOD((Panchanga!$R228+30-28.5),30)*2+7)</f>
        <v>4.8602000000000007</v>
      </c>
      <c r="O228" s="4" t="str">
        <f>CHOOSE(ROUNDUP(Panchanga!$N228,0),"Bhava","Baalava","Kaulava","Taitula","Garija","Vanija","Vishti","Shakuni","Chatushapda","Naaga","Kimstugna")</f>
        <v>Garija</v>
      </c>
      <c r="P228" s="11" t="str">
        <f>CHOOSE(ROUNDUP(Panchanga!$S228,0),"viṣkambha","prīti","āyuṣmāna","saubhāgya","śobhana","atigaṇḍa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("&amp;Panchanga!$S228&amp;")"</f>
        <v>viṣkambha (1)</v>
      </c>
      <c r="Q228" s="4">
        <f>IF(AND(Panchanga!$R228&lt;28.5,Panchanga!$R228&gt;0.49999),MOD((Panchanga!$R228-0.5)*2,7),MOD((Panchanga!$R228+30-28.5),30)*2+7)</f>
        <v>4.8602000000000007</v>
      </c>
      <c r="R228" s="4">
        <f>ROUNDUP(MOD(360+P[[#This Row],[Moon]]-P[[#This Row],[Sun]],360)/12,4)</f>
        <v>2.9301000000000004</v>
      </c>
      <c r="S228" s="4">
        <f>ROUNDUP(MOD(P[[#This Row],[Sun]]+P[[#This Row],[Moon]],360)/13.333333333,2)</f>
        <v>1</v>
      </c>
      <c r="T228" s="4" t="str">
        <f>SIGN(W229-Panchanga!$W228)*INT(Panchanga!$W228/30+1)&amp;"Ma,"&amp;SIGN(X229-Panchanga!$X228)*INT(Panchanga!$X228/30+1)&amp;"Me,"&amp;SIGN(Y229-Panchanga!$Y228)*INT(Panchanga!$Y228/30+1)&amp;"J, "&amp;SIGN(Z229-Panchanga!$Z228)*INT(Panchanga!$Z228/30+1)&amp;"V,"&amp;SIGN(AA229-Panchanga!$AA228)*INT(Panchanga!$AA228/30+1)&amp;"S,"&amp;INT(Panchanga!$AB228/30+1)&amp;"R"</f>
        <v>3Ma,6Me,2J, 7V,-11S,12R</v>
      </c>
      <c r="U228" s="4">
        <f t="shared" si="34"/>
        <v>169.05061946449422</v>
      </c>
      <c r="V228" s="4">
        <f t="shared" si="35"/>
        <v>204.21169372490712</v>
      </c>
      <c r="W228" s="4">
        <f>Planet(Panchanga!$G228,4)</f>
        <v>83.231169523622299</v>
      </c>
      <c r="X228" s="4">
        <f>Planet(Panchanga!$G228,2)</f>
        <v>172.92627787777519</v>
      </c>
      <c r="Y228" s="4">
        <f>Planet(Panchanga!$G228,5)</f>
        <v>57.117670729146951</v>
      </c>
      <c r="Z228" s="4">
        <f>Planet(Panchanga!$G228,3)</f>
        <v>201.5076950493609</v>
      </c>
      <c r="AA228" s="4">
        <f>Planet(Panchanga!$G228,6)</f>
        <v>319.83492755423276</v>
      </c>
      <c r="AB228" s="4">
        <f>Planet(Panchanga!$G228,10)</f>
        <v>341.90017219014328</v>
      </c>
      <c r="AC228" s="4" t="str">
        <f>TEXT(Panchanga!$C228+($C229-Panchanga!$C228)/ABS(IF($R229&lt;1,$R229+30,$R229)-Panchanga!$R228)*(ROUNDUP(Panchanga!$R228,0)-Panchanga!$R228),"hh:mm AM/PM")</f>
        <v>07:49 AM</v>
      </c>
      <c r="AD228" s="4"/>
    </row>
    <row r="229" spans="1:30" x14ac:dyDescent="0.2">
      <c r="A229" s="3">
        <f t="shared" si="37"/>
        <v>45572</v>
      </c>
      <c r="B229" s="3">
        <f t="shared" si="32"/>
        <v>45572.229166666664</v>
      </c>
      <c r="C229" s="6">
        <f t="shared" si="33"/>
        <v>45572.250214943815</v>
      </c>
      <c r="D229" s="6">
        <f>sunset(Lat,Long,B229)+TimeZone/24-0.000277777777777778</f>
        <v>45571.74644905985</v>
      </c>
      <c r="E229" s="6">
        <f>PlanetRiseSet(Lat,Long,B229,1,1)+TimeZone/24+0.00103009259259259</f>
        <v>45572.394490845654</v>
      </c>
      <c r="F229" s="6">
        <f>PlanetRiseSet(Lat,Long,B229+1,1,2)+TimeZone/24+0.00103009259259259</f>
        <v>45572.873460102048</v>
      </c>
      <c r="G229" s="17">
        <f>Panchanga!$C229-TimeZone/24</f>
        <v>45572.021048277151</v>
      </c>
      <c r="H229" s="13" t="str">
        <f>INT(P[[#This Row],[Sun]]/30)&amp;"s"&amp;ROUNDUP(MOD(P[[#This Row],[Sun]],30),2)</f>
        <v>5s20.04</v>
      </c>
      <c r="I229" s="13" t="str">
        <f>INT(P[[#This Row],[Moon]]/30)&amp;"s"&amp;ROUNDUP(MOD(P[[#This Row],[Moon]],30),2)</f>
        <v>7s6.28</v>
      </c>
      <c r="J229" s="14">
        <f t="shared" si="36"/>
        <v>45572.021048277151</v>
      </c>
      <c r="K229" s="10" t="str">
        <f>naks(P[[#This Row],[Moon]])</f>
        <v>Anuradha</v>
      </c>
      <c r="L229" s="15">
        <f>(C230-P[[#This Row],[SunRise]])/(MOD(360+V230-P[[#This Row],[Moon]],360))*(13.3333333333333-MOD(P[[#This Row],[Moon]],13.333333333333))+P[[#This Row],[SunRise]]</f>
        <v>45573.099716436096</v>
      </c>
      <c r="M229" s="4" t="str">
        <f>IF(Panchanga!$R229&gt;15,"K","S")&amp;ROUNDUP(MOD(Panchanga!$R229,15),0)&amp;" ("&amp;ROUND(Panchanga!$R229,2)&amp;")"</f>
        <v>S4 (3.85)</v>
      </c>
      <c r="N229" s="4">
        <f>IF(AND(Panchanga!$R229&lt;28.5,Panchanga!$R229&gt;0.49999),MOD((Panchanga!$R229-0.5)*2,7),MOD((Panchanga!$R229+30-28.5),30)*2+7)</f>
        <v>6.7056000000000004</v>
      </c>
      <c r="O229" s="4" t="str">
        <f>CHOOSE(ROUNDUP(Panchanga!$N229,0),"Bhava","Baalava","Kaulava","Taitula","Garija","Vanija","Vishti","Shakuni","Chatushapda","Naaga","Kimstugna")</f>
        <v>Vishti</v>
      </c>
      <c r="P229" s="11" t="str">
        <f>CHOOSE(ROUNDUP(Panchanga!$S229,0),"viṣkambha","prīti","āyuṣmāna","saubhāgya","śobhana","atigaṇḍa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("&amp;Panchanga!$S229&amp;")"</f>
        <v>prīti (1.98)</v>
      </c>
      <c r="Q229" s="4">
        <f>IF(AND(Panchanga!$R229&lt;28.5,Panchanga!$R229&gt;0.49999),MOD((Panchanga!$R229-0.5)*2,7),MOD((Panchanga!$R229+30-28.5),30)*2+7)</f>
        <v>6.7056000000000004</v>
      </c>
      <c r="R229" s="4">
        <f>ROUNDUP(MOD(360+P[[#This Row],[Moon]]-P[[#This Row],[Sun]],360)/12,4)</f>
        <v>3.8528000000000002</v>
      </c>
      <c r="S229" s="4">
        <f>ROUNDUP(MOD(P[[#This Row],[Sun]]+P[[#This Row],[Moon]],360)/13.333333333,2)</f>
        <v>1.98</v>
      </c>
      <c r="T229" s="4" t="str">
        <f>SIGN(W230-Panchanga!$W229)*INT(Panchanga!$W229/30+1)&amp;"Ma,"&amp;SIGN(X230-Panchanga!$X229)*INT(Panchanga!$X229/30+1)&amp;"Me,"&amp;SIGN(Y230-Panchanga!$Y229)*INT(Panchanga!$Y229/30+1)&amp;"J, "&amp;SIGN(Z230-Panchanga!$Z229)*INT(Panchanga!$Z229/30+1)&amp;"V,"&amp;SIGN(AA230-Panchanga!$AA229)*INT(Panchanga!$AA229/30+1)&amp;"S,"&amp;INT(Panchanga!$AB229/30+1)&amp;"R"</f>
        <v>3Ma,6Me,2J, 7V,-11S,12R</v>
      </c>
      <c r="U229" s="4">
        <f t="shared" si="34"/>
        <v>170.03716796681312</v>
      </c>
      <c r="V229" s="4">
        <f t="shared" si="35"/>
        <v>216.27056926977056</v>
      </c>
      <c r="W229" s="4">
        <f>Planet(Panchanga!$G229,4)</f>
        <v>83.733389674392171</v>
      </c>
      <c r="X229" s="4">
        <f>Planet(Panchanga!$G229,2)</f>
        <v>174.62315488681736</v>
      </c>
      <c r="Y229" s="4">
        <f>Planet(Panchanga!$G229,5)</f>
        <v>57.126903223972931</v>
      </c>
      <c r="Z229" s="4">
        <f>Planet(Panchanga!$G229,3)</f>
        <v>202.72213768640299</v>
      </c>
      <c r="AA229" s="4">
        <f>Planet(Panchanga!$G229,6)</f>
        <v>319.77396838660513</v>
      </c>
      <c r="AB229" s="4">
        <f>Planet(Panchanga!$G229,10)</f>
        <v>341.84717729401768</v>
      </c>
      <c r="AC229" s="4" t="str">
        <f>TEXT(Panchanga!$C229+($C230-Panchanga!$C229)/ABS(IF($R230&lt;1,$R230+30,$R230)-Panchanga!$R229)*(ROUNDUP(Panchanga!$R229,0)-Panchanga!$R229),"hh:mm AM/PM")</f>
        <v>09:46 AM</v>
      </c>
      <c r="AD229" s="4"/>
    </row>
    <row r="230" spans="1:30" x14ac:dyDescent="0.2">
      <c r="A230" s="3">
        <f t="shared" si="37"/>
        <v>45573</v>
      </c>
      <c r="B230" s="3">
        <f t="shared" si="32"/>
        <v>45573.229166666664</v>
      </c>
      <c r="C230" s="6">
        <f t="shared" si="33"/>
        <v>45573.250273917023</v>
      </c>
      <c r="D230" s="6">
        <f>sunset(Lat,Long,B230)+TimeZone/24-0.000277777777777778</f>
        <v>45572.745994922283</v>
      </c>
      <c r="E230" s="6">
        <f>PlanetRiseSet(Lat,Long,B230,1,1)+TimeZone/24+0.00103009259259259</f>
        <v>45573.432365851164</v>
      </c>
      <c r="F230" s="6">
        <f>PlanetRiseSet(Lat,Long,B230+1,1,2)+TimeZone/24+0.00103009259259259</f>
        <v>45573.908381569352</v>
      </c>
      <c r="G230" s="17">
        <f>Panchanga!$C230-TimeZone/24</f>
        <v>45573.021107250359</v>
      </c>
      <c r="H230" s="13" t="str">
        <f>INT(P[[#This Row],[Sun]]/30)&amp;"s"&amp;ROUNDUP(MOD(P[[#This Row],[Sun]],30),2)</f>
        <v>5s21.03</v>
      </c>
      <c r="I230" s="13" t="str">
        <f>INT(P[[#This Row],[Moon]]/30)&amp;"s"&amp;ROUNDUP(MOD(P[[#This Row],[Moon]],30),2)</f>
        <v>7s18.51</v>
      </c>
      <c r="J230" s="14">
        <f t="shared" si="36"/>
        <v>45573.021107250359</v>
      </c>
      <c r="K230" s="10" t="str">
        <f>naks(P[[#This Row],[Moon]])</f>
        <v>Jyestha</v>
      </c>
      <c r="L230" s="15">
        <f>(C231-P[[#This Row],[SunRise]])/(MOD(360+V231-P[[#This Row],[Moon]],360))*(13.3333333333333-MOD(P[[#This Row],[Moon]],13.333333333333))+P[[#This Row],[SunRise]]</f>
        <v>45574.171689449693</v>
      </c>
      <c r="M230" s="4" t="str">
        <f>IF(Panchanga!$R230&gt;15,"K","S")&amp;ROUNDUP(MOD(Panchanga!$R230,15),0)&amp;" ("&amp;ROUND(Panchanga!$R230,2)&amp;")"</f>
        <v>S5 (4.79)</v>
      </c>
      <c r="N230" s="4">
        <f>IF(AND(Panchanga!$R230&lt;28.5,Panchanga!$R230&gt;0.49999),MOD((Panchanga!$R230-0.5)*2,7),MOD((Panchanga!$R230+30-28.5),30)*2+7)</f>
        <v>1.5809999999999995</v>
      </c>
      <c r="O230" s="4" t="str">
        <f>CHOOSE(ROUNDUP(Panchanga!$N230,0),"Bhava","Baalava","Kaulava","Taitula","Garija","Vanija","Vishti","Shakuni","Chatushapda","Naaga","Kimstugna")</f>
        <v>Baalava</v>
      </c>
      <c r="P230" s="11" t="str">
        <f>CHOOSE(ROUNDUP(Panchanga!$S230,0),"viṣkambha","prīti","āyuṣmāna","saubhāgya","śobhana","atigaṇḍa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("&amp;Panchanga!$S230&amp;")"</f>
        <v>āyuṣmāna (2.97)</v>
      </c>
      <c r="Q230" s="4">
        <f>IF(AND(Panchanga!$R230&lt;28.5,Panchanga!$R230&gt;0.49999),MOD((Panchanga!$R230-0.5)*2,7),MOD((Panchanga!$R230+30-28.5),30)*2+7)</f>
        <v>1.5809999999999995</v>
      </c>
      <c r="R230" s="4">
        <f>ROUNDUP(MOD(360+P[[#This Row],[Moon]]-P[[#This Row],[Sun]],360)/12,4)</f>
        <v>4.7904999999999998</v>
      </c>
      <c r="S230" s="4">
        <f>ROUNDUP(MOD(P[[#This Row],[Sun]]+P[[#This Row],[Moon]],360)/13.333333333,2)</f>
        <v>2.9699999999999998</v>
      </c>
      <c r="T230" s="4" t="str">
        <f>SIGN(W231-Panchanga!$W230)*INT(Panchanga!$W230/30+1)&amp;"Ma,"&amp;SIGN(X231-Panchanga!$X230)*INT(Panchanga!$X230/30+1)&amp;"Me,"&amp;SIGN(Y231-Panchanga!$Y230)*INT(Panchanga!$Y230/30+1)&amp;"J, "&amp;SIGN(Z231-Panchanga!$Z230)*INT(Panchanga!$Z230/30+1)&amp;"V,"&amp;SIGN(AA231-Panchanga!$AA230)*INT(Panchanga!$AA230/30+1)&amp;"S,"&amp;INT(Panchanga!$AB230/30+1)&amp;"R"</f>
        <v>3Ma,6Me,2J, 7V,-11S,12R</v>
      </c>
      <c r="U230" s="4">
        <f t="shared" si="34"/>
        <v>171.02423442322836</v>
      </c>
      <c r="V230" s="4">
        <f t="shared" si="35"/>
        <v>228.50917106452448</v>
      </c>
      <c r="W230" s="4">
        <f>Planet(Panchanga!$G230,4)</f>
        <v>84.231346224003133</v>
      </c>
      <c r="X230" s="4">
        <f>Planet(Panchanga!$G230,2)</f>
        <v>176.3066276233142</v>
      </c>
      <c r="Y230" s="4">
        <f>Planet(Panchanga!$G230,5)</f>
        <v>57.132788306232172</v>
      </c>
      <c r="Z230" s="4">
        <f>Planet(Panchanga!$G230,3)</f>
        <v>203.93619407328504</v>
      </c>
      <c r="AA230" s="4">
        <f>Planet(Panchanga!$G230,6)</f>
        <v>319.71410574330866</v>
      </c>
      <c r="AB230" s="4">
        <f>Planet(Panchanga!$G230,10)</f>
        <v>341.79418218196992</v>
      </c>
      <c r="AC230" s="4" t="str">
        <f>TEXT(Panchanga!$C230+($C231-Panchanga!$C230)/ABS(IF($R231&lt;1,$R231+30,$R231)-Panchanga!$R230)*(ROUNDUP(Panchanga!$R230,0)-Panchanga!$R230),"hh:mm AM/PM")</f>
        <v>11:15 AM</v>
      </c>
      <c r="AD230" s="4"/>
    </row>
    <row r="231" spans="1:30" x14ac:dyDescent="0.2">
      <c r="A231" s="3">
        <f t="shared" si="37"/>
        <v>45574</v>
      </c>
      <c r="B231" s="3">
        <f t="shared" si="32"/>
        <v>45574.229166666664</v>
      </c>
      <c r="C231" s="6">
        <f t="shared" si="33"/>
        <v>45574.250337113779</v>
      </c>
      <c r="D231" s="6">
        <f>sunset(Lat,Long,B231)+TimeZone/24-0.000277777777777778</f>
        <v>45573.745546149599</v>
      </c>
      <c r="E231" s="6">
        <f>PlanetRiseSet(Lat,Long,B231,1,1)+TimeZone/24+0.00103009259259259</f>
        <v>45574.471231489129</v>
      </c>
      <c r="F231" s="6">
        <f>PlanetRiseSet(Lat,Long,B231+1,1,2)+TimeZone/24+0.00103009259259259</f>
        <v>45574.946463130102</v>
      </c>
      <c r="G231" s="17">
        <f>Panchanga!$C231-TimeZone/24</f>
        <v>45574.021170447115</v>
      </c>
      <c r="H231" s="13" t="str">
        <f>INT(P[[#This Row],[Sun]]/30)&amp;"s"&amp;ROUNDUP(MOD(P[[#This Row],[Sun]],30),2)</f>
        <v>5s22.02</v>
      </c>
      <c r="I231" s="13" t="str">
        <f>INT(P[[#This Row],[Moon]]/30)&amp;"s"&amp;ROUNDUP(MOD(P[[#This Row],[Moon]],30),2)</f>
        <v>8s0.99</v>
      </c>
      <c r="J231" s="14">
        <f t="shared" si="36"/>
        <v>45574.021170447115</v>
      </c>
      <c r="K231" s="10" t="str">
        <f>naks(P[[#This Row],[Moon]])</f>
        <v>Moola</v>
      </c>
      <c r="L231" s="15">
        <f>(C232-P[[#This Row],[SunRise]])/(MOD(360+V232-P[[#This Row],[Moon]],360))*(13.3333333333333-MOD(P[[#This Row],[Moon]],13.333333333333))+P[[#This Row],[SunRise]]</f>
        <v>45575.218435366514</v>
      </c>
      <c r="M231" s="4" t="str">
        <f>IF(Panchanga!$R231&gt;15,"K","S")&amp;ROUNDUP(MOD(Panchanga!$R231,15),0)&amp;" ("&amp;ROUND(Panchanga!$R231,2)&amp;")"</f>
        <v>S6 (5.75)</v>
      </c>
      <c r="N231" s="4">
        <f>IF(AND(Panchanga!$R231&lt;28.5,Panchanga!$R231&gt;0.49999),MOD((Panchanga!$R231-0.5)*2,7),MOD((Panchanga!$R231+30-28.5),30)*2+7)</f>
        <v>3.4949999999999992</v>
      </c>
      <c r="O231" s="4" t="str">
        <f>CHOOSE(ROUNDUP(Panchanga!$N231,0),"Bhava","Baalava","Kaulava","Taitula","Garija","Vanija","Vishti","Shakuni","Chatushapda","Naaga","Kimstugna")</f>
        <v>Taitula</v>
      </c>
      <c r="P231" s="11" t="str">
        <f>CHOOSE(ROUNDUP(Panchanga!$S231,0),"viṣkambha","prīti","āyuṣmāna","saubhāgya","śobhana","atigaṇḍa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("&amp;Panchanga!$S231&amp;")"</f>
        <v>saubhāgya (3.98)</v>
      </c>
      <c r="Q231" s="4">
        <f>IF(AND(Panchanga!$R231&lt;28.5,Panchanga!$R231&gt;0.49999),MOD((Panchanga!$R231-0.5)*2,7),MOD((Panchanga!$R231+30-28.5),30)*2+7)</f>
        <v>3.4949999999999992</v>
      </c>
      <c r="R231" s="4">
        <f>ROUNDUP(MOD(360+P[[#This Row],[Moon]]-P[[#This Row],[Sun]],360)/12,4)</f>
        <v>5.7474999999999996</v>
      </c>
      <c r="S231" s="4">
        <f>ROUNDUP(MOD(P[[#This Row],[Sun]]+P[[#This Row],[Moon]],360)/13.333333333,2)</f>
        <v>3.98</v>
      </c>
      <c r="T231" s="4" t="str">
        <f>SIGN(W232-Panchanga!$W231)*INT(Panchanga!$W231/30+1)&amp;"Ma,"&amp;SIGN(X232-Panchanga!$X231)*INT(Panchanga!$X231/30+1)&amp;"Me,"&amp;SIGN(Y232-Panchanga!$Y231)*INT(Panchanga!$Y231/30+1)&amp;"J, "&amp;SIGN(Z232-Panchanga!$Z231)*INT(Panchanga!$Z231/30+1)&amp;"V,"&amp;SIGN(AA232-Panchanga!$AA231)*INT(Panchanga!$AA231/30+1)&amp;"S,"&amp;INT(Panchanga!$AB231/30+1)&amp;"R"</f>
        <v>3Ma,6Me,-2J, 7V,-11S,12R</v>
      </c>
      <c r="U231" s="4">
        <f t="shared" si="34"/>
        <v>172.01180909176628</v>
      </c>
      <c r="V231" s="4">
        <f t="shared" si="35"/>
        <v>240.98080271291593</v>
      </c>
      <c r="W231" s="4">
        <f>Planet(Panchanga!$G231,4)</f>
        <v>84.724968603419953</v>
      </c>
      <c r="X231" s="4">
        <f>Planet(Panchanga!$G231,2)</f>
        <v>177.97692118768541</v>
      </c>
      <c r="Y231" s="4">
        <f>Planet(Panchanga!$G231,5)</f>
        <v>57.135321852252432</v>
      </c>
      <c r="Z231" s="4">
        <f>Planet(Panchanga!$G231,3)</f>
        <v>205.14984716130158</v>
      </c>
      <c r="AA231" s="4">
        <f>Planet(Panchanga!$G231,6)</f>
        <v>319.65537133005762</v>
      </c>
      <c r="AB231" s="4">
        <f>Planet(Panchanga!$G231,10)</f>
        <v>341.74118684613023</v>
      </c>
      <c r="AC231" s="4" t="str">
        <f>TEXT(Panchanga!$C231+($C232-Panchanga!$C231)/ABS(IF($R232&lt;1,$R232+30,$R232)-Panchanga!$R231)*(ROUNDUP(Panchanga!$R231,0)-Panchanga!$R231),"hh:mm AM/PM")</f>
        <v>12:11 PM</v>
      </c>
      <c r="AD231" s="4"/>
    </row>
    <row r="232" spans="1:30" x14ac:dyDescent="0.2">
      <c r="A232" s="3">
        <f t="shared" si="37"/>
        <v>45575</v>
      </c>
      <c r="B232" s="3">
        <f t="shared" si="32"/>
        <v>45575.229166666664</v>
      </c>
      <c r="C232" s="6">
        <f t="shared" si="33"/>
        <v>45575.250404685423</v>
      </c>
      <c r="D232" s="6">
        <f>sunset(Lat,Long,B232)+TimeZone/24-0.000277777777777778</f>
        <v>45574.745102991859</v>
      </c>
      <c r="E232" s="6">
        <f>PlanetRiseSet(Lat,Long,B232,1,1)+TimeZone/24+0.00103009259259259</f>
        <v>45574.471231612064</v>
      </c>
      <c r="F232" s="6">
        <f>PlanetRiseSet(Lat,Long,B232+1,1,2)+TimeZone/24+0.00103009259259259</f>
        <v>45575.986887316838</v>
      </c>
      <c r="G232" s="17">
        <f>Panchanga!$C232-TimeZone/24</f>
        <v>45575.021238018759</v>
      </c>
      <c r="H232" s="13" t="str">
        <f>INT(P[[#This Row],[Sun]]/30)&amp;"s"&amp;ROUNDUP(MOD(P[[#This Row],[Sun]],30),2)</f>
        <v>5s23</v>
      </c>
      <c r="I232" s="13" t="str">
        <f>INT(P[[#This Row],[Moon]]/30)&amp;"s"&amp;ROUNDUP(MOD(P[[#This Row],[Moon]],30),2)</f>
        <v>8s13.75</v>
      </c>
      <c r="J232" s="14">
        <f t="shared" si="36"/>
        <v>45575.021238018759</v>
      </c>
      <c r="K232" s="10" t="str">
        <f>naks(P[[#This Row],[Moon]])</f>
        <v>Purva Asadha</v>
      </c>
      <c r="L232" s="15">
        <f>(C233-P[[#This Row],[SunRise]])/(MOD(360+V233-P[[#This Row],[Moon]],360))*(13.3333333333333-MOD(P[[#This Row],[Moon]],13.333333333333))+P[[#This Row],[SunRise]]</f>
        <v>45576.23689247133</v>
      </c>
      <c r="M232" s="4" t="str">
        <f>IF(Panchanga!$R232&gt;15,"K","S")&amp;ROUNDUP(MOD(Panchanga!$R232,15),0)&amp;" ("&amp;ROUND(Panchanga!$R232,2)&amp;")"</f>
        <v>S7 (6.73)</v>
      </c>
      <c r="N232" s="4">
        <f>IF(AND(Panchanga!$R232&lt;28.5,Panchanga!$R232&gt;0.49999),MOD((Panchanga!$R232-0.5)*2,7),MOD((Panchanga!$R232+30-28.5),30)*2+7)</f>
        <v>5.456999999999999</v>
      </c>
      <c r="O232" s="4" t="str">
        <f>CHOOSE(ROUNDUP(Panchanga!$N232,0),"Bhava","Baalava","Kaulava","Taitula","Garija","Vanija","Vishti","Shakuni","Chatushapda","Naaga","Kimstugna")</f>
        <v>Vanija</v>
      </c>
      <c r="P232" s="11" t="str">
        <f>CHOOSE(ROUNDUP(Panchanga!$S232,0),"viṣkambha","prīti","āyuṣmāna","saubhāgya","śobhana","atigaṇḍa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("&amp;Panchanga!$S232&amp;")"</f>
        <v>atigaṇḍa  (5.01)</v>
      </c>
      <c r="Q232" s="4">
        <f>IF(AND(Panchanga!$R232&lt;28.5,Panchanga!$R232&gt;0.49999),MOD((Panchanga!$R232-0.5)*2,7),MOD((Panchanga!$R232+30-28.5),30)*2+7)</f>
        <v>5.456999999999999</v>
      </c>
      <c r="R232" s="4">
        <f>ROUNDUP(MOD(360+P[[#This Row],[Moon]]-P[[#This Row],[Sun]],360)/12,4)</f>
        <v>6.7284999999999995</v>
      </c>
      <c r="S232" s="4">
        <f>ROUNDUP(MOD(P[[#This Row],[Sun]]+P[[#This Row],[Moon]],360)/13.333333333,2)</f>
        <v>5.01</v>
      </c>
      <c r="T232" s="4" t="str">
        <f>SIGN(W233-Panchanga!$W232)*INT(Panchanga!$W232/30+1)&amp;"Ma,"&amp;SIGN(X233-Panchanga!$X232)*INT(Panchanga!$X232/30+1)&amp;"Me,"&amp;SIGN(Y233-Panchanga!$Y232)*INT(Panchanga!$Y232/30+1)&amp;"J, "&amp;SIGN(Z233-Panchanga!$Z232)*INT(Panchanga!$Z232/30+1)&amp;"V,"&amp;SIGN(AA233-Panchanga!$AA232)*INT(Panchanga!$AA232/30+1)&amp;"S,"&amp;INT(Panchanga!$AB232/30+1)&amp;"R"</f>
        <v>3Ma,6Me,-2J, 7V,-11S,12R</v>
      </c>
      <c r="U232" s="4">
        <f t="shared" si="34"/>
        <v>172.99988389731848</v>
      </c>
      <c r="V232" s="4">
        <f t="shared" si="35"/>
        <v>253.74124853166356</v>
      </c>
      <c r="W232" s="4">
        <f>Planet(Panchanga!$G232,4)</f>
        <v>85.21418659234584</v>
      </c>
      <c r="X232" s="4">
        <f>Planet(Panchanga!$G232,2)</f>
        <v>179.63428693416105</v>
      </c>
      <c r="Y232" s="4">
        <f>Planet(Panchanga!$G232,5)</f>
        <v>57.134501549703479</v>
      </c>
      <c r="Z232" s="4">
        <f>Planet(Panchanga!$G232,3)</f>
        <v>206.36307968748565</v>
      </c>
      <c r="AA232" s="4">
        <f>Planet(Panchanga!$G232,6)</f>
        <v>319.59779576594866</v>
      </c>
      <c r="AB232" s="4">
        <f>Planet(Panchanga!$G232,10)</f>
        <v>341.68819127842937</v>
      </c>
      <c r="AC232" s="4" t="str">
        <f>TEXT(Panchanga!$C232+($C233-Panchanga!$C232)/ABS(IF($R233&lt;1,$R233+30,$R233)-Panchanga!$R232)*(ROUNDUP(Panchanga!$R232,0)-Panchanga!$R232),"hh:mm AM/PM")</f>
        <v>12:27 PM</v>
      </c>
      <c r="AD232" s="4"/>
    </row>
    <row r="233" spans="1:30" x14ac:dyDescent="0.2">
      <c r="A233" s="3">
        <f t="shared" si="37"/>
        <v>45576</v>
      </c>
      <c r="B233" s="3">
        <f t="shared" si="32"/>
        <v>45576.229166666664</v>
      </c>
      <c r="C233" s="6">
        <f t="shared" si="33"/>
        <v>45576.250476785157</v>
      </c>
      <c r="D233" s="6">
        <f>sunset(Lat,Long,B233)+TimeZone/24-0.000277777777777778</f>
        <v>45575.744665704246</v>
      </c>
      <c r="E233" s="6">
        <f>PlanetRiseSet(Lat,Long,B233,1,1)+TimeZone/24+0.00103009259259259</f>
        <v>45575.509978273571</v>
      </c>
      <c r="F233" s="6">
        <f>PlanetRiseSet(Lat,Long,B233+1,1,2)+TimeZone/24+0.00103009259259259</f>
        <v>45577.028465971969</v>
      </c>
      <c r="G233" s="17">
        <f>Panchanga!$C233-TimeZone/24</f>
        <v>45576.021310118493</v>
      </c>
      <c r="H233" s="13" t="str">
        <f>INT(P[[#This Row],[Sun]]/30)&amp;"s"&amp;ROUNDUP(MOD(P[[#This Row],[Sun]],30),2)</f>
        <v>5s23.99</v>
      </c>
      <c r="I233" s="13" t="str">
        <f>INT(P[[#This Row],[Moon]]/30)&amp;"s"&amp;ROUNDUP(MOD(P[[#This Row],[Moon]],30),2)</f>
        <v>8s26.85</v>
      </c>
      <c r="J233" s="14">
        <f t="shared" si="36"/>
        <v>45576.021310118493</v>
      </c>
      <c r="K233" s="10" t="str">
        <f>naks(P[[#This Row],[Moon]])</f>
        <v>Uttara Asadha</v>
      </c>
      <c r="L233" s="15">
        <f>(C234-P[[#This Row],[SunRise]])/(MOD(360+V234-P[[#This Row],[Moon]],360))*(13.3333333333333-MOD(P[[#This Row],[Moon]],13.333333333333))+P[[#This Row],[SunRise]]</f>
        <v>45577.22558481092</v>
      </c>
      <c r="M233" s="4" t="str">
        <f>IF(Panchanga!$R233&gt;15,"K","S")&amp;ROUNDUP(MOD(Panchanga!$R233,15),0)&amp;" ("&amp;ROUND(Panchanga!$R233,2)&amp;")"</f>
        <v>S8 (7.74)</v>
      </c>
      <c r="N233" s="4">
        <f>IF(AND(Panchanga!$R233&lt;28.5,Panchanga!$R233&gt;0.49999),MOD((Panchanga!$R233-0.5)*2,7),MOD((Panchanga!$R233+30-28.5),30)*2+7)</f>
        <v>0.4762000000000004</v>
      </c>
      <c r="O233" s="4" t="str">
        <f>CHOOSE(ROUNDUP(Panchanga!$N233,0),"Bhava","Baalava","Kaulava","Taitula","Garija","Vanija","Vishti","Shakuni","Chatushapda","Naaga","Kimstugna")</f>
        <v>Bhava</v>
      </c>
      <c r="P233" s="11" t="str">
        <f>CHOOSE(ROUNDUP(Panchanga!$S233,0),"viṣkambha","prīti","āyuṣmāna","saubhāgya","śobhana","atigaṇḍa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("&amp;Panchanga!$S233&amp;")"</f>
        <v>sukarmā  (6.07)</v>
      </c>
      <c r="Q233" s="4">
        <f>IF(AND(Panchanga!$R233&lt;28.5,Panchanga!$R233&gt;0.49999),MOD((Panchanga!$R233-0.5)*2,7),MOD((Panchanga!$R233+30-28.5),30)*2+7)</f>
        <v>0.4762000000000004</v>
      </c>
      <c r="R233" s="4">
        <f>ROUNDUP(MOD(360+P[[#This Row],[Moon]]-P[[#This Row],[Sun]],360)/12,4)</f>
        <v>7.7381000000000002</v>
      </c>
      <c r="S233" s="4">
        <f>ROUNDUP(MOD(P[[#This Row],[Sun]]+P[[#This Row],[Moon]],360)/13.333333333,2)</f>
        <v>6.0699999999999994</v>
      </c>
      <c r="T233" s="4" t="str">
        <f>SIGN(W234-Panchanga!$W233)*INT(Panchanga!$W233/30+1)&amp;"Ma,"&amp;SIGN(X234-Panchanga!$X233)*INT(Panchanga!$X233/30+1)&amp;"Me,"&amp;SIGN(Y234-Panchanga!$Y233)*INT(Panchanga!$Y233/30+1)&amp;"J, "&amp;SIGN(Z234-Panchanga!$Z233)*INT(Panchanga!$Z233/30+1)&amp;"V,"&amp;SIGN(AA234-Panchanga!$AA233)*INT(Panchanga!$AA233/30+1)&amp;"S,"&amp;INT(Panchanga!$AB233/30+1)&amp;"R"</f>
        <v>3Ma,7Me,-2J, 7V,-11S,12R</v>
      </c>
      <c r="U233" s="4">
        <f t="shared" si="34"/>
        <v>173.98845284042795</v>
      </c>
      <c r="V233" s="4">
        <f t="shared" si="35"/>
        <v>266.84465461416869</v>
      </c>
      <c r="W233" s="4">
        <f>Planet(Panchanga!$G233,4)</f>
        <v>85.698930182517415</v>
      </c>
      <c r="X233" s="4">
        <f>Planet(Panchanga!$G233,2)</f>
        <v>181.27899460518367</v>
      </c>
      <c r="Y233" s="4">
        <f>Planet(Panchanga!$G233,5)</f>
        <v>57.130326833035184</v>
      </c>
      <c r="Z233" s="4">
        <f>Planet(Panchanga!$G233,3)</f>
        <v>207.57587442603932</v>
      </c>
      <c r="AA233" s="4">
        <f>Planet(Panchanga!$G233,6)</f>
        <v>319.54140853104741</v>
      </c>
      <c r="AB233" s="4">
        <f>Planet(Panchanga!$G233,10)</f>
        <v>341.6351954708316</v>
      </c>
      <c r="AC233" s="4" t="str">
        <f>TEXT(Panchanga!$C233+($C234-Panchanga!$C233)/ABS(IF($R234&lt;1,$R234+30,$R234)-Panchanga!$R233)*(ROUNDUP(Panchanga!$R233,0)-Panchanga!$R233),"hh:mm AM/PM")</f>
        <v>12:02 PM</v>
      </c>
      <c r="AD233" s="4"/>
    </row>
    <row r="234" spans="1:30" x14ac:dyDescent="0.2">
      <c r="A234" s="3">
        <f t="shared" si="37"/>
        <v>45577</v>
      </c>
      <c r="B234" s="3">
        <f t="shared" si="32"/>
        <v>45577.229166666664</v>
      </c>
      <c r="C234" s="6">
        <f t="shared" si="33"/>
        <v>45577.250553569444</v>
      </c>
      <c r="D234" s="6">
        <f>sunset(Lat,Long,B234)+TimeZone/24-0.000277777777777778</f>
        <v>45576.744234542872</v>
      </c>
      <c r="E234" s="6">
        <f>PlanetRiseSet(Lat,Long,B234,1,1)+TimeZone/24+0.00103009259259259</f>
        <v>45576.547445295066</v>
      </c>
      <c r="F234" s="6">
        <f>PlanetRiseSet(Lat,Long,B234+1,1,2)+TimeZone/24+0.00103009259259259</f>
        <v>45578.070103952348</v>
      </c>
      <c r="G234" s="17">
        <f>Panchanga!$C234-TimeZone/24</f>
        <v>45577.021386902779</v>
      </c>
      <c r="H234" s="13" t="str">
        <f>INT(P[[#This Row],[Sun]]/30)&amp;"s"&amp;ROUNDUP(MOD(P[[#This Row],[Sun]],30),2)</f>
        <v>5s24.98</v>
      </c>
      <c r="I234" s="13" t="str">
        <f>INT(P[[#This Row],[Moon]]/30)&amp;"s"&amp;ROUNDUP(MOD(P[[#This Row],[Moon]],30),2)</f>
        <v>9s10.34</v>
      </c>
      <c r="J234" s="14">
        <f t="shared" si="36"/>
        <v>45577.021386902779</v>
      </c>
      <c r="K234" s="10" t="str">
        <f>naks(P[[#This Row],[Moon]])</f>
        <v>Sravana</v>
      </c>
      <c r="L234" s="15">
        <f>(C235-P[[#This Row],[SunRise]])/(MOD(360+V235-P[[#This Row],[Moon]],360))*(13.3333333333333-MOD(P[[#This Row],[Moon]],13.333333333333))+P[[#This Row],[SunRise]]</f>
        <v>45578.184997934797</v>
      </c>
      <c r="M234" s="4" t="str">
        <f>IF(Panchanga!$R234&gt;15,"K","S")&amp;ROUNDUP(MOD(Panchanga!$R234,15),0)&amp;" ("&amp;ROUND(Panchanga!$R234,2)&amp;")"</f>
        <v>S9 (8.78)</v>
      </c>
      <c r="N234" s="4">
        <f>IF(AND(Panchanga!$R234&lt;28.5,Panchanga!$R234&gt;0.49999),MOD((Panchanga!$R234-0.5)*2,7),MOD((Panchanga!$R234+30-28.5),30)*2+7)</f>
        <v>2.5599999999999987</v>
      </c>
      <c r="O234" s="4" t="str">
        <f>CHOOSE(ROUNDUP(Panchanga!$N234,0),"Bhava","Baalava","Kaulava","Taitula","Garija","Vanija","Vishti","Shakuni","Chatushapda","Naaga","Kimstugna")</f>
        <v>Kaulava</v>
      </c>
      <c r="P234" s="11" t="str">
        <f>CHOOSE(ROUNDUP(Panchanga!$S234,0),"viṣkambha","prīti","āyuṣmāna","saubhāgya","śobhana","atigaṇḍa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("&amp;Panchanga!$S234&amp;")"</f>
        <v>dhṛti  (7.15)</v>
      </c>
      <c r="Q234" s="4">
        <f>IF(AND(Panchanga!$R234&lt;28.5,Panchanga!$R234&gt;0.49999),MOD((Panchanga!$R234-0.5)*2,7),MOD((Panchanga!$R234+30-28.5),30)*2+7)</f>
        <v>2.5599999999999987</v>
      </c>
      <c r="R234" s="4">
        <f>ROUNDUP(MOD(360+P[[#This Row],[Moon]]-P[[#This Row],[Sun]],360)/12,4)</f>
        <v>8.7799999999999994</v>
      </c>
      <c r="S234" s="4">
        <f>ROUNDUP(MOD(P[[#This Row],[Sun]]+P[[#This Row],[Moon]],360)/13.333333333,2)</f>
        <v>7.1499999999999995</v>
      </c>
      <c r="T234" s="4" t="str">
        <f>SIGN(W235-Panchanga!$W234)*INT(Panchanga!$W234/30+1)&amp;"Ma,"&amp;SIGN(X235-Panchanga!$X234)*INT(Panchanga!$X234/30+1)&amp;"Me,"&amp;SIGN(Y235-Panchanga!$Y234)*INT(Panchanga!$Y234/30+1)&amp;"J, "&amp;SIGN(Z235-Panchanga!$Z234)*INT(Panchanga!$Z234/30+1)&amp;"V,"&amp;SIGN(AA235-Panchanga!$AA234)*INT(Panchanga!$AA234/30+1)&amp;"S,"&amp;INT(Panchanga!$AB234/30+1)&amp;"R"</f>
        <v>3Ma,7Me,-2J, 7V,-11S,12R</v>
      </c>
      <c r="U234" s="4">
        <f t="shared" si="34"/>
        <v>174.97751249138173</v>
      </c>
      <c r="V234" s="4">
        <f t="shared" si="35"/>
        <v>280.33685769529984</v>
      </c>
      <c r="W234" s="4">
        <f>Planet(Panchanga!$G234,4)</f>
        <v>86.179129383351281</v>
      </c>
      <c r="X234" s="4">
        <f>Planet(Panchanga!$G234,2)</f>
        <v>182.9113256615571</v>
      </c>
      <c r="Y234" s="4">
        <f>Planet(Panchanga!$G234,5)</f>
        <v>57.122798792660731</v>
      </c>
      <c r="Z234" s="4">
        <f>Planet(Panchanga!$G234,3)</f>
        <v>208.78821452077119</v>
      </c>
      <c r="AA234" s="4">
        <f>Planet(Panchanga!$G234,6)</f>
        <v>319.48623791864759</v>
      </c>
      <c r="AB234" s="4">
        <f>Planet(Panchanga!$G234,10)</f>
        <v>341.5821994149199</v>
      </c>
      <c r="AC234" s="4" t="str">
        <f>TEXT(Panchanga!$C234+($C235-Panchanga!$C234)/ABS(IF($R235&lt;1,$R235+30,$R235)-Panchanga!$R234)*(ROUNDUP(Panchanga!$R234,0)-Panchanga!$R234),"hh:mm AM/PM")</f>
        <v>10:55 AM</v>
      </c>
      <c r="AD234" s="4"/>
    </row>
    <row r="235" spans="1:30" x14ac:dyDescent="0.2">
      <c r="A235" s="3">
        <f t="shared" si="37"/>
        <v>45578</v>
      </c>
      <c r="B235" s="3">
        <f t="shared" si="32"/>
        <v>45578.229166666664</v>
      </c>
      <c r="C235" s="6">
        <f t="shared" si="33"/>
        <v>45578.250635200799</v>
      </c>
      <c r="D235" s="6">
        <f>sunset(Lat,Long,B235)+TimeZone/24-0.000277777777777778</f>
        <v>45577.743809770371</v>
      </c>
      <c r="E235" s="6">
        <f>PlanetRiseSet(Lat,Long,B235,1,1)+TimeZone/24+0.00103009259259259</f>
        <v>45577.582857456677</v>
      </c>
      <c r="F235" s="6">
        <f>PlanetRiseSet(Lat,Long,B235+1,1,2)+TimeZone/24+0.00103009259259259</f>
        <v>45579.111195476878</v>
      </c>
      <c r="G235" s="17">
        <f>Panchanga!$C235-TimeZone/24</f>
        <v>45578.021468534134</v>
      </c>
      <c r="H235" s="13" t="str">
        <f>INT(P[[#This Row],[Sun]]/30)&amp;"s"&amp;ROUNDUP(MOD(P[[#This Row],[Sun]],30),2)</f>
        <v>5s25.97</v>
      </c>
      <c r="I235" s="13" t="str">
        <f>INT(P[[#This Row],[Moon]]/30)&amp;"s"&amp;ROUNDUP(MOD(P[[#This Row],[Moon]],30),2)</f>
        <v>9s24.25</v>
      </c>
      <c r="J235" s="14">
        <f t="shared" si="36"/>
        <v>45578.021468534134</v>
      </c>
      <c r="K235" s="10" t="str">
        <f>naks(P[[#This Row],[Moon]])</f>
        <v>Dhanistha</v>
      </c>
      <c r="L235" s="15">
        <f>(C236-P[[#This Row],[SunRise]])/(MOD(360+V236-P[[#This Row],[Moon]],360))*(13.3333333333333-MOD(P[[#This Row],[Moon]],13.333333333333))+P[[#This Row],[SunRise]]</f>
        <v>45579.117647374565</v>
      </c>
      <c r="M235" s="4" t="str">
        <f>IF(Panchanga!$R235&gt;15,"K","S")&amp;ROUNDUP(MOD(Panchanga!$R235,15),0)&amp;" ("&amp;ROUND(Panchanga!$R235,2)&amp;")"</f>
        <v>S10 (9.86)</v>
      </c>
      <c r="N235" s="4">
        <f>IF(AND(Panchanga!$R235&lt;28.5,Panchanga!$R235&gt;0.49999),MOD((Panchanga!$R235-0.5)*2,7),MOD((Panchanga!$R235+30-28.5),30)*2+7)</f>
        <v>4.7132000000000005</v>
      </c>
      <c r="O235" s="4" t="str">
        <f>CHOOSE(ROUNDUP(Panchanga!$N235,0),"Bhava","Baalava","Kaulava","Taitula","Garija","Vanija","Vishti","Shakuni","Chatushapda","Naaga","Kimstugna")</f>
        <v>Garija</v>
      </c>
      <c r="P235" s="11" t="str">
        <f>CHOOSE(ROUNDUP(Panchanga!$S235,0),"viṣkambha","prīti","āyuṣmāna","saubhāgya","śobhana","atigaṇḍa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("&amp;Panchanga!$S235&amp;")"</f>
        <v>śūla  (8.27)</v>
      </c>
      <c r="Q235" s="4">
        <f>IF(AND(Panchanga!$R235&lt;28.5,Panchanga!$R235&gt;0.49999),MOD((Panchanga!$R235-0.5)*2,7),MOD((Panchanga!$R235+30-28.5),30)*2+7)</f>
        <v>4.7132000000000005</v>
      </c>
      <c r="R235" s="4">
        <f>ROUNDUP(MOD(360+P[[#This Row],[Moon]]-P[[#This Row],[Sun]],360)/12,4)</f>
        <v>9.8566000000000003</v>
      </c>
      <c r="S235" s="4">
        <f>ROUNDUP(MOD(P[[#This Row],[Sun]]+P[[#This Row],[Moon]],360)/13.333333333,2)</f>
        <v>8.27</v>
      </c>
      <c r="T235" s="4" t="str">
        <f>SIGN(W236-Panchanga!$W235)*INT(Panchanga!$W235/30+1)&amp;"Ma,"&amp;SIGN(X236-Panchanga!$X235)*INT(Panchanga!$X235/30+1)&amp;"Me,"&amp;SIGN(Y236-Panchanga!$Y235)*INT(Panchanga!$Y235/30+1)&amp;"J, "&amp;SIGN(Z236-Panchanga!$Z235)*INT(Panchanga!$Z235/30+1)&amp;"V,"&amp;SIGN(AA236-Panchanga!$AA235)*INT(Panchanga!$AA235/30+1)&amp;"S,"&amp;INT(Panchanga!$AB235/30+1)&amp;"R"</f>
        <v>3Ma,7Me,-2J, 8V,-11S,12R</v>
      </c>
      <c r="U235" s="4">
        <f t="shared" si="34"/>
        <v>175.96706265732681</v>
      </c>
      <c r="V235" s="4">
        <f t="shared" si="35"/>
        <v>294.24623212122384</v>
      </c>
      <c r="W235" s="4">
        <f>Planet(Panchanga!$G235,4)</f>
        <v>86.654713869722258</v>
      </c>
      <c r="X235" s="4">
        <f>Planet(Panchanga!$G235,2)</f>
        <v>184.53156768182072</v>
      </c>
      <c r="Y235" s="4">
        <f>Planet(Panchanga!$G235,5)</f>
        <v>57.111920024656669</v>
      </c>
      <c r="Z235" s="4">
        <f>Planet(Panchanga!$G235,3)</f>
        <v>210.00008399623326</v>
      </c>
      <c r="AA235" s="4">
        <f>Planet(Panchanga!$G235,6)</f>
        <v>319.43231098848565</v>
      </c>
      <c r="AB235" s="4">
        <f>Planet(Panchanga!$G235,10)</f>
        <v>341.52920310217797</v>
      </c>
      <c r="AC235" s="4" t="str">
        <f>TEXT(Panchanga!$C235+($C236-Panchanga!$C235)/ABS(IF($R236&lt;1,$R236+30,$R236)-Panchanga!$R235)*(ROUNDUP(Panchanga!$R235,0)-Panchanga!$R235),"hh:mm AM/PM")</f>
        <v>09:06 AM</v>
      </c>
      <c r="AD235" s="4"/>
    </row>
    <row r="236" spans="1:30" x14ac:dyDescent="0.2">
      <c r="A236" s="3">
        <f t="shared" si="37"/>
        <v>45579</v>
      </c>
      <c r="B236" s="3">
        <f t="shared" si="32"/>
        <v>45579.229166666664</v>
      </c>
      <c r="C236" s="6">
        <f t="shared" si="33"/>
        <v>45579.25072185012</v>
      </c>
      <c r="D236" s="6">
        <f>sunset(Lat,Long,B236)+TimeZone/24-0.000277777777777778</f>
        <v>45578.743391655895</v>
      </c>
      <c r="E236" s="6">
        <f>PlanetRiseSet(Lat,Long,B236,1,1)+TimeZone/24+0.00103009259259259</f>
        <v>45578.6160546268</v>
      </c>
      <c r="F236" s="6">
        <f>PlanetRiseSet(Lat,Long,B236+1,1,2)+TimeZone/24+0.00103009259259259</f>
        <v>45580.151736388601</v>
      </c>
      <c r="G236" s="17">
        <f>Panchanga!$C236-TimeZone/24</f>
        <v>45579.021555183455</v>
      </c>
      <c r="H236" s="13" t="str">
        <f>INT(P[[#This Row],[Sun]]/30)&amp;"s"&amp;ROUNDUP(MOD(P[[#This Row],[Sun]],30),2)</f>
        <v>5s26.96</v>
      </c>
      <c r="I236" s="13" t="str">
        <f>INT(P[[#This Row],[Moon]]/30)&amp;"s"&amp;ROUNDUP(MOD(P[[#This Row],[Moon]],30),2)</f>
        <v>10s8.58</v>
      </c>
      <c r="J236" s="14">
        <f t="shared" si="36"/>
        <v>45579.021555183455</v>
      </c>
      <c r="K236" s="10" t="str">
        <f>naks(P[[#This Row],[Moon]])</f>
        <v>Satabhisaj</v>
      </c>
      <c r="L236" s="15">
        <f>(C237-P[[#This Row],[SunRise]])/(MOD(360+V237-P[[#This Row],[Moon]],360))*(13.3333333333333-MOD(P[[#This Row],[Moon]],13.333333333333))+P[[#This Row],[SunRise]]</f>
        <v>45580.027800040509</v>
      </c>
      <c r="M236" s="4" t="str">
        <f>IF(Panchanga!$R236&gt;15,"K","S")&amp;ROUNDUP(MOD(Panchanga!$R236,15),0)&amp;" ("&amp;ROUND(Panchanga!$R236,2)&amp;")"</f>
        <v>S11 (10.97)</v>
      </c>
      <c r="N236" s="4">
        <f>IF(AND(Panchanga!$R236&lt;28.5,Panchanga!$R236&gt;0.49999),MOD((Panchanga!$R236-0.5)*2,7),MOD((Panchanga!$R236+30-28.5),30)*2+7)</f>
        <v>6.9359999999999999</v>
      </c>
      <c r="O236" s="4" t="str">
        <f>CHOOSE(ROUNDUP(Panchanga!$N236,0),"Bhava","Baalava","Kaulava","Taitula","Garija","Vanija","Vishti","Shakuni","Chatushapda","Naaga","Kimstugna")</f>
        <v>Vishti</v>
      </c>
      <c r="P236" s="11" t="str">
        <f>CHOOSE(ROUNDUP(Panchanga!$S236,0),"viṣkambha","prīti","āyuṣmāna","saubhāgya","śobhana","atigaṇḍa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("&amp;Panchanga!$S236&amp;")"</f>
        <v>gaṇḍa  (9.42)</v>
      </c>
      <c r="Q236" s="4">
        <f>IF(AND(Panchanga!$R236&lt;28.5,Panchanga!$R236&gt;0.49999),MOD((Panchanga!$R236-0.5)*2,7),MOD((Panchanga!$R236+30-28.5),30)*2+7)</f>
        <v>6.9359999999999999</v>
      </c>
      <c r="R236" s="4">
        <f>ROUNDUP(MOD(360+P[[#This Row],[Moon]]-P[[#This Row],[Sun]],360)/12,4)</f>
        <v>10.968</v>
      </c>
      <c r="S236" s="4">
        <f>ROUNDUP(MOD(P[[#This Row],[Sun]]+P[[#This Row],[Moon]],360)/13.333333333,2)</f>
        <v>9.42</v>
      </c>
      <c r="T236" s="4" t="str">
        <f>SIGN(W237-Panchanga!$W236)*INT(Panchanga!$W236/30+1)&amp;"Ma,"&amp;SIGN(X237-Panchanga!$X236)*INT(Panchanga!$X236/30+1)&amp;"Me,"&amp;SIGN(Y237-Panchanga!$Y236)*INT(Panchanga!$Y236/30+1)&amp;"J, "&amp;SIGN(Z237-Panchanga!$Z236)*INT(Panchanga!$Z236/30+1)&amp;"V,"&amp;SIGN(AA237-Panchanga!$AA236)*INT(Panchanga!$AA236/30+1)&amp;"S,"&amp;INT(Panchanga!$AB236/30+1)&amp;"R"</f>
        <v>3Ma,7Me,-2J, 8V,-11S,12R</v>
      </c>
      <c r="U236" s="4">
        <f t="shared" si="34"/>
        <v>176.95710721782623</v>
      </c>
      <c r="V236" s="4">
        <f t="shared" si="35"/>
        <v>308.57303299384671</v>
      </c>
      <c r="W236" s="4">
        <f>Planet(Panchanga!$G236,4)</f>
        <v>87.125612277347983</v>
      </c>
      <c r="X236" s="4">
        <f>Planet(Panchanga!$G236,2)</f>
        <v>186.14000968389337</v>
      </c>
      <c r="Y236" s="4">
        <f>Planet(Panchanga!$G236,5)</f>
        <v>57.097694380940631</v>
      </c>
      <c r="Z236" s="4">
        <f>Planet(Panchanga!$G236,3)</f>
        <v>211.21146854248155</v>
      </c>
      <c r="AA236" s="4">
        <f>Planet(Panchanga!$G236,6)</f>
        <v>319.379653537742</v>
      </c>
      <c r="AB236" s="4">
        <f>Planet(Panchanga!$G236,10)</f>
        <v>341.4762065235592</v>
      </c>
      <c r="AC236" s="4" t="str">
        <f>TEXT(Panchanga!$C236+($C237-Panchanga!$C236)/ABS(IF($R237&lt;1,$R237+30,$R237)-Panchanga!$R236)*(ROUNDUP(Panchanga!$R236,0)-Panchanga!$R236),"hh:mm AM/PM")</f>
        <v>06:41 AM</v>
      </c>
      <c r="AD236" s="4"/>
    </row>
    <row r="237" spans="1:30" x14ac:dyDescent="0.2">
      <c r="A237" s="3">
        <f t="shared" si="37"/>
        <v>45580</v>
      </c>
      <c r="B237" s="3">
        <f t="shared" si="32"/>
        <v>45580.229166666664</v>
      </c>
      <c r="C237" s="6">
        <f t="shared" si="33"/>
        <v>45580.250813699946</v>
      </c>
      <c r="D237" s="6">
        <f>sunset(Lat,Long,B237)+TimeZone/24-0.000277777777777778</f>
        <v>45579.742980476512</v>
      </c>
      <c r="E237" s="6">
        <f>PlanetRiseSet(Lat,Long,B237,1,1)+TimeZone/24+0.00103009259259259</f>
        <v>45579.647440429464</v>
      </c>
      <c r="F237" s="6">
        <f>PlanetRiseSet(Lat,Long,B237+1,1,2)+TimeZone/24+0.00103009259259259</f>
        <v>45581.192196400989</v>
      </c>
      <c r="G237" s="17">
        <f>Panchanga!$C237-TimeZone/24</f>
        <v>45580.021647033282</v>
      </c>
      <c r="H237" s="13" t="str">
        <f>INT(P[[#This Row],[Sun]]/30)&amp;"s"&amp;ROUNDUP(MOD(P[[#This Row],[Sun]],30),2)</f>
        <v>5s27.95</v>
      </c>
      <c r="I237" s="13" t="str">
        <f>INT(P[[#This Row],[Moon]]/30)&amp;"s"&amp;ROUNDUP(MOD(P[[#This Row],[Moon]],30),2)</f>
        <v>10s23.28</v>
      </c>
      <c r="J237" s="14">
        <f t="shared" si="36"/>
        <v>45580.021647033282</v>
      </c>
      <c r="K237" s="10" t="str">
        <f>naks(P[[#This Row],[Moon]])</f>
        <v>Purva Bhadrapada</v>
      </c>
      <c r="L237" s="15">
        <f>(C238-P[[#This Row],[SunRise]])/(MOD(360+V238-P[[#This Row],[Moon]],360))*(13.3333333333333-MOD(P[[#This Row],[Moon]],13.333333333333))+P[[#This Row],[SunRise]]</f>
        <v>45580.92095306953</v>
      </c>
      <c r="M237" s="4" t="str">
        <f>IF(Panchanga!$R237&gt;15,"K","S")&amp;ROUNDUP(MOD(Panchanga!$R237,15),0)&amp;" ("&amp;ROUND(Panchanga!$R237,2)&amp;")"</f>
        <v>S13 (12.11)</v>
      </c>
      <c r="N237" s="4">
        <f>IF(AND(Panchanga!$R237&lt;28.5,Panchanga!$R237&gt;0.49999),MOD((Panchanga!$R237-0.5)*2,7),MOD((Panchanga!$R237+30-28.5),30)*2+7)</f>
        <v>2.2220000000000013</v>
      </c>
      <c r="O237" s="4" t="str">
        <f>CHOOSE(ROUNDUP(Panchanga!$N237,0),"Bhava","Baalava","Kaulava","Taitula","Garija","Vanija","Vishti","Shakuni","Chatushapda","Naaga","Kimstugna")</f>
        <v>Kaulava</v>
      </c>
      <c r="P237" s="11" t="str">
        <f>CHOOSE(ROUNDUP(Panchanga!$S237,0),"viṣkambha","prīti","āyuṣmāna","saubhāgya","śobhana","atigaṇḍa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("&amp;Panchanga!$S237&amp;")"</f>
        <v>vṛddhi  (10.6)</v>
      </c>
      <c r="Q237" s="4">
        <f>IF(AND(Panchanga!$R237&lt;28.5,Panchanga!$R237&gt;0.49999),MOD((Panchanga!$R237-0.5)*2,7),MOD((Panchanga!$R237+30-28.5),30)*2+7)</f>
        <v>2.2220000000000013</v>
      </c>
      <c r="R237" s="4">
        <f>ROUNDUP(MOD(360+P[[#This Row],[Moon]]-P[[#This Row],[Sun]],360)/12,4)</f>
        <v>12.111000000000001</v>
      </c>
      <c r="S237" s="4">
        <f>ROUNDUP(MOD(P[[#This Row],[Sun]]+P[[#This Row],[Moon]],360)/13.333333333,2)</f>
        <v>10.6</v>
      </c>
      <c r="T237" s="4" t="str">
        <f>SIGN(W238-Panchanga!$W237)*INT(Panchanga!$W237/30+1)&amp;"Ma,"&amp;SIGN(X238-Panchanga!$X237)*INT(Panchanga!$X237/30+1)&amp;"Me,"&amp;SIGN(Y238-Panchanga!$Y237)*INT(Panchanga!$Y237/30+1)&amp;"J, "&amp;SIGN(Z238-Panchanga!$Z237)*INT(Panchanga!$Z237/30+1)&amp;"V,"&amp;SIGN(AA238-Panchanga!$AA237)*INT(Panchanga!$AA237/30+1)&amp;"S,"&amp;INT(Panchanga!$AB237/30+1)&amp;"R"</f>
        <v>3Ma,7Me,-2J, 8V,-11S,12R</v>
      </c>
      <c r="U237" s="4">
        <f t="shared" si="34"/>
        <v>177.94765491626208</v>
      </c>
      <c r="V237" s="4">
        <f t="shared" si="35"/>
        <v>323.27942510788802</v>
      </c>
      <c r="W237" s="4">
        <f>Planet(Panchanga!$G237,4)</f>
        <v>87.591750938017171</v>
      </c>
      <c r="X237" s="4">
        <f>Planet(Panchanga!$G237,2)</f>
        <v>187.73693810920841</v>
      </c>
      <c r="Y237" s="4">
        <f>Planet(Panchanga!$G237,5)</f>
        <v>57.080126600100122</v>
      </c>
      <c r="Z237" s="4">
        <f>Planet(Panchanga!$G237,3)</f>
        <v>212.42235654337679</v>
      </c>
      <c r="AA237" s="4">
        <f>Planet(Panchanga!$G237,6)</f>
        <v>319.32829013502294</v>
      </c>
      <c r="AB237" s="4">
        <f>Planet(Panchanga!$G237,10)</f>
        <v>341.42320966932124</v>
      </c>
      <c r="AC237" s="4" t="str">
        <f>TEXT(Panchanga!$C237+($C238-Panchanga!$C237)/ABS(IF($R238&lt;1,$R238+30,$R238)-Panchanga!$R237)*(ROUNDUP(Panchanga!$R237,0)-Panchanga!$R237),"hh:mm AM/PM")</f>
        <v>12:17 AM</v>
      </c>
      <c r="AD237" s="4"/>
    </row>
    <row r="238" spans="1:30" x14ac:dyDescent="0.2">
      <c r="A238" s="3">
        <f t="shared" si="37"/>
        <v>45581</v>
      </c>
      <c r="B238" s="3">
        <f t="shared" si="32"/>
        <v>45581.229166666664</v>
      </c>
      <c r="C238" s="6">
        <f t="shared" si="33"/>
        <v>45581.250910945389</v>
      </c>
      <c r="D238" s="6">
        <f>sunset(Lat,Long,B238)+TimeZone/24-0.000277777777777778</f>
        <v>45580.742576520468</v>
      </c>
      <c r="E238" s="6">
        <f>PlanetRiseSet(Lat,Long,B238,1,1)+TimeZone/24+0.00103009259259259</f>
        <v>45580.677796375625</v>
      </c>
      <c r="F238" s="6">
        <f>PlanetRiseSet(Lat,Long,B238+1,1,2)+TimeZone/24+0.00103009259259259</f>
        <v>45582.233287822608</v>
      </c>
      <c r="G238" s="17">
        <f>Panchanga!$C238-TimeZone/24</f>
        <v>45581.021744278725</v>
      </c>
      <c r="H238" s="13" t="str">
        <f>INT(P[[#This Row],[Sun]]/30)&amp;"s"&amp;ROUNDUP(MOD(P[[#This Row],[Sun]],30),2)</f>
        <v>5s28.94</v>
      </c>
      <c r="I238" s="13" t="str">
        <f>INT(P[[#This Row],[Moon]]/30)&amp;"s"&amp;ROUNDUP(MOD(P[[#This Row],[Moon]],30),2)</f>
        <v>11s8.29</v>
      </c>
      <c r="J238" s="14">
        <f t="shared" si="36"/>
        <v>45581.021744278725</v>
      </c>
      <c r="K238" s="10" t="str">
        <f>naks(P[[#This Row],[Moon]])</f>
        <v>Uttara Bhadrapada</v>
      </c>
      <c r="L238" s="15">
        <f>(C239-P[[#This Row],[SunRise]])/(MOD(360+V239-P[[#This Row],[Moon]],360))*(13.3333333333333-MOD(P[[#This Row],[Moon]],13.333333333333))+P[[#This Row],[SunRise]]</f>
        <v>45581.803279165288</v>
      </c>
      <c r="M238" s="4" t="str">
        <f>IF(Panchanga!$R238&gt;15,"K","S")&amp;ROUNDUP(MOD(Panchanga!$R238,15),0)&amp;" ("&amp;ROUND(Panchanga!$R238,2)&amp;")"</f>
        <v>S14 (13.28)</v>
      </c>
      <c r="N238" s="4">
        <f>IF(AND(Panchanga!$R238&lt;28.5,Panchanga!$R238&gt;0.49999),MOD((Panchanga!$R238-0.5)*2,7),MOD((Panchanga!$R238+30-28.5),30)*2+7)</f>
        <v>4.5576000000000008</v>
      </c>
      <c r="O238" s="4" t="str">
        <f>CHOOSE(ROUNDUP(Panchanga!$N238,0),"Bhava","Baalava","Kaulava","Taitula","Garija","Vanija","Vishti","Shakuni","Chatushapda","Naaga","Kimstugna")</f>
        <v>Garija</v>
      </c>
      <c r="P238" s="11" t="str">
        <f>CHOOSE(ROUNDUP(Panchanga!$S238,0),"viṣkambha","prīti","āyuṣmāna","saubhāgya","śobhana","atigaṇḍa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("&amp;Panchanga!$S238&amp;")"</f>
        <v>dhruva  (11.8)</v>
      </c>
      <c r="Q238" s="4">
        <f>IF(AND(Panchanga!$R238&lt;28.5,Panchanga!$R238&gt;0.49999),MOD((Panchanga!$R238-0.5)*2,7),MOD((Panchanga!$R238+30-28.5),30)*2+7)</f>
        <v>4.5576000000000008</v>
      </c>
      <c r="R238" s="4">
        <f>ROUNDUP(MOD(360+P[[#This Row],[Moon]]-P[[#This Row],[Sun]],360)/12,4)</f>
        <v>13.2788</v>
      </c>
      <c r="S238" s="4">
        <f>ROUNDUP(MOD(P[[#This Row],[Sun]]+P[[#This Row],[Moon]],360)/13.333333333,2)</f>
        <v>11.799999999999999</v>
      </c>
      <c r="T238" s="4" t="str">
        <f>SIGN(W239-Panchanga!$W238)*INT(Panchanga!$W238/30+1)&amp;"Ma,"&amp;SIGN(X239-Panchanga!$X238)*INT(Panchanga!$X238/30+1)&amp;"Me,"&amp;SIGN(Y239-Panchanga!$Y238)*INT(Panchanga!$Y238/30+1)&amp;"J, "&amp;SIGN(Z239-Panchanga!$Z238)*INT(Panchanga!$Z238/30+1)&amp;"V,"&amp;SIGN(AA239-Panchanga!$AA238)*INT(Panchanga!$AA238/30+1)&amp;"S,"&amp;INT(Panchanga!$AB238/30+1)&amp;"R"</f>
        <v>3Ma,7Me,-2J, 8V,-11S,12R</v>
      </c>
      <c r="U238" s="4">
        <f t="shared" si="34"/>
        <v>178.93871969221894</v>
      </c>
      <c r="V238" s="4">
        <f t="shared" si="35"/>
        <v>338.28359644678505</v>
      </c>
      <c r="W238" s="4">
        <f>Planet(Panchanga!$G238,4)</f>
        <v>88.05305200986156</v>
      </c>
      <c r="X238" s="4">
        <f>Planet(Panchanga!$G238,2)</f>
        <v>189.32263305954294</v>
      </c>
      <c r="Y238" s="4">
        <f>Planet(Panchanga!$G238,5)</f>
        <v>57.059221872528347</v>
      </c>
      <c r="Z238" s="4">
        <f>Planet(Panchanga!$G238,3)</f>
        <v>213.63274011030506</v>
      </c>
      <c r="AA238" s="4">
        <f>Planet(Panchanga!$G238,6)</f>
        <v>319.27824424811638</v>
      </c>
      <c r="AB238" s="4">
        <f>Planet(Panchanga!$G238,10)</f>
        <v>341.37021252915815</v>
      </c>
      <c r="AC238" s="4" t="str">
        <f>TEXT(Panchanga!$C238+($C239-Panchanga!$C238)/ABS(IF($R239&lt;1,$R239+30,$R239)-Panchanga!$R238)*(ROUNDUP(Panchanga!$R238,0)-Panchanga!$R238),"hh:mm AM/PM")</f>
        <v>08:39 PM</v>
      </c>
      <c r="AD238" s="4"/>
    </row>
    <row r="239" spans="1:30" x14ac:dyDescent="0.2">
      <c r="A239" s="3">
        <f t="shared" si="37"/>
        <v>45582</v>
      </c>
      <c r="B239" s="3">
        <f t="shared" si="32"/>
        <v>45582.229166666664</v>
      </c>
      <c r="C239" s="6">
        <f t="shared" si="33"/>
        <v>45582.251013790876</v>
      </c>
      <c r="D239" s="6">
        <f>sunset(Lat,Long,B239)+TimeZone/24-0.000277777777777778</f>
        <v>45581.742180082525</v>
      </c>
      <c r="E239" s="6">
        <f>PlanetRiseSet(Lat,Long,B239,1,1)+TimeZone/24+0.00103009259259259</f>
        <v>45581.708108503524</v>
      </c>
      <c r="F239" s="6">
        <f>PlanetRiseSet(Lat,Long,B239+1,1,2)+TimeZone/24+0.00103009259259259</f>
        <v>45583.27568952382</v>
      </c>
      <c r="G239" s="17">
        <f>Panchanga!$C239-TimeZone/24</f>
        <v>45582.021847124211</v>
      </c>
      <c r="H239" s="13" t="str">
        <f>INT(P[[#This Row],[Sun]]/30)&amp;"s"&amp;ROUNDUP(MOD(P[[#This Row],[Sun]],30),2)</f>
        <v>5s29.94</v>
      </c>
      <c r="I239" s="13" t="str">
        <f>INT(P[[#This Row],[Moon]]/30)&amp;"s"&amp;ROUNDUP(MOD(P[[#This Row],[Moon]],30),2)</f>
        <v>11s23.47</v>
      </c>
      <c r="J239" s="14">
        <f t="shared" si="36"/>
        <v>45582.021847124211</v>
      </c>
      <c r="K239" s="10" t="str">
        <f>naks(P[[#This Row],[Moon]])</f>
        <v>Revati</v>
      </c>
      <c r="L239" s="15">
        <f>(C240-P[[#This Row],[SunRise]])/(MOD(360+V240-P[[#This Row],[Moon]],360))*(13.3333333333333-MOD(P[[#This Row],[Moon]],13.333333333333))+P[[#This Row],[SunRise]]</f>
        <v>45582.681248345412</v>
      </c>
      <c r="M239" s="4" t="str">
        <f>IF(Panchanga!$R239&gt;15,"K","S")&amp;ROUNDUP(MOD(Panchanga!$R239,15),0)&amp;" ("&amp;ROUND(Panchanga!$R239,2)&amp;")"</f>
        <v>S15 (14.46)</v>
      </c>
      <c r="N239" s="4">
        <f>IF(AND(Panchanga!$R239&lt;28.5,Panchanga!$R239&gt;0.49999),MOD((Panchanga!$R239-0.5)*2,7),MOD((Panchanga!$R239+30-28.5),30)*2+7)</f>
        <v>6.9220000000000006</v>
      </c>
      <c r="O239" s="4" t="str">
        <f>CHOOSE(ROUNDUP(Panchanga!$N239,0),"Bhava","Baalava","Kaulava","Taitula","Garija","Vanija","Vishti","Shakuni","Chatushapda","Naaga","Kimstugna")</f>
        <v>Vishti</v>
      </c>
      <c r="P239" s="11" t="str">
        <f>CHOOSE(ROUNDUP(Panchanga!$S239,0),"viṣkambha","prīti","āyuṣmāna","saubhāgya","śobhana","atigaṇḍa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("&amp;Panchanga!$S239&amp;")"</f>
        <v>harṣaṇa (13.01)</v>
      </c>
      <c r="Q239" s="4">
        <f>IF(AND(Panchanga!$R239&lt;28.5,Panchanga!$R239&gt;0.49999),MOD((Panchanga!$R239-0.5)*2,7),MOD((Panchanga!$R239+30-28.5),30)*2+7)</f>
        <v>6.9220000000000006</v>
      </c>
      <c r="R239" s="4">
        <f>ROUNDUP(MOD(360+P[[#This Row],[Moon]]-P[[#This Row],[Sun]],360)/12,4)</f>
        <v>14.461</v>
      </c>
      <c r="S239" s="4">
        <f>ROUNDUP(MOD(P[[#This Row],[Sun]]+P[[#This Row],[Moon]],360)/13.333333333,2)</f>
        <v>13.01</v>
      </c>
      <c r="T239" s="4" t="str">
        <f>SIGN(W240-Panchanga!$W239)*INT(Panchanga!$W239/30+1)&amp;"Ma,"&amp;SIGN(X240-Panchanga!$X239)*INT(Panchanga!$X239/30+1)&amp;"Me,"&amp;SIGN(Y240-Panchanga!$Y239)*INT(Panchanga!$Y239/30+1)&amp;"J, "&amp;SIGN(Z240-Panchanga!$Z239)*INT(Panchanga!$Z239/30+1)&amp;"V,"&amp;SIGN(AA240-Panchanga!$AA239)*INT(Panchanga!$AA239/30+1)&amp;"S,"&amp;INT(Panchanga!$AB239/30+1)&amp;"R"</f>
        <v>3Ma,7Me,-2J, 8V,-11S,12R</v>
      </c>
      <c r="U239" s="4">
        <f t="shared" si="34"/>
        <v>179.93032013176582</v>
      </c>
      <c r="V239" s="4">
        <f t="shared" si="35"/>
        <v>353.46175492654606</v>
      </c>
      <c r="W239" s="4">
        <f>Planet(Panchanga!$G239,4)</f>
        <v>88.509431279361095</v>
      </c>
      <c r="X239" s="4">
        <f>Planet(Panchanga!$G239,2)</f>
        <v>190.89736435118888</v>
      </c>
      <c r="Y239" s="4">
        <f>Planet(Panchanga!$G239,5)</f>
        <v>57.034985463714968</v>
      </c>
      <c r="Z239" s="4">
        <f>Planet(Panchanga!$G239,3)</f>
        <v>214.8426157315705</v>
      </c>
      <c r="AA239" s="4">
        <f>Planet(Panchanga!$G239,6)</f>
        <v>319.2295384972457</v>
      </c>
      <c r="AB239" s="4">
        <f>Planet(Panchanga!$G239,10)</f>
        <v>341.31721509228367</v>
      </c>
      <c r="AC239" s="4" t="str">
        <f>TEXT(Panchanga!$C239+($C240-Panchanga!$C239)/ABS(IF($R240&lt;1,$R240+30,$R240)-Panchanga!$R239)*(ROUNDUP(Panchanga!$R239,0)-Panchanga!$R239),"hh:mm AM/PM")</f>
        <v>04:57 PM</v>
      </c>
      <c r="AD239" s="4"/>
    </row>
    <row r="240" spans="1:30" x14ac:dyDescent="0.2">
      <c r="A240" s="3">
        <f t="shared" si="37"/>
        <v>45583</v>
      </c>
      <c r="B240" s="3">
        <f t="shared" si="32"/>
        <v>45583.229166666664</v>
      </c>
      <c r="C240" s="6">
        <f t="shared" si="33"/>
        <v>45583.251122445487</v>
      </c>
      <c r="D240" s="6">
        <f>sunset(Lat,Long,B240)+TimeZone/24-0.000277777777777778</f>
        <v>45582.741791464898</v>
      </c>
      <c r="E240" s="6">
        <f>PlanetRiseSet(Lat,Long,B240,1,1)+TimeZone/24+0.00103009259259259</f>
        <v>45582.739441479709</v>
      </c>
      <c r="F240" s="6">
        <f>PlanetRiseSet(Lat,Long,B240+1,1,2)+TimeZone/24+0.00103009259259259</f>
        <v>45584.319709676936</v>
      </c>
      <c r="G240" s="17">
        <f>Panchanga!$C240-TimeZone/24</f>
        <v>45583.021955778822</v>
      </c>
      <c r="H240" s="13" t="str">
        <f>INT(P[[#This Row],[Sun]]/30)&amp;"s"&amp;ROUNDUP(MOD(P[[#This Row],[Sun]],30),2)</f>
        <v>6s0.93</v>
      </c>
      <c r="I240" s="13" t="str">
        <f>INT(P[[#This Row],[Moon]]/30)&amp;"s"&amp;ROUNDUP(MOD(P[[#This Row],[Moon]],30),2)</f>
        <v>0s8.67</v>
      </c>
      <c r="J240" s="14">
        <f t="shared" si="36"/>
        <v>45583.021955778822</v>
      </c>
      <c r="K240" s="10" t="str">
        <f>naks(P[[#This Row],[Moon]])</f>
        <v>Aswini</v>
      </c>
      <c r="L240" s="15">
        <f>(C241-P[[#This Row],[SunRise]])/(MOD(360+V241-P[[#This Row],[Moon]],360))*(13.3333333333333-MOD(P[[#This Row],[Moon]],13.333333333333))+P[[#This Row],[SunRise]]</f>
        <v>45583.56151481218</v>
      </c>
      <c r="M240" s="4" t="str">
        <f>IF(Panchanga!$R240&gt;15,"K","S")&amp;ROUNDUP(MOD(Panchanga!$R240,15),0)&amp;" ("&amp;ROUND(Panchanga!$R240,2)&amp;")"</f>
        <v>K1 (15.64)</v>
      </c>
      <c r="N240" s="4">
        <f>IF(AND(Panchanga!$R240&lt;28.5,Panchanga!$R240&gt;0.49999),MOD((Panchanga!$R240-0.5)*2,7),MOD((Panchanga!$R240+30-28.5),30)*2+7)</f>
        <v>2.2897999999999996</v>
      </c>
      <c r="O240" s="4" t="str">
        <f>CHOOSE(ROUNDUP(Panchanga!$N240,0),"Bhava","Baalava","Kaulava","Taitula","Garija","Vanija","Vishti","Shakuni","Chatushapda","Naaga","Kimstugna")</f>
        <v>Kaulava</v>
      </c>
      <c r="P240" s="11" t="str">
        <f>CHOOSE(ROUNDUP(Panchanga!$S240,0),"viṣkambha","prīti","āyuṣmāna","saubhāgya","śobhana","atigaṇḍa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("&amp;Panchanga!$S240&amp;")"</f>
        <v>vajra (14.22)</v>
      </c>
      <c r="Q240" s="4">
        <f>IF(AND(Panchanga!$R240&lt;28.5,Panchanga!$R240&gt;0.49999),MOD((Panchanga!$R240-0.5)*2,7),MOD((Panchanga!$R240+30-28.5),30)*2+7)</f>
        <v>2.2897999999999996</v>
      </c>
      <c r="R240" s="4">
        <f>ROUNDUP(MOD(360+P[[#This Row],[Moon]]-P[[#This Row],[Sun]],360)/12,4)</f>
        <v>15.6449</v>
      </c>
      <c r="S240" s="4">
        <f>ROUNDUP(MOD(P[[#This Row],[Sun]]+P[[#This Row],[Moon]],360)/13.333333333,2)</f>
        <v>14.22</v>
      </c>
      <c r="T240" s="4" t="str">
        <f>SIGN(W241-Panchanga!$W240)*INT(Panchanga!$W240/30+1)&amp;"Ma,"&amp;SIGN(X241-Panchanga!$X240)*INT(Panchanga!$X240/30+1)&amp;"Me,"&amp;SIGN(Y241-Panchanga!$Y240)*INT(Panchanga!$Y240/30+1)&amp;"J, "&amp;SIGN(Z241-Panchanga!$Z240)*INT(Panchanga!$Z240/30+1)&amp;"V,"&amp;SIGN(AA241-Panchanga!$AA240)*INT(Panchanga!$AA240/30+1)&amp;"S,"&amp;INT(Panchanga!$AB240/30+1)&amp;"R"</f>
        <v>3Ma,7Me,-2J, 8V,-11S,12R</v>
      </c>
      <c r="U240" s="4">
        <f t="shared" si="34"/>
        <v>180.92247787073902</v>
      </c>
      <c r="V240" s="4">
        <f t="shared" si="35"/>
        <v>8.6603376879383589</v>
      </c>
      <c r="W240" s="4">
        <f>Planet(Panchanga!$G240,4)</f>
        <v>88.960796194262286</v>
      </c>
      <c r="X240" s="4">
        <f>Planet(Panchanga!$G240,2)</f>
        <v>192.46138709214401</v>
      </c>
      <c r="Y240" s="4">
        <f>Planet(Panchanga!$G240,5)</f>
        <v>57.007422556739485</v>
      </c>
      <c r="Z240" s="4">
        <f>Planet(Panchanga!$G240,3)</f>
        <v>216.05198416766581</v>
      </c>
      <c r="AA240" s="4">
        <f>Planet(Panchanga!$G240,6)</f>
        <v>319.18219498537337</v>
      </c>
      <c r="AB240" s="4">
        <f>Planet(Panchanga!$G240,10)</f>
        <v>341.26421734753046</v>
      </c>
      <c r="AC240" s="4" t="str">
        <f>TEXT(Panchanga!$C240+($C241-Panchanga!$C240)/ABS(IF($R241&lt;1,$R241+30,$R241)-Panchanga!$R240)*(ROUNDUP(Panchanga!$R240,0)-Panchanga!$R240),"hh:mm AM/PM")</f>
        <v>01:17 PM</v>
      </c>
      <c r="AD240" s="4"/>
    </row>
    <row r="241" spans="1:30" x14ac:dyDescent="0.2">
      <c r="A241" s="3">
        <f t="shared" si="37"/>
        <v>45584</v>
      </c>
      <c r="B241" s="3">
        <f t="shared" si="32"/>
        <v>45584.229166666664</v>
      </c>
      <c r="C241" s="6">
        <f t="shared" si="33"/>
        <v>45584.251237113647</v>
      </c>
      <c r="D241" s="6">
        <f>sunset(Lat,Long,B241)+TimeZone/24-0.000277777777777778</f>
        <v>45583.741410972129</v>
      </c>
      <c r="E241" s="6">
        <f>PlanetRiseSet(Lat,Long,B241,1,1)+TimeZone/24+0.00103009259259259</f>
        <v>45583.77280877313</v>
      </c>
      <c r="F241" s="6">
        <f>PlanetRiseSet(Lat,Long,B241+1,1,2)+TimeZone/24+0.00103009259259259</f>
        <v>45585.364919264488</v>
      </c>
      <c r="G241" s="17">
        <f>Panchanga!$C241-TimeZone/24</f>
        <v>45584.022070446983</v>
      </c>
      <c r="H241" s="13" t="str">
        <f>INT(P[[#This Row],[Sun]]/30)&amp;"s"&amp;ROUNDUP(MOD(P[[#This Row],[Sun]],30),2)</f>
        <v>6s1.92</v>
      </c>
      <c r="I241" s="13" t="str">
        <f>INT(P[[#This Row],[Moon]]/30)&amp;"s"&amp;ROUNDUP(MOD(P[[#This Row],[Moon]],30),2)</f>
        <v>0s23.72</v>
      </c>
      <c r="J241" s="14">
        <f t="shared" si="36"/>
        <v>45584.022070446983</v>
      </c>
      <c r="K241" s="10" t="str">
        <f>naks(P[[#This Row],[Moon]])</f>
        <v>Bharani</v>
      </c>
      <c r="L241" s="15">
        <f>(C242-P[[#This Row],[SunRise]])/(MOD(360+V242-P[[#This Row],[Moon]],360))*(13.3333333333333-MOD(P[[#This Row],[Moon]],13.333333333333))+P[[#This Row],[SunRise]]</f>
        <v>45584.450967116354</v>
      </c>
      <c r="M241" s="4" t="str">
        <f>IF(Panchanga!$R241&gt;15,"K","S")&amp;ROUNDUP(MOD(Panchanga!$R241,15),0)&amp;" ("&amp;ROUND(Panchanga!$R241,2)&amp;")"</f>
        <v>K2 (16.82)</v>
      </c>
      <c r="N241" s="4">
        <f>IF(AND(Panchanga!$R241&lt;28.5,Panchanga!$R241&gt;0.49999),MOD((Panchanga!$R241-0.5)*2,7),MOD((Panchanga!$R241+30-28.5),30)*2+7)</f>
        <v>4.6338000000000008</v>
      </c>
      <c r="O241" s="4" t="str">
        <f>CHOOSE(ROUNDUP(Panchanga!$N241,0),"Bhava","Baalava","Kaulava","Taitula","Garija","Vanija","Vishti","Shakuni","Chatushapda","Naaga","Kimstugna")</f>
        <v>Garija</v>
      </c>
      <c r="P241" s="11" t="str">
        <f>CHOOSE(ROUNDUP(Panchanga!$S241,0),"viṣkambha","prīti","āyuṣmāna","saubhāgya","śobhana","atigaṇḍa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("&amp;Panchanga!$S241&amp;")"</f>
        <v>siddhi (15.43)</v>
      </c>
      <c r="Q241" s="4">
        <f>IF(AND(Panchanga!$R241&lt;28.5,Panchanga!$R241&gt;0.49999),MOD((Panchanga!$R241-0.5)*2,7),MOD((Panchanga!$R241+30-28.5),30)*2+7)</f>
        <v>4.6338000000000008</v>
      </c>
      <c r="R241" s="4">
        <f>ROUNDUP(MOD(360+P[[#This Row],[Moon]]-P[[#This Row],[Sun]],360)/12,4)</f>
        <v>16.8169</v>
      </c>
      <c r="S241" s="4">
        <f>ROUNDUP(MOD(P[[#This Row],[Sun]]+P[[#This Row],[Moon]],360)/13.333333333,2)</f>
        <v>15.43</v>
      </c>
      <c r="T241" s="4" t="str">
        <f>SIGN(W242-Panchanga!$W241)*INT(Panchanga!$W241/30+1)&amp;"Ma,"&amp;SIGN(X242-Panchanga!$X241)*INT(Panchanga!$X241/30+1)&amp;"Me,"&amp;SIGN(Y242-Panchanga!$Y241)*INT(Panchanga!$Y241/30+1)&amp;"J, "&amp;SIGN(Z242-Panchanga!$Z241)*INT(Panchanga!$Z241/30+1)&amp;"V,"&amp;SIGN(AA242-Panchanga!$AA241)*INT(Panchanga!$AA241/30+1)&amp;"S,"&amp;INT(Panchanga!$AB241/30+1)&amp;"R"</f>
        <v>3Ma,7Me,-2J, 8V,-11S,12R</v>
      </c>
      <c r="U241" s="4">
        <f t="shared" si="34"/>
        <v>181.91521522097079</v>
      </c>
      <c r="V241" s="4">
        <f t="shared" si="35"/>
        <v>23.717188276801167</v>
      </c>
      <c r="W241" s="4">
        <f>Planet(Panchanga!$G241,4)</f>
        <v>89.407044740128853</v>
      </c>
      <c r="X241" s="4">
        <f>Planet(Panchanga!$G241,2)</f>
        <v>194.01493676589587</v>
      </c>
      <c r="Y241" s="4">
        <f>Planet(Panchanga!$G241,5)</f>
        <v>56.976538420838722</v>
      </c>
      <c r="Z241" s="4">
        <f>Planet(Panchanga!$G241,3)</f>
        <v>217.26084947185359</v>
      </c>
      <c r="AA241" s="4">
        <f>Planet(Panchanga!$G241,6)</f>
        <v>319.13623563529688</v>
      </c>
      <c r="AB241" s="4">
        <f>Planet(Panchanga!$G241,10)</f>
        <v>341.21121928414539</v>
      </c>
      <c r="AC241" s="4" t="str">
        <f>TEXT(Panchanga!$C241+($C242-Panchanga!$C241)/ABS(IF($R242&lt;1,$R242+30,$R242)-Panchanga!$R241)*(ROUNDUP(Panchanga!$R241,0)-Panchanga!$R241),"hh:mm AM/PM")</f>
        <v>09:51 AM</v>
      </c>
      <c r="AD241" s="4"/>
    </row>
    <row r="242" spans="1:30" x14ac:dyDescent="0.2">
      <c r="A242" s="3">
        <f t="shared" si="37"/>
        <v>45585</v>
      </c>
      <c r="B242" s="3">
        <f t="shared" si="32"/>
        <v>45585.229166666664</v>
      </c>
      <c r="C242" s="6">
        <f t="shared" si="33"/>
        <v>45585.25135798721</v>
      </c>
      <c r="D242" s="6">
        <f>sunset(Lat,Long,B242)+TimeZone/24-0.000277777777777778</f>
        <v>45584.741038904569</v>
      </c>
      <c r="E242" s="6">
        <f>PlanetRiseSet(Lat,Long,B242,1,1)+TimeZone/24+0.00103009259259259</f>
        <v>45584.808957095411</v>
      </c>
      <c r="F242" s="6">
        <f>PlanetRiseSet(Lat,Long,B242+1,1,2)+TimeZone/24+0.00103009259259259</f>
        <v>45586.409985173646</v>
      </c>
      <c r="G242" s="17">
        <f>Panchanga!$C242-TimeZone/24</f>
        <v>45585.022191320546</v>
      </c>
      <c r="H242" s="13" t="str">
        <f>INT(P[[#This Row],[Sun]]/30)&amp;"s"&amp;ROUNDUP(MOD(P[[#This Row],[Sun]],30),2)</f>
        <v>6s2.91</v>
      </c>
      <c r="I242" s="13" t="str">
        <f>INT(P[[#This Row],[Moon]]/30)&amp;"s"&amp;ROUNDUP(MOD(P[[#This Row],[Moon]],30),2)</f>
        <v>1s8.49</v>
      </c>
      <c r="J242" s="14">
        <f t="shared" si="36"/>
        <v>45585.022191320546</v>
      </c>
      <c r="K242" s="10" t="str">
        <f>naks(P[[#This Row],[Moon]])</f>
        <v>Krittika</v>
      </c>
      <c r="L242" s="15">
        <f>(C243-P[[#This Row],[SunRise]])/(MOD(360+V243-P[[#This Row],[Moon]],360))*(13.3333333333333-MOD(P[[#This Row],[Moon]],13.333333333333))+P[[#This Row],[SunRise]]</f>
        <v>45585.356691627763</v>
      </c>
      <c r="M242" s="4" t="str">
        <f>IF(Panchanga!$R242&gt;15,"K","S")&amp;ROUNDUP(MOD(Panchanga!$R242,15),0)&amp;" ("&amp;ROUND(Panchanga!$R242,2)&amp;")"</f>
        <v>K3 (17.96)</v>
      </c>
      <c r="N242" s="4">
        <f>IF(AND(Panchanga!$R242&lt;28.5,Panchanga!$R242&gt;0.49999),MOD((Panchanga!$R242-0.5)*2,7),MOD((Panchanga!$R242+30-28.5),30)*2+7)</f>
        <v>6.9298000000000002</v>
      </c>
      <c r="O242" s="4" t="str">
        <f>CHOOSE(ROUNDUP(Panchanga!$N242,0),"Bhava","Baalava","Kaulava","Taitula","Garija","Vanija","Vishti","Shakuni","Chatushapda","Naaga","Kimstugna")</f>
        <v>Vishti</v>
      </c>
      <c r="P242" s="11" t="str">
        <f>CHOOSE(ROUNDUP(Panchanga!$S242,0),"viṣkambha","prīti","āyuṣmāna","saubhāgya","śobhana","atigaṇḍa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("&amp;Panchanga!$S242&amp;")"</f>
        <v>vyatipāta (16.61)</v>
      </c>
      <c r="Q242" s="4">
        <f>IF(AND(Panchanga!$R242&lt;28.5,Panchanga!$R242&gt;0.49999),MOD((Panchanga!$R242-0.5)*2,7),MOD((Panchanga!$R242+30-28.5),30)*2+7)</f>
        <v>6.9298000000000002</v>
      </c>
      <c r="R242" s="4">
        <f>ROUNDUP(MOD(360+P[[#This Row],[Moon]]-P[[#This Row],[Sun]],360)/12,4)</f>
        <v>17.9649</v>
      </c>
      <c r="S242" s="4">
        <f>ROUNDUP(MOD(P[[#This Row],[Sun]]+P[[#This Row],[Moon]],360)/13.333333333,2)</f>
        <v>16.610000000000003</v>
      </c>
      <c r="T242" s="4" t="str">
        <f>SIGN(W243-Panchanga!$W242)*INT(Panchanga!$W242/30+1)&amp;"Ma,"&amp;SIGN(X243-Panchanga!$X242)*INT(Panchanga!$X242/30+1)&amp;"Me,"&amp;SIGN(Y243-Panchanga!$Y242)*INT(Panchanga!$Y242/30+1)&amp;"J, "&amp;SIGN(Z243-Panchanga!$Z242)*INT(Panchanga!$Z242/30+1)&amp;"V,"&amp;SIGN(AA243-Panchanga!$AA242)*INT(Panchanga!$AA242/30+1)&amp;"S,"&amp;INT(Panchanga!$AB242/30+1)&amp;"R"</f>
        <v>3Ma,7Me,-2J, 8V,-11S,12R</v>
      </c>
      <c r="U242" s="4">
        <f t="shared" si="34"/>
        <v>182.90855265034014</v>
      </c>
      <c r="V242" s="4">
        <f t="shared" si="35"/>
        <v>38.486300898183082</v>
      </c>
      <c r="W242" s="4">
        <f>Planet(Panchanga!$G242,4)</f>
        <v>89.848065498802612</v>
      </c>
      <c r="X242" s="4">
        <f>Planet(Panchanga!$G242,2)</f>
        <v>195.55822410168633</v>
      </c>
      <c r="Y242" s="4">
        <f>Planet(Panchanga!$G242,5)</f>
        <v>56.942338891344662</v>
      </c>
      <c r="Z242" s="4">
        <f>Planet(Panchanga!$G242,3)</f>
        <v>218.46921736595203</v>
      </c>
      <c r="AA242" s="4">
        <f>Planet(Panchanga!$G242,6)</f>
        <v>319.09168242902973</v>
      </c>
      <c r="AB242" s="4">
        <f>Planet(Panchanga!$G242,10)</f>
        <v>341.15822089188896</v>
      </c>
      <c r="AC242" s="4" t="str">
        <f>TEXT(Panchanga!$C242+($C243-Panchanga!$C242)/ABS(IF($R243&lt;1,$R243+30,$R243)-Panchanga!$R242)*(ROUNDUP(Panchanga!$R242,0)-Panchanga!$R242),"hh:mm AM/PM")</f>
        <v>06:47 AM</v>
      </c>
      <c r="AD242" s="4"/>
    </row>
    <row r="243" spans="1:30" x14ac:dyDescent="0.2">
      <c r="A243" s="3">
        <f t="shared" si="37"/>
        <v>45586</v>
      </c>
      <c r="B243" s="3">
        <f t="shared" si="32"/>
        <v>45586.229166666664</v>
      </c>
      <c r="C243" s="6">
        <f t="shared" si="33"/>
        <v>45586.251485240333</v>
      </c>
      <c r="D243" s="6">
        <f>sunset(Lat,Long,B243)+TimeZone/24-0.000277777777777778</f>
        <v>45585.740675554654</v>
      </c>
      <c r="E243" s="6">
        <f>PlanetRiseSet(Lat,Long,B243,1,1)+TimeZone/24+0.00103009259259259</f>
        <v>45585.84803488633</v>
      </c>
      <c r="F243" s="6">
        <f>PlanetRiseSet(Lat,Long,B243+1,1,2)+TimeZone/24+0.00103009259259259</f>
        <v>45587.453034678161</v>
      </c>
      <c r="G243" s="17">
        <f>Panchanga!$C243-TimeZone/24</f>
        <v>45586.022318573669</v>
      </c>
      <c r="H243" s="13" t="str">
        <f>INT(P[[#This Row],[Sun]]/30)&amp;"s"&amp;ROUNDUP(MOD(P[[#This Row],[Sun]],30),2)</f>
        <v>6s3.91</v>
      </c>
      <c r="I243" s="13" t="str">
        <f>INT(P[[#This Row],[Moon]]/30)&amp;"s"&amp;ROUNDUP(MOD(P[[#This Row],[Moon]],30),2)</f>
        <v>1s22.86</v>
      </c>
      <c r="J243" s="14">
        <f t="shared" si="36"/>
        <v>45586.022318573669</v>
      </c>
      <c r="K243" s="10" t="str">
        <f>naks(P[[#This Row],[Moon]])</f>
        <v>Rohini</v>
      </c>
      <c r="L243" s="15">
        <f>(C244-P[[#This Row],[SunRise]])/(MOD(360+V244-P[[#This Row],[Moon]],360))*(13.3333333333333-MOD(P[[#This Row],[Moon]],13.333333333333))+P[[#This Row],[SunRise]]</f>
        <v>45586.285603875105</v>
      </c>
      <c r="M243" s="4" t="str">
        <f>IF(Panchanga!$R243&gt;15,"K","S")&amp;ROUNDUP(MOD(Panchanga!$R243,15),0)&amp;" ("&amp;ROUND(Panchanga!$R243,2)&amp;")"</f>
        <v>K5 (19.08)</v>
      </c>
      <c r="N243" s="4">
        <f>IF(AND(Panchanga!$R243&lt;28.5,Panchanga!$R243&gt;0.49999),MOD((Panchanga!$R243-0.5)*2,7),MOD((Panchanga!$R243+30-28.5),30)*2+7)</f>
        <v>2.159399999999998</v>
      </c>
      <c r="O243" s="4" t="str">
        <f>CHOOSE(ROUNDUP(Panchanga!$N243,0),"Bhava","Baalava","Kaulava","Taitula","Garija","Vanija","Vishti","Shakuni","Chatushapda","Naaga","Kimstugna")</f>
        <v>Kaulava</v>
      </c>
      <c r="P243" s="11" t="str">
        <f>CHOOSE(ROUNDUP(Panchanga!$S243,0),"viṣkambha","prīti","āyuṣmāna","saubhāgya","śobhana","atigaṇḍa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("&amp;Panchanga!$S243&amp;")"</f>
        <v>varīyas (17.76)</v>
      </c>
      <c r="Q243" s="4">
        <f>IF(AND(Panchanga!$R243&lt;28.5,Panchanga!$R243&gt;0.49999),MOD((Panchanga!$R243-0.5)*2,7),MOD((Panchanga!$R243+30-28.5),30)*2+7)</f>
        <v>2.159399999999998</v>
      </c>
      <c r="R243" s="4">
        <f>ROUNDUP(MOD(360+P[[#This Row],[Moon]]-P[[#This Row],[Sun]],360)/12,4)</f>
        <v>19.079699999999999</v>
      </c>
      <c r="S243" s="4">
        <f>ROUNDUP(MOD(P[[#This Row],[Sun]]+P[[#This Row],[Moon]],360)/13.333333333,2)</f>
        <v>17.760000000000002</v>
      </c>
      <c r="T243" s="4" t="str">
        <f>SIGN(W244-Panchanga!$W243)*INT(Panchanga!$W243/30+1)&amp;"Ma,"&amp;SIGN(X244-Panchanga!$X243)*INT(Panchanga!$X243/30+1)&amp;"Me,"&amp;SIGN(Y244-Panchanga!$Y243)*INT(Panchanga!$Y243/30+1)&amp;"J, "&amp;SIGN(Z244-Panchanga!$Z243)*INT(Panchanga!$Z243/30+1)&amp;"V,"&amp;SIGN(AA244-Panchanga!$AA243)*INT(Panchanga!$AA243/30+1)&amp;"S,"&amp;INT(Panchanga!$AB243/30+1)&amp;"R"</f>
        <v>4Ma,7Me,-2J, 8V,-11S,12R</v>
      </c>
      <c r="U243" s="4">
        <f t="shared" si="34"/>
        <v>183.90250678936417</v>
      </c>
      <c r="V243" s="4">
        <f t="shared" si="35"/>
        <v>52.858648771407246</v>
      </c>
      <c r="W243" s="4">
        <f>Planet(Panchanga!$G243,4)</f>
        <v>90.283738776394983</v>
      </c>
      <c r="X243" s="4">
        <f>Planet(Panchanga!$G243,2)</f>
        <v>197.09143006119416</v>
      </c>
      <c r="Y243" s="4">
        <f>Planet(Panchanga!$G243,5)</f>
        <v>56.904831033529717</v>
      </c>
      <c r="Z243" s="4">
        <f>Planet(Panchanga!$G243,3)</f>
        <v>219.67709343944372</v>
      </c>
      <c r="AA243" s="4">
        <f>Planet(Panchanga!$G243,6)</f>
        <v>319.04855749792711</v>
      </c>
      <c r="AB243" s="4">
        <f>Planet(Panchanga!$G243,10)</f>
        <v>341.10522216161519</v>
      </c>
      <c r="AC243" s="4" t="str">
        <f>TEXT(Panchanga!$C243+($C244-Panchanga!$C243)/ABS(IF($R244&lt;1,$R244+30,$R244)-Panchanga!$R243)*(ROUNDUP(Panchanga!$R243,0)-Panchanga!$R243),"hh:mm AM/PM")</f>
        <v>02:33 AM</v>
      </c>
      <c r="AD243" s="4"/>
    </row>
    <row r="244" spans="1:30" x14ac:dyDescent="0.2">
      <c r="A244" s="3">
        <f t="shared" si="37"/>
        <v>45587</v>
      </c>
      <c r="B244" s="3">
        <f t="shared" si="32"/>
        <v>45587.229166666664</v>
      </c>
      <c r="C244" s="6">
        <f t="shared" si="33"/>
        <v>45587.251619026683</v>
      </c>
      <c r="D244" s="6">
        <f>sunset(Lat,Long,B244)+TimeZone/24-0.000277777777777778</f>
        <v>45586.740321205973</v>
      </c>
      <c r="E244" s="6">
        <f>PlanetRiseSet(Lat,Long,B244,1,1)+TimeZone/24+0.00103009259259259</f>
        <v>45586.889302948643</v>
      </c>
      <c r="F244" s="6">
        <f>PlanetRiseSet(Lat,Long,B244+1,1,2)+TimeZone/24+0.00103009259259259</f>
        <v>45588.492472075079</v>
      </c>
      <c r="G244" s="17">
        <f>Panchanga!$C244-TimeZone/24</f>
        <v>45587.022452360019</v>
      </c>
      <c r="H244" s="13" t="str">
        <f>INT(P[[#This Row],[Sun]]/30)&amp;"s"&amp;ROUNDUP(MOD(P[[#This Row],[Sun]],30),2)</f>
        <v>6s4.9</v>
      </c>
      <c r="I244" s="13" t="str">
        <f>INT(P[[#This Row],[Moon]]/30)&amp;"s"&amp;ROUNDUP(MOD(P[[#This Row],[Moon]],30),2)</f>
        <v>2s6.78</v>
      </c>
      <c r="J244" s="14">
        <f t="shared" si="36"/>
        <v>45587.022452360019</v>
      </c>
      <c r="K244" s="10" t="str">
        <f>naks(P[[#This Row],[Moon]])</f>
        <v>Ardra</v>
      </c>
      <c r="L244" s="15">
        <f>(C245-P[[#This Row],[SunRise]])/(MOD(360+V245-P[[#This Row],[Moon]],360))*(13.3333333333333-MOD(P[[#This Row],[Moon]],13.333333333333))+P[[#This Row],[SunRise]]</f>
        <v>45588.235596255217</v>
      </c>
      <c r="M244" s="4" t="str">
        <f>IF(Panchanga!$R244&gt;15,"K","S")&amp;ROUNDUP(MOD(Panchanga!$R244,15),0)&amp;" ("&amp;ROUND(Panchanga!$R244,2)&amp;")"</f>
        <v>K6 (20.16)</v>
      </c>
      <c r="N244" s="4">
        <f>IF(AND(Panchanga!$R244&lt;28.5,Panchanga!$R244&gt;0.49999),MOD((Panchanga!$R244-0.5)*2,7),MOD((Panchanga!$R244+30-28.5),30)*2+7)</f>
        <v>4.3128000000000029</v>
      </c>
      <c r="O244" s="4" t="str">
        <f>CHOOSE(ROUNDUP(Panchanga!$N244,0),"Bhava","Baalava","Kaulava","Taitula","Garija","Vanija","Vishti","Shakuni","Chatushapda","Naaga","Kimstugna")</f>
        <v>Garija</v>
      </c>
      <c r="P244" s="11" t="str">
        <f>CHOOSE(ROUNDUP(Panchanga!$S244,0),"viṣkambha","prīti","āyuṣmāna","saubhāgya","śobhana","atigaṇḍa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("&amp;Panchanga!$S244&amp;")"</f>
        <v>parigha (18.88)</v>
      </c>
      <c r="Q244" s="4">
        <f>IF(AND(Panchanga!$R244&lt;28.5,Panchanga!$R244&gt;0.49999),MOD((Panchanga!$R244-0.5)*2,7),MOD((Panchanga!$R244+30-28.5),30)*2+7)</f>
        <v>4.3128000000000029</v>
      </c>
      <c r="R244" s="4">
        <f>ROUNDUP(MOD(360+P[[#This Row],[Moon]]-P[[#This Row],[Sun]],360)/12,4)</f>
        <v>20.156400000000001</v>
      </c>
      <c r="S244" s="4">
        <f>ROUNDUP(MOD(P[[#This Row],[Sun]]+P[[#This Row],[Moon]],360)/13.333333333,2)</f>
        <v>18.880000000000003</v>
      </c>
      <c r="T244" s="4" t="str">
        <f>SIGN(W245-Panchanga!$W244)*INT(Panchanga!$W244/30+1)&amp;"Ma,"&amp;SIGN(X245-Panchanga!$X244)*INT(Panchanga!$X244/30+1)&amp;"Me,"&amp;SIGN(Y245-Panchanga!$Y244)*INT(Panchanga!$Y244/30+1)&amp;"J, "&amp;SIGN(Z245-Panchanga!$Z244)*INT(Panchanga!$Z244/30+1)&amp;"V,"&amp;SIGN(AA245-Panchanga!$AA244)*INT(Panchanga!$AA244/30+1)&amp;"S,"&amp;INT(Panchanga!$AB244/30+1)&amp;"R"</f>
        <v>4Ma,7Me,-2J, 8V,-11S,12R</v>
      </c>
      <c r="U244" s="4">
        <f t="shared" si="34"/>
        <v>184.89708936523976</v>
      </c>
      <c r="V244" s="4">
        <f t="shared" si="35"/>
        <v>66.773275525835984</v>
      </c>
      <c r="W244" s="4">
        <f>Planet(Panchanga!$G244,4)</f>
        <v>90.71393832611615</v>
      </c>
      <c r="X244" s="4">
        <f>Planet(Panchanga!$G244,2)</f>
        <v>198.6147011686983</v>
      </c>
      <c r="Y244" s="4">
        <f>Planet(Panchanga!$G244,5)</f>
        <v>56.864023812277999</v>
      </c>
      <c r="Z244" s="4">
        <f>Planet(Panchanga!$G244,3)</f>
        <v>220.88448164416411</v>
      </c>
      <c r="AA244" s="4">
        <f>Planet(Panchanga!$G244,6)</f>
        <v>319.00688306382165</v>
      </c>
      <c r="AB244" s="4">
        <f>Planet(Panchanga!$G244,10)</f>
        <v>341.05222308508939</v>
      </c>
      <c r="AC244" s="4" t="str">
        <f>TEXT(Panchanga!$C244+($C245-Panchanga!$C244)/ABS(IF($R245&lt;1,$R245+30,$R245)-Panchanga!$R244)*(ROUNDUP(Panchanga!$R244,0)-Panchanga!$R244),"hh:mm AM/PM")</f>
        <v>01:33 AM</v>
      </c>
      <c r="AD244" s="4"/>
    </row>
    <row r="245" spans="1:30" x14ac:dyDescent="0.2">
      <c r="A245" s="3">
        <f t="shared" si="37"/>
        <v>45588</v>
      </c>
      <c r="B245" s="3">
        <f t="shared" si="32"/>
        <v>45588.229166666664</v>
      </c>
      <c r="C245" s="6">
        <f t="shared" si="33"/>
        <v>45588.251759479906</v>
      </c>
      <c r="D245" s="6">
        <f>sunset(Lat,Long,B245)+TimeZone/24-0.000277777777777778</f>
        <v>45587.739976127676</v>
      </c>
      <c r="E245" s="6">
        <f>PlanetRiseSet(Lat,Long,B245,1,1)+TimeZone/24+0.00103009259259259</f>
        <v>45587.931238173194</v>
      </c>
      <c r="F245" s="6">
        <f>PlanetRiseSet(Lat,Long,B245+1,1,2)+TimeZone/24+0.00103009259259259</f>
        <v>45588.492472180318</v>
      </c>
      <c r="G245" s="17">
        <f>Panchanga!$C245-TimeZone/24</f>
        <v>45588.022592813242</v>
      </c>
      <c r="H245" s="13" t="str">
        <f>INT(P[[#This Row],[Sun]]/30)&amp;"s"&amp;ROUNDUP(MOD(P[[#This Row],[Sun]],30),2)</f>
        <v>6s5.9</v>
      </c>
      <c r="I245" s="13" t="str">
        <f>INT(P[[#This Row],[Moon]]/30)&amp;"s"&amp;ROUNDUP(MOD(P[[#This Row],[Moon]],30),2)</f>
        <v>2s20.22</v>
      </c>
      <c r="J245" s="14">
        <f t="shared" si="36"/>
        <v>45588.022592813242</v>
      </c>
      <c r="K245" s="10" t="str">
        <f>naks(P[[#This Row],[Moon]])</f>
        <v>Punarvasu</v>
      </c>
      <c r="L245" s="15">
        <f>(C246-P[[#This Row],[SunRise]])/(MOD(360+V246-P[[#This Row],[Moon]],360))*(13.3333333333333-MOD(P[[#This Row],[Moon]],13.333333333333))+P[[#This Row],[SunRise]]</f>
        <v>45589.260816789552</v>
      </c>
      <c r="M245" s="4" t="str">
        <f>IF(Panchanga!$R245&gt;15,"K","S")&amp;ROUNDUP(MOD(Panchanga!$R245,15),0)&amp;" ("&amp;ROUND(Panchanga!$R245,2)&amp;")"</f>
        <v>K7 (21.19)</v>
      </c>
      <c r="N245" s="4">
        <f>IF(AND(Panchanga!$R245&lt;28.5,Panchanga!$R245&gt;0.49999),MOD((Panchanga!$R245-0.5)*2,7),MOD((Panchanga!$R245+30-28.5),30)*2+7)</f>
        <v>6.3875999999999991</v>
      </c>
      <c r="O245" s="4" t="str">
        <f>CHOOSE(ROUNDUP(Panchanga!$N245,0),"Bhava","Baalava","Kaulava","Taitula","Garija","Vanija","Vishti","Shakuni","Chatushapda","Naaga","Kimstugna")</f>
        <v>Vishti</v>
      </c>
      <c r="P245" s="11" t="str">
        <f>CHOOSE(ROUNDUP(Panchanga!$S245,0),"viṣkambha","prīti","āyuṣmāna","saubhāgya","śobhana","atigaṇḍa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("&amp;Panchanga!$S245&amp;")"</f>
        <v>śiva (19.96)</v>
      </c>
      <c r="Q245" s="4">
        <f>IF(AND(Panchanga!$R245&lt;28.5,Panchanga!$R245&gt;0.49999),MOD((Panchanga!$R245-0.5)*2,7),MOD((Panchanga!$R245+30-28.5),30)*2+7)</f>
        <v>6.3875999999999991</v>
      </c>
      <c r="R245" s="4">
        <f>ROUNDUP(MOD(360+P[[#This Row],[Moon]]-P[[#This Row],[Sun]],360)/12,4)</f>
        <v>21.1938</v>
      </c>
      <c r="S245" s="4">
        <f>ROUNDUP(MOD(P[[#This Row],[Sun]]+P[[#This Row],[Moon]],360)/13.333333333,2)</f>
        <v>19.96</v>
      </c>
      <c r="T245" s="4" t="str">
        <f>SIGN(W246-Panchanga!$W245)*INT(Panchanga!$W245/30+1)&amp;"Ma,"&amp;SIGN(X246-Panchanga!$X245)*INT(Panchanga!$X245/30+1)&amp;"Me,"&amp;SIGN(Y246-Panchanga!$Y245)*INT(Panchanga!$Y245/30+1)&amp;"J, "&amp;SIGN(Z246-Panchanga!$Z245)*INT(Panchanga!$Z245/30+1)&amp;"V,"&amp;SIGN(AA246-Panchanga!$AA245)*INT(Panchanga!$AA245/30+1)&amp;"S,"&amp;INT(Panchanga!$AB245/30+1)&amp;"R"</f>
        <v>4Ma,7Me,-2J, 8V,-11S,12R</v>
      </c>
      <c r="U245" s="4">
        <f t="shared" si="34"/>
        <v>185.89230704762133</v>
      </c>
      <c r="V245" s="4">
        <f t="shared" si="35"/>
        <v>80.217267751115429</v>
      </c>
      <c r="W245" s="4">
        <f>Planet(Panchanga!$G245,4)</f>
        <v>91.13853310406526</v>
      </c>
      <c r="X245" s="4">
        <f>Planet(Panchanga!$G245,2)</f>
        <v>200.12814512320998</v>
      </c>
      <c r="Y245" s="4">
        <f>Planet(Panchanga!$G245,5)</f>
        <v>56.819928630809912</v>
      </c>
      <c r="Z245" s="4">
        <f>Planet(Panchanga!$G245,3)</f>
        <v>222.09138333988309</v>
      </c>
      <c r="AA245" s="4">
        <f>Planet(Panchanga!$G245,6)</f>
        <v>318.96668127590635</v>
      </c>
      <c r="AB245" s="4">
        <f>Planet(Panchanga!$G245,10)</f>
        <v>340.9992236553029</v>
      </c>
      <c r="AC245" s="4" t="str">
        <f>TEXT(Panchanga!$C245+($C246-Panchanga!$C245)/ABS(IF($R246&lt;1,$R246+30,$R246)-Panchanga!$R245)*(ROUNDUP(Panchanga!$R245,0)-Panchanga!$R245),"hh:mm AM/PM")</f>
        <v>01:23 AM</v>
      </c>
      <c r="AD245" s="4"/>
    </row>
    <row r="246" spans="1:30" x14ac:dyDescent="0.2">
      <c r="A246" s="3">
        <f t="shared" si="37"/>
        <v>45589</v>
      </c>
      <c r="B246" s="3">
        <f t="shared" si="32"/>
        <v>45589.229166666664</v>
      </c>
      <c r="C246" s="6">
        <f t="shared" si="33"/>
        <v>45589.251906714555</v>
      </c>
      <c r="D246" s="6">
        <f>sunset(Lat,Long,B246)+TimeZone/24-0.000277777777777778</f>
        <v>45588.739640578671</v>
      </c>
      <c r="E246" s="6">
        <f>PlanetRiseSet(Lat,Long,B246,1,1)+TimeZone/24+0.00103009259259259</f>
        <v>45588.972154527124</v>
      </c>
      <c r="F246" s="6">
        <f>PlanetRiseSet(Lat,Long,B246+1,1,2)+TimeZone/24+0.00103009259259259</f>
        <v>45589.527599048488</v>
      </c>
      <c r="G246" s="17">
        <f>Panchanga!$C246-TimeZone/24</f>
        <v>45589.022740047891</v>
      </c>
      <c r="H246" s="13" t="str">
        <f>INT(P[[#This Row],[Sun]]/30)&amp;"s"&amp;ROUNDUP(MOD(P[[#This Row],[Sun]],30),2)</f>
        <v>6s6.89</v>
      </c>
      <c r="I246" s="13" t="str">
        <f>INT(P[[#This Row],[Moon]]/30)&amp;"s"&amp;ROUNDUP(MOD(P[[#This Row],[Moon]],30),2)</f>
        <v>3s3.22</v>
      </c>
      <c r="J246" s="14">
        <f t="shared" si="36"/>
        <v>45589.022740047891</v>
      </c>
      <c r="K246" s="10" t="str">
        <f>naks(P[[#This Row],[Moon]])</f>
        <v>Punarvasu</v>
      </c>
      <c r="L246" s="15">
        <f>(C247-P[[#This Row],[SunRise]])/(MOD(360+V247-P[[#This Row],[Moon]],360))*(13.3333333333333-MOD(P[[#This Row],[Moon]],13.333333333333))+P[[#This Row],[SunRise]]</f>
        <v>45589.261091579945</v>
      </c>
      <c r="M246" s="4" t="str">
        <f>IF(Panchanga!$R246&gt;15,"K","S")&amp;ROUNDUP(MOD(Panchanga!$R246,15),0)&amp;" ("&amp;ROUND(Panchanga!$R246,2)&amp;")"</f>
        <v>K8 (22.19)</v>
      </c>
      <c r="N246" s="4">
        <f>IF(AND(Panchanga!$R246&lt;28.5,Panchanga!$R246&gt;0.49999),MOD((Panchanga!$R246-0.5)*2,7),MOD((Panchanga!$R246+30-28.5),30)*2+7)</f>
        <v>1.3883999999999972</v>
      </c>
      <c r="O246" s="4" t="str">
        <f>CHOOSE(ROUNDUP(Panchanga!$N246,0),"Bhava","Baalava","Kaulava","Taitula","Garija","Vanija","Vishti","Shakuni","Chatushapda","Naaga","Kimstugna")</f>
        <v>Baalava</v>
      </c>
      <c r="P246" s="11" t="str">
        <f>CHOOSE(ROUNDUP(Panchanga!$S246,0),"viṣkambha","prīti","āyuṣmāna","saubhāgya","śobhana","atigaṇḍa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("&amp;Panchanga!$S246&amp;")"</f>
        <v>sādhya (21.01)</v>
      </c>
      <c r="Q246" s="4">
        <f>IF(AND(Panchanga!$R246&lt;28.5,Panchanga!$R246&gt;0.49999),MOD((Panchanga!$R246-0.5)*2,7),MOD((Panchanga!$R246+30-28.5),30)*2+7)</f>
        <v>1.3883999999999972</v>
      </c>
      <c r="R246" s="4">
        <f>ROUNDUP(MOD(360+P[[#This Row],[Moon]]-P[[#This Row],[Sun]],360)/12,4)</f>
        <v>22.194199999999999</v>
      </c>
      <c r="S246" s="4">
        <f>ROUNDUP(MOD(P[[#This Row],[Sun]]+P[[#This Row],[Moon]],360)/13.333333333,2)</f>
        <v>21.01</v>
      </c>
      <c r="T246" s="4" t="str">
        <f>SIGN(W247-Panchanga!$W246)*INT(Panchanga!$W246/30+1)&amp;"Ma,"&amp;SIGN(X247-Panchanga!$X246)*INT(Panchanga!$X246/30+1)&amp;"Me,"&amp;SIGN(Y247-Panchanga!$Y246)*INT(Panchanga!$Y246/30+1)&amp;"J, "&amp;SIGN(Z247-Panchanga!$Z246)*INT(Panchanga!$Z246/30+1)&amp;"V,"&amp;SIGN(AA247-Panchanga!$AA246)*INT(Panchanga!$AA246/30+1)&amp;"S,"&amp;INT(Panchanga!$AB246/30+1)&amp;"R"</f>
        <v>4Ma,7Me,-2J, 8V,-11S,12R</v>
      </c>
      <c r="U246" s="4">
        <f t="shared" si="34"/>
        <v>186.88816189188876</v>
      </c>
      <c r="V246" s="4">
        <f t="shared" si="35"/>
        <v>93.217517188043985</v>
      </c>
      <c r="W246" s="4">
        <f>Planet(Panchanga!$G246,4)</f>
        <v>91.557388681737848</v>
      </c>
      <c r="X246" s="4">
        <f>Planet(Panchanga!$G246,2)</f>
        <v>201.6318264324797</v>
      </c>
      <c r="Y246" s="4">
        <f>Planet(Panchanga!$G246,5)</f>
        <v>56.772559691420987</v>
      </c>
      <c r="Z246" s="4">
        <f>Planet(Panchanga!$G246,3)</f>
        <v>223.29779687296207</v>
      </c>
      <c r="AA246" s="4">
        <f>Planet(Panchanga!$G246,6)</f>
        <v>318.92797402558563</v>
      </c>
      <c r="AB246" s="4">
        <f>Planet(Panchanga!$G246,10)</f>
        <v>340.94622386615833</v>
      </c>
      <c r="AC246" s="4" t="str">
        <f>TEXT(Panchanga!$C246+($C247-Panchanga!$C246)/ABS(IF($R247&lt;1,$R247+30,$R247)-Panchanga!$R246)*(ROUNDUP(Panchanga!$R246,0)-Panchanga!$R246),"hh:mm AM/PM")</f>
        <v>02:01 AM</v>
      </c>
      <c r="AD246" s="4"/>
    </row>
    <row r="247" spans="1:30" x14ac:dyDescent="0.2">
      <c r="A247" s="3">
        <f t="shared" si="37"/>
        <v>45590</v>
      </c>
      <c r="B247" s="3">
        <f t="shared" si="32"/>
        <v>45590.229166666664</v>
      </c>
      <c r="C247" s="6">
        <f t="shared" si="33"/>
        <v>45590.252060829815</v>
      </c>
      <c r="D247" s="6">
        <f>sunset(Lat,Long,B247)+TimeZone/24-0.000277777777777778</f>
        <v>45589.739314804363</v>
      </c>
      <c r="E247" s="6">
        <f>PlanetRiseSet(Lat,Long,B247,1,1)+TimeZone/24+0.00103009259259259</f>
        <v>45590.010891987629</v>
      </c>
      <c r="F247" s="6">
        <f>PlanetRiseSet(Lat,Long,B247+1,1,2)+TimeZone/24+0.00103009259259259</f>
        <v>45590.558616124246</v>
      </c>
      <c r="G247" s="17">
        <f>Panchanga!$C247-TimeZone/24</f>
        <v>45590.02289416315</v>
      </c>
      <c r="H247" s="13" t="str">
        <f>INT(P[[#This Row],[Sun]]/30)&amp;"s"&amp;ROUNDUP(MOD(P[[#This Row],[Sun]],30),2)</f>
        <v>6s7.89</v>
      </c>
      <c r="I247" s="13" t="str">
        <f>INT(P[[#This Row],[Moon]]/30)&amp;"s"&amp;ROUNDUP(MOD(P[[#This Row],[Moon]],30),2)</f>
        <v>3s15.83</v>
      </c>
      <c r="J247" s="14">
        <f t="shared" si="36"/>
        <v>45590.02289416315</v>
      </c>
      <c r="K247" s="10" t="str">
        <f>naks(P[[#This Row],[Moon]])</f>
        <v>Pushya</v>
      </c>
      <c r="L247" s="15">
        <f>(C248-P[[#This Row],[SunRise]])/(MOD(360+V248-P[[#This Row],[Moon]],360))*(13.3333333333333-MOD(P[[#This Row],[Moon]],13.333333333333))+P[[#This Row],[SunRise]]</f>
        <v>45590.32021608916</v>
      </c>
      <c r="M247" s="4" t="str">
        <f>IF(Panchanga!$R247&gt;15,"K","S")&amp;ROUNDUP(MOD(Panchanga!$R247,15),0)&amp;" ("&amp;ROUND(Panchanga!$R247,2)&amp;")"</f>
        <v>K9 (23.16)</v>
      </c>
      <c r="N247" s="4">
        <f>IF(AND(Panchanga!$R247&lt;28.5,Panchanga!$R247&gt;0.49999),MOD((Panchanga!$R247-0.5)*2,7),MOD((Panchanga!$R247+30-28.5),30)*2+7)</f>
        <v>3.3241999999999976</v>
      </c>
      <c r="O247" s="4" t="str">
        <f>CHOOSE(ROUNDUP(Panchanga!$N247,0),"Bhava","Baalava","Kaulava","Taitula","Garija","Vanija","Vishti","Shakuni","Chatushapda","Naaga","Kimstugna")</f>
        <v>Taitula</v>
      </c>
      <c r="P247" s="11" t="str">
        <f>CHOOSE(ROUNDUP(Panchanga!$S247,0),"viṣkambha","prīti","āyuṣmāna","saubhāgya","śobhana","atigaṇḍa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("&amp;Panchanga!$S247&amp;")"</f>
        <v>śubha (22.03)</v>
      </c>
      <c r="Q247" s="4">
        <f>IF(AND(Panchanga!$R247&lt;28.5,Panchanga!$R247&gt;0.49999),MOD((Panchanga!$R247-0.5)*2,7),MOD((Panchanga!$R247+30-28.5),30)*2+7)</f>
        <v>3.3241999999999976</v>
      </c>
      <c r="R247" s="4">
        <f>ROUNDUP(MOD(360+P[[#This Row],[Moon]]-P[[#This Row],[Sun]],360)/12,4)</f>
        <v>23.162099999999999</v>
      </c>
      <c r="S247" s="4">
        <f>ROUNDUP(MOD(P[[#This Row],[Sun]]+P[[#This Row],[Moon]],360)/13.333333333,2)</f>
        <v>22.03</v>
      </c>
      <c r="T247" s="4" t="str">
        <f>SIGN(W248-Panchanga!$W247)*INT(Panchanga!$W247/30+1)&amp;"Ma,"&amp;SIGN(X248-Panchanga!$X247)*INT(Panchanga!$X247/30+1)&amp;"Me,"&amp;SIGN(Y248-Panchanga!$Y247)*INT(Panchanga!$Y247/30+1)&amp;"J, "&amp;SIGN(Z248-Panchanga!$Z247)*INT(Panchanga!$Z247/30+1)&amp;"V,"&amp;SIGN(AA248-Panchanga!$AA247)*INT(Panchanga!$AA247/30+1)&amp;"S,"&amp;INT(Panchanga!$AB247/30+1)&amp;"R"</f>
        <v>4Ma,7Me,-2J, 8V,-11S,12R</v>
      </c>
      <c r="U247" s="4">
        <f t="shared" si="34"/>
        <v>187.8846520128173</v>
      </c>
      <c r="V247" s="4">
        <f t="shared" si="35"/>
        <v>105.82891532943707</v>
      </c>
      <c r="W247" s="4">
        <f>Planet(Panchanga!$G247,4)</f>
        <v>91.970368209976101</v>
      </c>
      <c r="X247" s="4">
        <f>Planet(Panchanga!$G247,2)</f>
        <v>203.12576174739601</v>
      </c>
      <c r="Y247" s="4">
        <f>Planet(Panchanga!$G247,5)</f>
        <v>56.72193420401095</v>
      </c>
      <c r="Z247" s="4">
        <f>Planet(Panchanga!$G247,3)</f>
        <v>224.50371751320591</v>
      </c>
      <c r="AA247" s="4">
        <f>Planet(Panchanga!$G247,6)</f>
        <v>318.890782773252</v>
      </c>
      <c r="AB247" s="4">
        <f>Planet(Panchanga!$G247,10)</f>
        <v>340.89322371237046</v>
      </c>
      <c r="AC247" s="4" t="str">
        <f>TEXT(Panchanga!$C247+($C248-Panchanga!$C247)/ABS(IF($R248&lt;1,$R248+30,$R248)-Panchanga!$R247)*(ROUNDUP(Panchanga!$R247,0)-Panchanga!$R247),"hh:mm AM/PM")</f>
        <v>03:24 AM</v>
      </c>
      <c r="AD247" s="4"/>
    </row>
    <row r="248" spans="1:30" x14ac:dyDescent="0.2">
      <c r="A248" s="3">
        <f t="shared" si="37"/>
        <v>45591</v>
      </c>
      <c r="B248" s="3">
        <f t="shared" si="32"/>
        <v>45591.229166666664</v>
      </c>
      <c r="C248" s="6">
        <f t="shared" si="33"/>
        <v>45591.252221907642</v>
      </c>
      <c r="D248" s="6">
        <f>sunset(Lat,Long,B248)+TimeZone/24-0.000277777777777778</f>
        <v>45590.738999038978</v>
      </c>
      <c r="E248" s="6">
        <f>PlanetRiseSet(Lat,Long,B248,1,1)+TimeZone/24+0.00103009259259259</f>
        <v>45591.04707008243</v>
      </c>
      <c r="F248" s="6">
        <f>PlanetRiseSet(Lat,Long,B248+1,1,2)+TimeZone/24+0.00103009259259259</f>
        <v>45591.586253466703</v>
      </c>
      <c r="G248" s="17">
        <f>Panchanga!$C248-TimeZone/24</f>
        <v>45591.023055240978</v>
      </c>
      <c r="H248" s="13" t="str">
        <f>INT(P[[#This Row],[Sun]]/30)&amp;"s"&amp;ROUNDUP(MOD(P[[#This Row],[Sun]],30),2)</f>
        <v>6s8.89</v>
      </c>
      <c r="I248" s="13" t="str">
        <f>INT(P[[#This Row],[Moon]]/30)&amp;"s"&amp;ROUNDUP(MOD(P[[#This Row],[Moon]],30),2)</f>
        <v>3s28.13</v>
      </c>
      <c r="J248" s="14">
        <f t="shared" si="36"/>
        <v>45591.023055240978</v>
      </c>
      <c r="K248" s="10" t="str">
        <f>naks(P[[#This Row],[Moon]])</f>
        <v>Aslesha</v>
      </c>
      <c r="L248" s="15">
        <f>(C249-P[[#This Row],[SunRise]])/(MOD(360+V249-P[[#This Row],[Moon]],360))*(13.3333333333333-MOD(P[[#This Row],[Moon]],13.333333333333))+P[[#This Row],[SunRise]]</f>
        <v>45591.407987543869</v>
      </c>
      <c r="M248" s="4" t="str">
        <f>IF(Panchanga!$R248&gt;15,"K","S")&amp;ROUNDUP(MOD(Panchanga!$R248,15),0)&amp;" ("&amp;ROUND(Panchanga!$R248,2)&amp;")"</f>
        <v>K10 (24.1)</v>
      </c>
      <c r="N248" s="4">
        <f>IF(AND(Panchanga!$R248&lt;28.5,Panchanga!$R248&gt;0.49999),MOD((Panchanga!$R248-0.5)*2,7),MOD((Panchanga!$R248+30-28.5),30)*2+7)</f>
        <v>5.2070000000000007</v>
      </c>
      <c r="O248" s="4" t="str">
        <f>CHOOSE(ROUNDUP(Panchanga!$N248,0),"Bhava","Baalava","Kaulava","Taitula","Garija","Vanija","Vishti","Shakuni","Chatushapda","Naaga","Kimstugna")</f>
        <v>Vanija</v>
      </c>
      <c r="P248" s="11" t="str">
        <f>CHOOSE(ROUNDUP(Panchanga!$S248,0),"viṣkambha","prīti","āyuṣmāna","saubhāgya","śobhana","atigaṇḍa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("&amp;Panchanga!$S248&amp;")"</f>
        <v>śukla (23.03)</v>
      </c>
      <c r="Q248" s="4">
        <f>IF(AND(Panchanga!$R248&lt;28.5,Panchanga!$R248&gt;0.49999),MOD((Panchanga!$R248-0.5)*2,7),MOD((Panchanga!$R248+30-28.5),30)*2+7)</f>
        <v>5.2070000000000007</v>
      </c>
      <c r="R248" s="4">
        <f>ROUNDUP(MOD(360+P[[#This Row],[Moon]]-P[[#This Row],[Sun]],360)/12,4)</f>
        <v>24.1035</v>
      </c>
      <c r="S248" s="4">
        <f>ROUNDUP(MOD(P[[#This Row],[Sun]]+P[[#This Row],[Moon]],360)/13.333333333,2)</f>
        <v>23.03</v>
      </c>
      <c r="T248" s="4" t="str">
        <f>SIGN(W249-Panchanga!$W248)*INT(Panchanga!$W248/30+1)&amp;"Ma,"&amp;SIGN(X249-Panchanga!$X248)*INT(Panchanga!$X248/30+1)&amp;"Me,"&amp;SIGN(Y249-Panchanga!$Y248)*INT(Panchanga!$Y248/30+1)&amp;"J, "&amp;SIGN(Z249-Panchanga!$Z248)*INT(Panchanga!$Z248/30+1)&amp;"V,"&amp;SIGN(AA249-Panchanga!$AA248)*INT(Panchanga!$AA248/30+1)&amp;"S,"&amp;INT(Panchanga!$AB248/30+1)&amp;"R"</f>
        <v>4Ma,7Me,-2J, 8V,-11S,12R</v>
      </c>
      <c r="U248" s="4">
        <f t="shared" si="34"/>
        <v>188.88177223111876</v>
      </c>
      <c r="V248" s="4">
        <f t="shared" si="35"/>
        <v>118.12270290262079</v>
      </c>
      <c r="W248" s="4">
        <f>Planet(Panchanga!$G248,4)</f>
        <v>92.377333013568517</v>
      </c>
      <c r="X248" s="4">
        <f>Planet(Panchanga!$G248,2)</f>
        <v>204.60991464287275</v>
      </c>
      <c r="Y248" s="4">
        <f>Planet(Panchanga!$G248,5)</f>
        <v>56.668072498422546</v>
      </c>
      <c r="Z248" s="4">
        <f>Planet(Panchanga!$G248,3)</f>
        <v>225.70913754355217</v>
      </c>
      <c r="AA248" s="4">
        <f>Planet(Panchanga!$G248,6)</f>
        <v>318.85512840803551</v>
      </c>
      <c r="AB248" s="4">
        <f>Planet(Panchanga!$G248,10)</f>
        <v>340.84022318966441</v>
      </c>
      <c r="AC248" s="4" t="str">
        <f>TEXT(Panchanga!$C248+($C249-Panchanga!$C248)/ABS(IF($R249&lt;1,$R249+30,$R249)-Panchanga!$R248)*(ROUNDUP(Panchanga!$R248,0)-Panchanga!$R248),"hh:mm AM/PM")</f>
        <v>05:24 AM</v>
      </c>
      <c r="AD248" s="4"/>
    </row>
    <row r="249" spans="1:30" x14ac:dyDescent="0.2">
      <c r="A249" s="3">
        <f t="shared" si="37"/>
        <v>45592</v>
      </c>
      <c r="B249" s="3">
        <f t="shared" si="32"/>
        <v>45592.229166666664</v>
      </c>
      <c r="C249" s="6">
        <f t="shared" si="33"/>
        <v>45592.252390016489</v>
      </c>
      <c r="D249" s="6">
        <f>sunset(Lat,Long,B249)+TimeZone/24-0.000277777777777778</f>
        <v>45591.738693506501</v>
      </c>
      <c r="E249" s="6">
        <f>PlanetRiseSet(Lat,Long,B249,1,1)+TimeZone/24+0.00103009259259259</f>
        <v>45592.080926105999</v>
      </c>
      <c r="F249" s="6">
        <f>PlanetRiseSet(Lat,Long,B249+1,1,2)+TimeZone/24+0.00103009259259259</f>
        <v>45592.61142266557</v>
      </c>
      <c r="G249" s="17">
        <f>Panchanga!$C249-TimeZone/24</f>
        <v>45592.023223349825</v>
      </c>
      <c r="H249" s="13" t="str">
        <f>INT(P[[#This Row],[Sun]]/30)&amp;"s"&amp;ROUNDUP(MOD(P[[#This Row],[Sun]],30),2)</f>
        <v>6s9.88</v>
      </c>
      <c r="I249" s="13" t="str">
        <f>INT(P[[#This Row],[Moon]]/30)&amp;"s"&amp;ROUNDUP(MOD(P[[#This Row],[Moon]],30),2)</f>
        <v>4s10.18</v>
      </c>
      <c r="J249" s="14">
        <f t="shared" si="36"/>
        <v>45592.023223349825</v>
      </c>
      <c r="K249" s="10" t="str">
        <f>naks(P[[#This Row],[Moon]])</f>
        <v>Makha</v>
      </c>
      <c r="L249" s="15">
        <f>(C250-P[[#This Row],[SunRise]])/(MOD(360+V250-P[[#This Row],[Moon]],360))*(13.3333333333333-MOD(P[[#This Row],[Moon]],13.333333333333))+P[[#This Row],[SunRise]]</f>
        <v>45592.517877134102</v>
      </c>
      <c r="M249" s="4" t="str">
        <f>IF(Panchanga!$R249&gt;15,"K","S")&amp;ROUNDUP(MOD(Panchanga!$R249,15),0)&amp;" ("&amp;ROUND(Panchanga!$R249,2)&amp;")"</f>
        <v>K11 (25.02)</v>
      </c>
      <c r="N249" s="4">
        <f>IF(AND(Panchanga!$R249&lt;28.5,Panchanga!$R249&gt;0.49999),MOD((Panchanga!$R249-0.5)*2,7),MOD((Panchanga!$R249+30-28.5),30)*2+7)</f>
        <v>4.959999999999809E-2</v>
      </c>
      <c r="O249" s="4" t="str">
        <f>CHOOSE(ROUNDUP(Panchanga!$N249,0),"Bhava","Baalava","Kaulava","Taitula","Garija","Vanija","Vishti","Shakuni","Chatushapda","Naaga","Kimstugna")</f>
        <v>Bhava</v>
      </c>
      <c r="P249" s="11" t="str">
        <f>CHOOSE(ROUNDUP(Panchanga!$S249,0),"viṣkambha","prīti","āyuṣmāna","saubhāgya","śobhana","atigaṇḍa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("&amp;Panchanga!$S249&amp;")"</f>
        <v>brahma (24.01)</v>
      </c>
      <c r="Q249" s="4">
        <f>IF(AND(Panchanga!$R249&lt;28.5,Panchanga!$R249&gt;0.49999),MOD((Panchanga!$R249-0.5)*2,7),MOD((Panchanga!$R249+30-28.5),30)*2+7)</f>
        <v>4.959999999999809E-2</v>
      </c>
      <c r="R249" s="4">
        <f>ROUNDUP(MOD(360+P[[#This Row],[Moon]]-P[[#This Row],[Sun]],360)/12,4)</f>
        <v>25.024799999999999</v>
      </c>
      <c r="S249" s="4">
        <f>ROUNDUP(MOD(P[[#This Row],[Sun]]+P[[#This Row],[Moon]],360)/13.333333333,2)</f>
        <v>24.01</v>
      </c>
      <c r="T249" s="4" t="str">
        <f>SIGN(W250-Panchanga!$W249)*INT(Panchanga!$W249/30+1)&amp;"Ma,"&amp;SIGN(X250-Panchanga!$X249)*INT(Panchanga!$X249/30+1)&amp;"Me,"&amp;SIGN(Y250-Panchanga!$Y249)*INT(Panchanga!$Y249/30+1)&amp;"J, "&amp;SIGN(Z250-Panchanga!$Z249)*INT(Panchanga!$Z249/30+1)&amp;"V,"&amp;SIGN(AA250-Panchanga!$AA249)*INT(Panchanga!$AA249/30+1)&amp;"S,"&amp;INT(Panchanga!$AB249/30+1)&amp;"R"</f>
        <v>4Ma,7Me,-2J, 8V,-11S,12R</v>
      </c>
      <c r="U249" s="4">
        <f t="shared" si="34"/>
        <v>189.879514627785</v>
      </c>
      <c r="V249" s="4">
        <f t="shared" si="35"/>
        <v>130.17679091012354</v>
      </c>
      <c r="W249" s="4">
        <f>Planet(Panchanga!$G249,4)</f>
        <v>92.778142947485719</v>
      </c>
      <c r="X249" s="4">
        <f>Planet(Panchanga!$G249,2)</f>
        <v>206.08418972942479</v>
      </c>
      <c r="Y249" s="4">
        <f>Planet(Panchanga!$G249,5)</f>
        <v>56.610998080653651</v>
      </c>
      <c r="Z249" s="4">
        <f>Planet(Panchanga!$G249,3)</f>
        <v>226.91404641043147</v>
      </c>
      <c r="AA249" s="4">
        <f>Planet(Panchanga!$G249,6)</f>
        <v>318.82103114205148</v>
      </c>
      <c r="AB249" s="4">
        <f>Planet(Panchanga!$G249,10)</f>
        <v>340.78722229437847</v>
      </c>
      <c r="AC249" s="4" t="str">
        <f>TEXT(Panchanga!$C249+($C250-Panchanga!$C249)/ABS(IF($R250&lt;1,$R250+30,$R250)-Panchanga!$R249)*(ROUNDUP(Panchanga!$R249,0)-Panchanga!$R249),"hh:mm AM/PM")</f>
        <v>07:50 AM</v>
      </c>
      <c r="AD249" s="4"/>
    </row>
    <row r="250" spans="1:30" x14ac:dyDescent="0.2">
      <c r="A250" s="3">
        <f t="shared" si="37"/>
        <v>45593</v>
      </c>
      <c r="B250" s="3">
        <f t="shared" si="32"/>
        <v>45593.229166666664</v>
      </c>
      <c r="C250" s="6">
        <f t="shared" si="33"/>
        <v>45593.252565210372</v>
      </c>
      <c r="D250" s="6">
        <f>sunset(Lat,Long,B250)+TimeZone/24-0.000277777777777778</f>
        <v>45592.738398420202</v>
      </c>
      <c r="E250" s="6">
        <f>PlanetRiseSet(Lat,Long,B250,1,1)+TimeZone/24+0.00103009259259259</f>
        <v>45593.113039119788</v>
      </c>
      <c r="F250" s="6">
        <f>PlanetRiseSet(Lat,Long,B250+1,1,2)+TimeZone/24+0.00103009259259259</f>
        <v>45593.635032161292</v>
      </c>
      <c r="G250" s="17">
        <f>Panchanga!$C250-TimeZone/24</f>
        <v>45593.023398543708</v>
      </c>
      <c r="H250" s="13" t="str">
        <f>INT(P[[#This Row],[Sun]]/30)&amp;"s"&amp;ROUNDUP(MOD(P[[#This Row],[Sun]],30),2)</f>
        <v>6s10.88</v>
      </c>
      <c r="I250" s="13" t="str">
        <f>INT(P[[#This Row],[Moon]]/30)&amp;"s"&amp;ROUNDUP(MOD(P[[#This Row],[Moon]],30),2)</f>
        <v>4s22.07</v>
      </c>
      <c r="J250" s="14">
        <f t="shared" si="36"/>
        <v>45593.023398543708</v>
      </c>
      <c r="K250" s="10" t="str">
        <f>naks(P[[#This Row],[Moon]])</f>
        <v>Purva Phalguni</v>
      </c>
      <c r="L250" s="15">
        <f>(C251-P[[#This Row],[SunRise]])/(MOD(360+V251-P[[#This Row],[Moon]],360))*(13.3333333333333-MOD(P[[#This Row],[Moon]],13.333333333333))+P[[#This Row],[SunRise]]</f>
        <v>45593.64227486364</v>
      </c>
      <c r="M250" s="4" t="str">
        <f>IF(Panchanga!$R250&gt;15,"K","S")&amp;ROUNDUP(MOD(Panchanga!$R250,15),0)&amp;" ("&amp;ROUND(Panchanga!$R250,2)&amp;")"</f>
        <v>K11 (25.93)</v>
      </c>
      <c r="N250" s="4">
        <f>IF(AND(Panchanga!$R250&lt;28.5,Panchanga!$R250&gt;0.49999),MOD((Panchanga!$R250-0.5)*2,7),MOD((Panchanga!$R250+30-28.5),30)*2+7)</f>
        <v>1.8652000000000015</v>
      </c>
      <c r="O250" s="4" t="str">
        <f>CHOOSE(ROUNDUP(Panchanga!$N250,0),"Bhava","Baalava","Kaulava","Taitula","Garija","Vanija","Vishti","Shakuni","Chatushapda","Naaga","Kimstugna")</f>
        <v>Baalava</v>
      </c>
      <c r="P250" s="11" t="str">
        <f>CHOOSE(ROUNDUP(Panchanga!$S250,0),"viṣkambha","prīti","āyuṣmāna","saubhāgya","śobhana","atigaṇḍa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("&amp;Panchanga!$S250&amp;")"</f>
        <v>brahma (24.98)</v>
      </c>
      <c r="Q250" s="4">
        <f>IF(AND(Panchanga!$R250&lt;28.5,Panchanga!$R250&gt;0.49999),MOD((Panchanga!$R250-0.5)*2,7),MOD((Panchanga!$R250+30-28.5),30)*2+7)</f>
        <v>1.8652000000000015</v>
      </c>
      <c r="R250" s="4">
        <f>ROUNDUP(MOD(360+P[[#This Row],[Moon]]-P[[#This Row],[Sun]],360)/12,4)</f>
        <v>25.932600000000001</v>
      </c>
      <c r="S250" s="4">
        <f>ROUNDUP(MOD(P[[#This Row],[Sun]]+P[[#This Row],[Moon]],360)/13.333333333,2)</f>
        <v>24.98</v>
      </c>
      <c r="T250" s="4" t="str">
        <f>SIGN(W251-Panchanga!$W250)*INT(Panchanga!$W250/30+1)&amp;"Ma,"&amp;SIGN(X251-Panchanga!$X250)*INT(Panchanga!$X250/30+1)&amp;"Me,"&amp;SIGN(Y251-Panchanga!$Y250)*INT(Panchanga!$Y250/30+1)&amp;"J, "&amp;SIGN(Z251-Panchanga!$Z250)*INT(Panchanga!$Z250/30+1)&amp;"V,"&amp;SIGN(AA251-Panchanga!$AA250)*INT(Panchanga!$AA250/30+1)&amp;"S,"&amp;INT(Panchanga!$AB250/30+1)&amp;"R"</f>
        <v>4Ma,7Me,-2J, 8V,-11S,12R</v>
      </c>
      <c r="U250" s="4">
        <f t="shared" si="34"/>
        <v>190.8778690032691</v>
      </c>
      <c r="V250" s="4">
        <f t="shared" si="35"/>
        <v>142.06849947406297</v>
      </c>
      <c r="W250" s="4">
        <f>Planet(Panchanga!$G250,4)</f>
        <v>93.172656589527932</v>
      </c>
      <c r="X250" s="4">
        <f>Planet(Panchanga!$G250,2)</f>
        <v>207.54842599380021</v>
      </c>
      <c r="Y250" s="4">
        <f>Planet(Panchanga!$G250,5)</f>
        <v>56.550737654864136</v>
      </c>
      <c r="Z250" s="4">
        <f>Planet(Panchanga!$G250,3)</f>
        <v>228.11843088644147</v>
      </c>
      <c r="AA250" s="4">
        <f>Planet(Panchanga!$G250,6)</f>
        <v>318.7885104290466</v>
      </c>
      <c r="AB250" s="4">
        <f>Planet(Panchanga!$G250,10)</f>
        <v>340.73422102359655</v>
      </c>
      <c r="AC250" s="4" t="str">
        <f>TEXT(Panchanga!$C250+($C251-Panchanga!$C250)/ABS(IF($R251&lt;1,$R251+30,$R251)-Panchanga!$R250)*(ROUNDUP(Panchanga!$R250,0)-Panchanga!$R250),"hh:mm AM/PM")</f>
        <v>07:51 AM</v>
      </c>
      <c r="AD250" s="4"/>
    </row>
    <row r="251" spans="1:30" x14ac:dyDescent="0.2">
      <c r="A251" s="3">
        <f t="shared" si="37"/>
        <v>45594</v>
      </c>
      <c r="B251" s="3">
        <f t="shared" si="32"/>
        <v>45594.229166666664</v>
      </c>
      <c r="C251" s="6">
        <f t="shared" si="33"/>
        <v>45594.25274753027</v>
      </c>
      <c r="D251" s="6">
        <f>sunset(Lat,Long,B251)+TimeZone/24-0.000277777777777778</f>
        <v>45593.738113983578</v>
      </c>
      <c r="E251" s="6">
        <f>PlanetRiseSet(Lat,Long,B251,1,1)+TimeZone/24+0.00103009259259259</f>
        <v>45594.144125385828</v>
      </c>
      <c r="F251" s="6">
        <f>PlanetRiseSet(Lat,Long,B251+1,1,2)+TimeZone/24+0.00103009259259259</f>
        <v>45594.657931063943</v>
      </c>
      <c r="G251" s="17">
        <f>Panchanga!$C251-TimeZone/24</f>
        <v>45594.023580863606</v>
      </c>
      <c r="H251" s="13" t="str">
        <f>INT(P[[#This Row],[Sun]]/30)&amp;"s"&amp;ROUNDUP(MOD(P[[#This Row],[Sun]],30),2)</f>
        <v>6s11.88</v>
      </c>
      <c r="I251" s="13" t="str">
        <f>INT(P[[#This Row],[Moon]]/30)&amp;"s"&amp;ROUNDUP(MOD(P[[#This Row],[Moon]],30),2)</f>
        <v>5s3.87</v>
      </c>
      <c r="J251" s="14">
        <f t="shared" si="36"/>
        <v>45594.023580863606</v>
      </c>
      <c r="K251" s="10" t="str">
        <f>naks(P[[#This Row],[Moon]])</f>
        <v>Uttara Phalguni</v>
      </c>
      <c r="L251" s="15">
        <f>(C252-P[[#This Row],[SunRise]])/(MOD(360+V252-P[[#This Row],[Moon]],360))*(13.3333333333333-MOD(P[[#This Row],[Moon]],13.333333333333))+P[[#This Row],[SunRise]]</f>
        <v>45594.773527214849</v>
      </c>
      <c r="M251" s="4" t="str">
        <f>IF(Panchanga!$R251&gt;15,"K","S")&amp;ROUNDUP(MOD(Panchanga!$R251,15),0)&amp;" ("&amp;ROUND(Panchanga!$R251,2)&amp;")"</f>
        <v>K12 (26.83)</v>
      </c>
      <c r="N251" s="4">
        <f>IF(AND(Panchanga!$R251&lt;28.5,Panchanga!$R251&gt;0.49999),MOD((Panchanga!$R251-0.5)*2,7),MOD((Panchanga!$R251+30-28.5),30)*2+7)</f>
        <v>3.6655999999999977</v>
      </c>
      <c r="O251" s="4" t="str">
        <f>CHOOSE(ROUNDUP(Panchanga!$N251,0),"Bhava","Baalava","Kaulava","Taitula","Garija","Vanija","Vishti","Shakuni","Chatushapda","Naaga","Kimstugna")</f>
        <v>Taitula</v>
      </c>
      <c r="P251" s="11" t="str">
        <f>CHOOSE(ROUNDUP(Panchanga!$S251,0),"viṣkambha","prīti","āyuṣmāna","saubhāgya","śobhana","atigaṇḍa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("&amp;Panchanga!$S251&amp;")"</f>
        <v>mahendra (25.94)</v>
      </c>
      <c r="Q251" s="4">
        <f>IF(AND(Panchanga!$R251&lt;28.5,Panchanga!$R251&gt;0.49999),MOD((Panchanga!$R251-0.5)*2,7),MOD((Panchanga!$R251+30-28.5),30)*2+7)</f>
        <v>3.6655999999999977</v>
      </c>
      <c r="R251" s="4">
        <f>ROUNDUP(MOD(360+P[[#This Row],[Moon]]-P[[#This Row],[Sun]],360)/12,4)</f>
        <v>26.832799999999999</v>
      </c>
      <c r="S251" s="4">
        <f>ROUNDUP(MOD(P[[#This Row],[Sun]]+P[[#This Row],[Moon]],360)/13.333333333,2)</f>
        <v>25.94</v>
      </c>
      <c r="T251" s="4" t="str">
        <f>SIGN(W252-Panchanga!$W251)*INT(Panchanga!$W251/30+1)&amp;"Ma,"&amp;SIGN(X252-Panchanga!$X251)*INT(Panchanga!$X251/30+1)&amp;"Me,"&amp;SIGN(Y252-Panchanga!$Y251)*INT(Panchanga!$Y251/30+1)&amp;"J, "&amp;SIGN(Z252-Panchanga!$Z251)*INT(Panchanga!$Z251/30+1)&amp;"V,"&amp;SIGN(AA252-Panchanga!$AA251)*INT(Panchanga!$AA251/30+1)&amp;"S,"&amp;INT(Panchanga!$AB251/30+1)&amp;"R"</f>
        <v>4Ma,7Me,-2J, 8V,-11S,12R</v>
      </c>
      <c r="U251" s="4">
        <f t="shared" si="34"/>
        <v>191.87682326687286</v>
      </c>
      <c r="V251" s="4">
        <f t="shared" si="35"/>
        <v>153.86960702027721</v>
      </c>
      <c r="W251" s="4">
        <f>Planet(Panchanga!$G251,4)</f>
        <v>93.560731320545912</v>
      </c>
      <c r="X251" s="4">
        <f>Planet(Panchanga!$G251,2)</f>
        <v>209.00238925420896</v>
      </c>
      <c r="Y251" s="4">
        <f>Planet(Panchanga!$G251,5)</f>
        <v>56.487321119826177</v>
      </c>
      <c r="Z251" s="4">
        <f>Planet(Panchanga!$G251,3)</f>
        <v>229.32227524717888</v>
      </c>
      <c r="AA251" s="4">
        <f>Planet(Panchanga!$G251,6)</f>
        <v>318.75758490679181</v>
      </c>
      <c r="AB251" s="4">
        <f>Planet(Panchanga!$G251,10)</f>
        <v>340.68121937521448</v>
      </c>
      <c r="AC251" s="4" t="str">
        <f>TEXT(Panchanga!$C251+($C252-Panchanga!$C251)/ABS(IF($R252&lt;1,$R252+30,$R252)-Panchanga!$R251)*(ROUNDUP(Panchanga!$R251,0)-Panchanga!$R251),"hh:mm AM/PM")</f>
        <v>10:32 AM</v>
      </c>
      <c r="AD251" s="4"/>
    </row>
    <row r="252" spans="1:30" x14ac:dyDescent="0.2">
      <c r="A252" s="3">
        <f t="shared" si="37"/>
        <v>45595</v>
      </c>
      <c r="B252" s="3">
        <f t="shared" si="32"/>
        <v>45595.229166666664</v>
      </c>
      <c r="C252" s="6">
        <f t="shared" si="33"/>
        <v>45595.252937003657</v>
      </c>
      <c r="D252" s="6">
        <f>sunset(Lat,Long,B252)+TimeZone/24-0.000277777777777778</f>
        <v>45594.737840390342</v>
      </c>
      <c r="E252" s="6">
        <f>PlanetRiseSet(Lat,Long,B252,1,1)+TimeZone/24+0.00103009259259259</f>
        <v>45595.174929537498</v>
      </c>
      <c r="F252" s="6">
        <f>PlanetRiseSet(Lat,Long,B252+1,1,2)+TimeZone/24+0.00103009259259259</f>
        <v>45595.680916518126</v>
      </c>
      <c r="G252" s="17">
        <f>Panchanga!$C252-TimeZone/24</f>
        <v>45595.023770336993</v>
      </c>
      <c r="H252" s="13" t="str">
        <f>INT(P[[#This Row],[Sun]]/30)&amp;"s"&amp;ROUNDUP(MOD(P[[#This Row],[Sun]],30),2)</f>
        <v>6s12.88</v>
      </c>
      <c r="I252" s="13" t="str">
        <f>INT(P[[#This Row],[Moon]]/30)&amp;"s"&amp;ROUNDUP(MOD(P[[#This Row],[Moon]],30),2)</f>
        <v>5s15.65</v>
      </c>
      <c r="J252" s="14">
        <f t="shared" si="36"/>
        <v>45595.023770336993</v>
      </c>
      <c r="K252" s="10" t="str">
        <f>naks(P[[#This Row],[Moon]])</f>
        <v>Hasta</v>
      </c>
      <c r="L252" s="15">
        <f>(C253-P[[#This Row],[SunRise]])/(MOD(360+V253-P[[#This Row],[Moon]],360))*(13.3333333333333-MOD(P[[#This Row],[Moon]],13.333333333333))+P[[#This Row],[SunRise]]</f>
        <v>45595.904757316639</v>
      </c>
      <c r="M252" s="4" t="str">
        <f>IF(Panchanga!$R252&gt;15,"K","S")&amp;ROUNDUP(MOD(Panchanga!$R252,15),0)&amp;" ("&amp;ROUND(Panchanga!$R252,2)&amp;")"</f>
        <v>K13 (27.73)</v>
      </c>
      <c r="N252" s="4">
        <f>IF(AND(Panchanga!$R252&lt;28.5,Panchanga!$R252&gt;0.49999),MOD((Panchanga!$R252-0.5)*2,7),MOD((Panchanga!$R252+30-28.5),30)*2+7)</f>
        <v>5.4611999999999981</v>
      </c>
      <c r="O252" s="4" t="str">
        <f>CHOOSE(ROUNDUP(Panchanga!$N252,0),"Bhava","Baalava","Kaulava","Taitula","Garija","Vanija","Vishti","Shakuni","Chatushapda","Naaga","Kimstugna")</f>
        <v>Vanija</v>
      </c>
      <c r="P252" s="11" t="str">
        <f>CHOOSE(ROUNDUP(Panchanga!$S252,0),"viṣkambha","prīti","āyuṣmāna","saubhāgya","śobhana","atigaṇḍa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("&amp;Panchanga!$S252&amp;")"</f>
        <v>vaidhṛti (26.89)</v>
      </c>
      <c r="Q252" s="4">
        <f>IF(AND(Panchanga!$R252&lt;28.5,Panchanga!$R252&gt;0.49999),MOD((Panchanga!$R252-0.5)*2,7),MOD((Panchanga!$R252+30-28.5),30)*2+7)</f>
        <v>5.4611999999999981</v>
      </c>
      <c r="R252" s="4">
        <f>ROUNDUP(MOD(360+P[[#This Row],[Moon]]-P[[#This Row],[Sun]],360)/12,4)</f>
        <v>27.730599999999999</v>
      </c>
      <c r="S252" s="4">
        <f>ROUNDUP(MOD(P[[#This Row],[Sun]]+P[[#This Row],[Moon]],360)/13.333333333,2)</f>
        <v>26.89</v>
      </c>
      <c r="T252" s="4" t="str">
        <f>SIGN(W253-Panchanga!$W252)*INT(Panchanga!$W252/30+1)&amp;"Ma,"&amp;SIGN(X253-Panchanga!$X252)*INT(Panchanga!$X252/30+1)&amp;"Me,"&amp;SIGN(Y253-Panchanga!$Y252)*INT(Panchanga!$Y252/30+1)&amp;"J, "&amp;SIGN(Z253-Panchanga!$Z252)*INT(Panchanga!$Z252/30+1)&amp;"V,"&amp;SIGN(AA253-Panchanga!$AA252)*INT(Panchanga!$AA252/30+1)&amp;"S,"&amp;INT(Panchanga!$AB252/30+1)&amp;"R"</f>
        <v>4Ma,8Me,-2J, 8V,-11S,12R</v>
      </c>
      <c r="U252" s="4">
        <f t="shared" si="34"/>
        <v>192.87636373850344</v>
      </c>
      <c r="V252" s="4">
        <f t="shared" si="35"/>
        <v>165.64340447749467</v>
      </c>
      <c r="W252" s="4">
        <f>Planet(Panchanga!$G252,4)</f>
        <v>93.942223338918197</v>
      </c>
      <c r="X252" s="4">
        <f>Planet(Panchanga!$G252,2)</f>
        <v>210.44576352096908</v>
      </c>
      <c r="Y252" s="4">
        <f>Planet(Panchanga!$G252,5)</f>
        <v>56.420781554905012</v>
      </c>
      <c r="Z252" s="4">
        <f>Planet(Panchanga!$G252,3)</f>
        <v>230.52556142454389</v>
      </c>
      <c r="AA252" s="4">
        <f>Planet(Panchanga!$G252,6)</f>
        <v>318.72827234856419</v>
      </c>
      <c r="AB252" s="4">
        <f>Planet(Panchanga!$G252,10)</f>
        <v>340.62821734779067</v>
      </c>
      <c r="AC252" s="4" t="str">
        <f>TEXT(Panchanga!$C252+($C253-Panchanga!$C252)/ABS(IF($R253&lt;1,$R253+30,$R253)-Panchanga!$R252)*(ROUNDUP(Panchanga!$R252,0)-Panchanga!$R252),"hh:mm AM/PM")</f>
        <v>01:15 PM</v>
      </c>
      <c r="AD252" s="4"/>
    </row>
    <row r="253" spans="1:30" x14ac:dyDescent="0.2">
      <c r="A253" s="3">
        <f t="shared" si="37"/>
        <v>45596</v>
      </c>
      <c r="B253" s="3">
        <f t="shared" si="32"/>
        <v>45596.229166666664</v>
      </c>
      <c r="C253" s="6">
        <f t="shared" si="33"/>
        <v>45596.253133644968</v>
      </c>
      <c r="D253" s="6">
        <f>sunset(Lat,Long,B253)+TimeZone/24-0.000277777777777778</f>
        <v>45595.737577823966</v>
      </c>
      <c r="E253" s="6">
        <f>PlanetRiseSet(Lat,Long,B253,1,1)+TimeZone/24+0.00103009259259259</f>
        <v>45596.206172026381</v>
      </c>
      <c r="F253" s="6">
        <f>PlanetRiseSet(Lat,Long,B253+1,1,2)+TimeZone/24+0.00103009259259259</f>
        <v>45596.704759343214</v>
      </c>
      <c r="G253" s="17">
        <f>Panchanga!$C253-TimeZone/24</f>
        <v>45596.023966978304</v>
      </c>
      <c r="H253" s="13" t="str">
        <f>INT(P[[#This Row],[Sun]]/30)&amp;"s"&amp;ROUNDUP(MOD(P[[#This Row],[Sun]],30),2)</f>
        <v>6s13.88</v>
      </c>
      <c r="I253" s="13" t="str">
        <f>INT(P[[#This Row],[Moon]]/30)&amp;"s"&amp;ROUNDUP(MOD(P[[#This Row],[Moon]],30),2)</f>
        <v>5s27.45</v>
      </c>
      <c r="J253" s="14">
        <f t="shared" si="36"/>
        <v>45596.023966978304</v>
      </c>
      <c r="K253" s="10" t="str">
        <f>naks(P[[#This Row],[Moon]])</f>
        <v>Chitra</v>
      </c>
      <c r="L253" s="15">
        <f>(C254-P[[#This Row],[SunRise]])/(MOD(360+V254-P[[#This Row],[Moon]],360))*(13.3333333333333-MOD(P[[#This Row],[Moon]],13.333333333333))+P[[#This Row],[SunRise]]</f>
        <v>45597.030346435451</v>
      </c>
      <c r="M253" s="4" t="str">
        <f>IF(Panchanga!$R253&gt;15,"K","S")&amp;ROUNDUP(MOD(Panchanga!$R253,15),0)&amp;" ("&amp;ROUND(Panchanga!$R253,2)&amp;")"</f>
        <v>K14 (28.63)</v>
      </c>
      <c r="N253" s="4">
        <f>IF(AND(Panchanga!$R253&lt;28.5,Panchanga!$R253&gt;0.49999),MOD((Panchanga!$R253-0.5)*2,7),MOD((Panchanga!$R253+30-28.5),30)*2+7)</f>
        <v>7.2612000000000023</v>
      </c>
      <c r="O253" s="4" t="str">
        <f>CHOOSE(ROUNDUP(Panchanga!$N253,0),"Bhava","Baalava","Kaulava","Taitula","Garija","Vanija","Vishti","Shakuni","Chatushapda","Naaga","Kimstugna")</f>
        <v>Shakuni</v>
      </c>
      <c r="P253" s="11" t="str">
        <f>CHOOSE(ROUNDUP(Panchanga!$S253,0),"viṣkambha","prīti","āyuṣmāna","saubhāgya","śobhana","atigaṇḍa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("&amp;Panchanga!$S253&amp;")"</f>
        <v>viṣkambha (0.85)</v>
      </c>
      <c r="Q253" s="4">
        <f>IF(AND(Panchanga!$R253&lt;28.5,Panchanga!$R253&gt;0.49999),MOD((Panchanga!$R253-0.5)*2,7),MOD((Panchanga!$R253+30-28.5),30)*2+7)</f>
        <v>7.2612000000000023</v>
      </c>
      <c r="R253" s="4">
        <f>ROUNDUP(MOD(360+P[[#This Row],[Moon]]-P[[#This Row],[Sun]],360)/12,4)</f>
        <v>28.630600000000001</v>
      </c>
      <c r="S253" s="4">
        <f>ROUNDUP(MOD(P[[#This Row],[Sun]]+P[[#This Row],[Moon]],360)/13.333333333,2)</f>
        <v>0.85</v>
      </c>
      <c r="T253" s="4" t="str">
        <f>SIGN(W254-Panchanga!$W253)*INT(Panchanga!$W253/30+1)&amp;"Ma,"&amp;SIGN(X254-Panchanga!$X253)*INT(Panchanga!$X253/30+1)&amp;"Me,"&amp;SIGN(Y254-Panchanga!$Y253)*INT(Panchanga!$Y253/30+1)&amp;"J, "&amp;SIGN(Z254-Panchanga!$Z253)*INT(Panchanga!$Z253/30+1)&amp;"V,"&amp;SIGN(AA254-Panchanga!$AA253)*INT(Panchanga!$AA253/30+1)&amp;"S,"&amp;INT(Panchanga!$AB253/30+1)&amp;"R"</f>
        <v>4Ma,8Me,-2J, 8V,-11S,12R</v>
      </c>
      <c r="U253" s="4">
        <f t="shared" si="34"/>
        <v>193.87647535093654</v>
      </c>
      <c r="V253" s="4">
        <f t="shared" si="35"/>
        <v>177.44334513650091</v>
      </c>
      <c r="W253" s="4">
        <f>Planet(Panchanga!$G253,4)</f>
        <v>94.316987696227599</v>
      </c>
      <c r="X253" s="4">
        <f>Planet(Panchanga!$G253,2)</f>
        <v>211.87814100215806</v>
      </c>
      <c r="Y253" s="4">
        <f>Planet(Panchanga!$G253,5)</f>
        <v>56.351155213145965</v>
      </c>
      <c r="Z253" s="4">
        <f>Planet(Panchanga!$G253,3)</f>
        <v>231.72826908644029</v>
      </c>
      <c r="AA253" s="4">
        <f>Planet(Panchanga!$G253,6)</f>
        <v>318.70058963374612</v>
      </c>
      <c r="AB253" s="4">
        <f>Planet(Panchanga!$G253,10)</f>
        <v>340.57521494049672</v>
      </c>
      <c r="AC253" s="4" t="str">
        <f>TEXT(Panchanga!$C253+($C254-Panchanga!$C253)/ABS(IF($R254&lt;1,$R254+30,$R254)-Panchanga!$R253)*(ROUNDUP(Panchanga!$R253,0)-Panchanga!$R253),"hh:mm AM/PM")</f>
        <v>03:51 PM</v>
      </c>
      <c r="AD253" s="4"/>
    </row>
    <row r="254" spans="1:30" x14ac:dyDescent="0.2">
      <c r="A254" s="3">
        <f t="shared" si="37"/>
        <v>45597</v>
      </c>
      <c r="B254" s="3">
        <f t="shared" si="32"/>
        <v>45597.229166666664</v>
      </c>
      <c r="C254" s="6">
        <f t="shared" si="33"/>
        <v>45597.253337455135</v>
      </c>
      <c r="D254" s="6">
        <f>sunset(Lat,Long,B254)+TimeZone/24-0.000277777777777778</f>
        <v>45596.73732645814</v>
      </c>
      <c r="E254" s="6">
        <f>PlanetRiseSet(Lat,Long,B254,1,1)+TimeZone/24+0.00103009259259259</f>
        <v>45597.238507778537</v>
      </c>
      <c r="F254" s="6">
        <f>PlanetRiseSet(Lat,Long,B254+1,1,2)+TimeZone/24+0.00103009259259259</f>
        <v>45597.730219116587</v>
      </c>
      <c r="G254" s="17">
        <f>Panchanga!$C254-TimeZone/24</f>
        <v>45597.024170788471</v>
      </c>
      <c r="H254" s="13" t="str">
        <f>INT(P[[#This Row],[Sun]]/30)&amp;"s"&amp;ROUNDUP(MOD(P[[#This Row],[Sun]],30),2)</f>
        <v>6s14.88</v>
      </c>
      <c r="I254" s="13" t="str">
        <f>INT(P[[#This Row],[Moon]]/30)&amp;"s"&amp;ROUNDUP(MOD(P[[#This Row],[Moon]],30),2)</f>
        <v>6s9.32</v>
      </c>
      <c r="J254" s="14">
        <f t="shared" si="36"/>
        <v>45597.024170788471</v>
      </c>
      <c r="K254" s="10" t="str">
        <f>naks(P[[#This Row],[Moon]])</f>
        <v>Swati</v>
      </c>
      <c r="L254" s="15">
        <f>(C255-P[[#This Row],[SunRise]])/(MOD(360+V255-P[[#This Row],[Moon]],360))*(13.3333333333333-MOD(P[[#This Row],[Moon]],13.333333333333))+P[[#This Row],[SunRise]]</f>
        <v>45598.146062936787</v>
      </c>
      <c r="M254" s="4" t="str">
        <f>IF(Panchanga!$R254&gt;15,"K","S")&amp;ROUNDUP(MOD(Panchanga!$R254,15),0)&amp;" ("&amp;ROUND(Panchanga!$R254,2)&amp;")"</f>
        <v>K15 (29.54)</v>
      </c>
      <c r="N254" s="4">
        <f>IF(AND(Panchanga!$R254&lt;28.5,Panchanga!$R254&gt;0.49999),MOD((Panchanga!$R254-0.5)*2,7),MOD((Panchanga!$R254+30-28.5),30)*2+7)</f>
        <v>9.0728000000000009</v>
      </c>
      <c r="O254" s="4" t="str">
        <f>CHOOSE(ROUNDUP(Panchanga!$N254,0),"Bhava","Baalava","Kaulava","Taitula","Garija","Vanija","Vishti","Shakuni","Chatushapda","Naaga","Kimstugna")</f>
        <v>Naaga</v>
      </c>
      <c r="P254" s="11" t="str">
        <f>CHOOSE(ROUNDUP(Panchanga!$S254,0),"viṣkambha","prīti","āyuṣmāna","saubhāgya","śobhana","atigaṇḍa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("&amp;Panchanga!$S254&amp;")"</f>
        <v>prīti (1.82)</v>
      </c>
      <c r="Q254" s="4">
        <f>IF(AND(Panchanga!$R254&lt;28.5,Panchanga!$R254&gt;0.49999),MOD((Panchanga!$R254-0.5)*2,7),MOD((Panchanga!$R254+30-28.5),30)*2+7)</f>
        <v>9.0728000000000009</v>
      </c>
      <c r="R254" s="4">
        <f>ROUNDUP(MOD(360+P[[#This Row],[Moon]]-P[[#This Row],[Sun]],360)/12,4)</f>
        <v>29.5364</v>
      </c>
      <c r="S254" s="4">
        <f>ROUNDUP(MOD(P[[#This Row],[Sun]]+P[[#This Row],[Moon]],360)/13.333333333,2)</f>
        <v>1.82</v>
      </c>
      <c r="T254" s="4" t="str">
        <f>SIGN(W255-Panchanga!$W254)*INT(Panchanga!$W254/30+1)&amp;"Ma,"&amp;SIGN(X255-Panchanga!$X254)*INT(Panchanga!$X254/30+1)&amp;"Me,"&amp;SIGN(Y255-Panchanga!$Y254)*INT(Panchanga!$Y254/30+1)&amp;"J, "&amp;SIGN(Z255-Panchanga!$Z254)*INT(Panchanga!$Z254/30+1)&amp;"V,"&amp;SIGN(AA255-Panchanga!$AA254)*INT(Panchanga!$AA254/30+1)&amp;"S,"&amp;INT(Panchanga!$AB254/30+1)&amp;"R"</f>
        <v>4Ma,8Me,-2J, 8V,-11S,12R</v>
      </c>
      <c r="U254" s="4">
        <f t="shared" si="34"/>
        <v>194.87714178739088</v>
      </c>
      <c r="V254" s="4">
        <f t="shared" si="35"/>
        <v>189.31294050315779</v>
      </c>
      <c r="W254" s="4">
        <f>Planet(Panchanga!$G254,4)</f>
        <v>94.684878433232015</v>
      </c>
      <c r="X254" s="4">
        <f>Planet(Panchanga!$G254,2)</f>
        <v>213.29901052035663</v>
      </c>
      <c r="Y254" s="4">
        <f>Planet(Panchanga!$G254,5)</f>
        <v>56.278481531296997</v>
      </c>
      <c r="Z254" s="4">
        <f>Planet(Panchanga!$G254,3)</f>
        <v>232.93037562487314</v>
      </c>
      <c r="AA254" s="4">
        <f>Planet(Panchanga!$G254,6)</f>
        <v>318.67455271049158</v>
      </c>
      <c r="AB254" s="4">
        <f>Planet(Panchanga!$G254,10)</f>
        <v>340.52221215329951</v>
      </c>
      <c r="AC254" s="4" t="str">
        <f>TEXT(Panchanga!$C254+($C255-Panchanga!$C254)/ABS(IF($R255&lt;1,$R255+30,$R255)-Panchanga!$R254)*(ROUNDUP(Panchanga!$R254,0)-Panchanga!$R254),"hh:mm AM/PM")</f>
        <v>06:15 PM</v>
      </c>
      <c r="AD254" s="4"/>
    </row>
    <row r="255" spans="1:30" x14ac:dyDescent="0.2">
      <c r="A255" s="3">
        <f t="shared" si="37"/>
        <v>45598</v>
      </c>
      <c r="B255" s="3">
        <f t="shared" si="32"/>
        <v>45598.229166666664</v>
      </c>
      <c r="C255" s="6">
        <f t="shared" si="33"/>
        <v>45598.253548422515</v>
      </c>
      <c r="D255" s="6">
        <f>sunset(Lat,Long,B255)+TimeZone/24-0.000277777777777778</f>
        <v>45597.737086457244</v>
      </c>
      <c r="E255" s="6">
        <f>PlanetRiseSet(Lat,Long,B255,1,1)+TimeZone/24+0.00103009259259259</f>
        <v>45598.272459020525</v>
      </c>
      <c r="F255" s="6">
        <f>PlanetRiseSet(Lat,Long,B255+1,1,2)+TimeZone/24+0.00103009259259259</f>
        <v>45598.758022875212</v>
      </c>
      <c r="G255" s="17">
        <f>Panchanga!$C255-TimeZone/24</f>
        <v>45598.024381755851</v>
      </c>
      <c r="H255" s="13" t="str">
        <f>INT(P[[#This Row],[Sun]]/30)&amp;"s"&amp;ROUNDUP(MOD(P[[#This Row],[Sun]],30),2)</f>
        <v>6s15.88</v>
      </c>
      <c r="I255" s="13" t="str">
        <f>INT(P[[#This Row],[Moon]]/30)&amp;"s"&amp;ROUNDUP(MOD(P[[#This Row],[Moon]],30),2)</f>
        <v>6s21.29</v>
      </c>
      <c r="J255" s="14">
        <f t="shared" si="36"/>
        <v>45598.024381755851</v>
      </c>
      <c r="K255" s="10" t="str">
        <f>naks(P[[#This Row],[Moon]])</f>
        <v>Visakha</v>
      </c>
      <c r="L255" s="15">
        <f>(C256-P[[#This Row],[SunRise]])/(MOD(360+V256-P[[#This Row],[Moon]],360))*(13.3333333333333-MOD(P[[#This Row],[Moon]],13.333333333333))+P[[#This Row],[SunRise]]</f>
        <v>45599.248896110039</v>
      </c>
      <c r="M255" s="4" t="str">
        <f>IF(Panchanga!$R255&gt;15,"K","S")&amp;ROUNDUP(MOD(Panchanga!$R255,15),0)&amp;" ("&amp;ROUND(Panchanga!$R255,2)&amp;")"</f>
        <v>S1 (0.45)</v>
      </c>
      <c r="N255" s="4">
        <f>IF(AND(Panchanga!$R255&lt;28.5,Panchanga!$R255&gt;0.49999),MOD((Panchanga!$R255-0.5)*2,7),MOD((Panchanga!$R255+30-28.5),30)*2+7)</f>
        <v>10.901400000000002</v>
      </c>
      <c r="O255" s="4" t="str">
        <f>CHOOSE(ROUNDUP(Panchanga!$N255,0),"Bhava","Baalava","Kaulava","Taitula","Garija","Vanija","Vishti","Shakuni","Chatushapda","Naaga","Kimstugna")</f>
        <v>Kimstugna</v>
      </c>
      <c r="P255" s="11" t="str">
        <f>CHOOSE(ROUNDUP(Panchanga!$S255,0),"viṣkambha","prīti","āyuṣmāna","saubhāgya","śobhana","atigaṇḍa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("&amp;Panchanga!$S255&amp;")"</f>
        <v>āyuṣmāna (2.79)</v>
      </c>
      <c r="Q255" s="4">
        <f>IF(AND(Panchanga!$R255&lt;28.5,Panchanga!$R255&gt;0.49999),MOD((Panchanga!$R255-0.5)*2,7),MOD((Panchanga!$R255+30-28.5),30)*2+7)</f>
        <v>10.901400000000002</v>
      </c>
      <c r="R255" s="4">
        <f>ROUNDUP(MOD(360+P[[#This Row],[Moon]]-P[[#This Row],[Sun]],360)/12,4)</f>
        <v>0.45069999999999999</v>
      </c>
      <c r="S255" s="4">
        <f>ROUNDUP(MOD(P[[#This Row],[Sun]]+P[[#This Row],[Moon]],360)/13.333333333,2)</f>
        <v>2.7899999999999996</v>
      </c>
      <c r="T255" s="4" t="str">
        <f>SIGN(W256-Panchanga!$W255)*INT(Panchanga!$W255/30+1)&amp;"Ma,"&amp;SIGN(X256-Panchanga!$X255)*INT(Panchanga!$X255/30+1)&amp;"Me,"&amp;SIGN(Y256-Panchanga!$Y255)*INT(Panchanga!$Y255/30+1)&amp;"J, "&amp;SIGN(Z256-Panchanga!$Z255)*INT(Panchanga!$Z255/30+1)&amp;"V,"&amp;SIGN(AA256-Panchanga!$AA255)*INT(Panchanga!$AA255/30+1)&amp;"S,"&amp;INT(Panchanga!$AB255/30+1)&amp;"R"</f>
        <v>4Ma,8Me,-2J, 8V,-11S,12R</v>
      </c>
      <c r="U255" s="4">
        <f t="shared" si="34"/>
        <v>195.87834563245147</v>
      </c>
      <c r="V255" s="4">
        <f t="shared" si="35"/>
        <v>201.28673797781298</v>
      </c>
      <c r="W255" s="4">
        <f>Planet(Panchanga!$G255,4)</f>
        <v>95.045748843689111</v>
      </c>
      <c r="X255" s="4">
        <f>Planet(Panchanga!$G255,2)</f>
        <v>214.70774415467184</v>
      </c>
      <c r="Y255" s="4">
        <f>Planet(Panchanga!$G255,5)</f>
        <v>56.202803147171849</v>
      </c>
      <c r="Z255" s="4">
        <f>Planet(Panchanga!$G255,3)</f>
        <v>234.13185607995064</v>
      </c>
      <c r="AA255" s="4">
        <f>Planet(Panchanga!$G255,6)</f>
        <v>318.65017655284578</v>
      </c>
      <c r="AB255" s="4">
        <f>Planet(Panchanga!$G255,10)</f>
        <v>340.4692089868451</v>
      </c>
      <c r="AC255" s="4" t="str">
        <f>TEXT(Panchanga!$C255+($C256-Panchanga!$C255)/ABS(IF($R256&lt;1,$R256+30,$R256)-Panchanga!$R255)*(ROUNDUP(Panchanga!$R255,0)-Panchanga!$R255),"hh:mm AM/PM")</f>
        <v>08:20 PM</v>
      </c>
      <c r="AD255" s="4"/>
    </row>
    <row r="256" spans="1:30" x14ac:dyDescent="0.2">
      <c r="A256" s="3">
        <f t="shared" si="37"/>
        <v>45599</v>
      </c>
      <c r="B256" s="3">
        <f t="shared" si="32"/>
        <v>45599.229166666664</v>
      </c>
      <c r="C256" s="6">
        <f t="shared" si="33"/>
        <v>45599.253766521499</v>
      </c>
      <c r="D256" s="6">
        <f>sunset(Lat,Long,B256)+TimeZone/24-0.000277777777777778</f>
        <v>45598.736857975411</v>
      </c>
      <c r="E256" s="6">
        <f>PlanetRiseSet(Lat,Long,B256,1,1)+TimeZone/24+0.00103009259259259</f>
        <v>45599.308297602147</v>
      </c>
      <c r="F256" s="6">
        <f>PlanetRiseSet(Lat,Long,B256+1,1,2)+TimeZone/24+0.00103009259259259</f>
        <v>45599.788777684946</v>
      </c>
      <c r="G256" s="17">
        <f>Panchanga!$C256-TimeZone/24</f>
        <v>45599.024599854834</v>
      </c>
      <c r="H256" s="13" t="str">
        <f>INT(P[[#This Row],[Sun]]/30)&amp;"s"&amp;ROUNDUP(MOD(P[[#This Row],[Sun]],30),2)</f>
        <v>6s16.89</v>
      </c>
      <c r="I256" s="13" t="str">
        <f>INT(P[[#This Row],[Moon]]/30)&amp;"s"&amp;ROUNDUP(MOD(P[[#This Row],[Moon]],30),2)</f>
        <v>7s3.4</v>
      </c>
      <c r="J256" s="14">
        <f t="shared" si="36"/>
        <v>45599.024599854834</v>
      </c>
      <c r="K256" s="10" t="str">
        <f>naks(P[[#This Row],[Moon]])</f>
        <v>Anuradha</v>
      </c>
      <c r="L256" s="15">
        <f>(C257-P[[#This Row],[SunRise]])/(MOD(360+V257-P[[#This Row],[Moon]],360))*(13.3333333333333-MOD(P[[#This Row],[Moon]],13.333333333333))+P[[#This Row],[SunRise]]</f>
        <v>45600.336705346752</v>
      </c>
      <c r="M256" s="4" t="str">
        <f>IF(Panchanga!$R256&gt;15,"K","S")&amp;ROUNDUP(MOD(Panchanga!$R256,15),0)&amp;" ("&amp;ROUND(Panchanga!$R256,2)&amp;")"</f>
        <v>S2 (1.38)</v>
      </c>
      <c r="N256" s="4">
        <f>IF(AND(Panchanga!$R256&lt;28.5,Panchanga!$R256&gt;0.49999),MOD((Panchanga!$R256-0.5)*2,7),MOD((Panchanga!$R256+30-28.5),30)*2+7)</f>
        <v>1.7521999999999998</v>
      </c>
      <c r="O256" s="4" t="str">
        <f>CHOOSE(ROUNDUP(Panchanga!$N256,0),"Bhava","Baalava","Kaulava","Taitula","Garija","Vanija","Vishti","Shakuni","Chatushapda","Naaga","Kimstugna")</f>
        <v>Baalava</v>
      </c>
      <c r="P256" s="11" t="str">
        <f>CHOOSE(ROUNDUP(Panchanga!$S256,0),"viṣkambha","prīti","āyuṣmāna","saubhāgya","śobhana","atigaṇḍa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("&amp;Panchanga!$S256&amp;")"</f>
        <v>saubhāgya (3.78)</v>
      </c>
      <c r="Q256" s="4">
        <f>IF(AND(Panchanga!$R256&lt;28.5,Panchanga!$R256&gt;0.49999),MOD((Panchanga!$R256-0.5)*2,7),MOD((Panchanga!$R256+30-28.5),30)*2+7)</f>
        <v>1.7521999999999998</v>
      </c>
      <c r="R256" s="4">
        <f>ROUNDUP(MOD(360+P[[#This Row],[Moon]]-P[[#This Row],[Sun]],360)/12,4)</f>
        <v>1.3760999999999999</v>
      </c>
      <c r="S256" s="4">
        <f>ROUNDUP(MOD(P[[#This Row],[Sun]]+P[[#This Row],[Moon]],360)/13.333333333,2)</f>
        <v>3.78</v>
      </c>
      <c r="T256" s="4" t="str">
        <f>SIGN(W257-Panchanga!$W256)*INT(Panchanga!$W256/30+1)&amp;"Ma,"&amp;SIGN(X257-Panchanga!$X256)*INT(Panchanga!$X256/30+1)&amp;"Me,"&amp;SIGN(Y257-Panchanga!$Y256)*INT(Panchanga!$Y256/30+1)&amp;"J, "&amp;SIGN(Z257-Panchanga!$Z256)*INT(Panchanga!$Z256/30+1)&amp;"V,"&amp;SIGN(AA257-Panchanga!$AA256)*INT(Panchanga!$AA256/30+1)&amp;"S,"&amp;INT(Panchanga!$AB256/30+1)&amp;"R"</f>
        <v>4Ma,8Me,-2J, 8V,-11S,12R</v>
      </c>
      <c r="U256" s="4">
        <f t="shared" si="34"/>
        <v>196.88006861854456</v>
      </c>
      <c r="V256" s="4">
        <f t="shared" si="35"/>
        <v>213.39227944514965</v>
      </c>
      <c r="W256" s="4">
        <f>Planet(Panchanga!$G256,4)</f>
        <v>95.399451816194457</v>
      </c>
      <c r="X256" s="4">
        <f>Planet(Panchanga!$G256,2)</f>
        <v>216.10358195373038</v>
      </c>
      <c r="Y256" s="4">
        <f>Planet(Panchanga!$G256,5)</f>
        <v>56.124165899432469</v>
      </c>
      <c r="Z256" s="4">
        <f>Planet(Panchanga!$G256,3)</f>
        <v>235.33268307001254</v>
      </c>
      <c r="AA256" s="4">
        <f>Planet(Panchanga!$G256,6)</f>
        <v>318.62747510297106</v>
      </c>
      <c r="AB256" s="4">
        <f>Planet(Panchanga!$G256,10)</f>
        <v>340.41620544249236</v>
      </c>
      <c r="AC256" s="4" t="str">
        <f>TEXT(Panchanga!$C256+($C257-Panchanga!$C256)/ABS(IF($R257&lt;1,$R257+30,$R257)-Panchanga!$R256)*(ROUNDUP(Panchanga!$R256,0)-Panchanga!$R256),"hh:mm AM/PM")</f>
        <v>10:03 PM</v>
      </c>
      <c r="AD256" s="4"/>
    </row>
    <row r="257" spans="1:30" x14ac:dyDescent="0.2">
      <c r="A257" s="3">
        <f t="shared" si="37"/>
        <v>45600</v>
      </c>
      <c r="B257" s="3">
        <f t="shared" si="32"/>
        <v>45600.229166666664</v>
      </c>
      <c r="C257" s="6">
        <f t="shared" si="33"/>
        <v>45600.253991714831</v>
      </c>
      <c r="D257" s="6">
        <f>sunset(Lat,Long,B257)+TimeZone/24-0.000277777777777778</f>
        <v>45599.736641157462</v>
      </c>
      <c r="E257" s="6">
        <f>PlanetRiseSet(Lat,Long,B257,1,1)+TimeZone/24+0.00103009259259259</f>
        <v>45600.345885435272</v>
      </c>
      <c r="F257" s="6">
        <f>PlanetRiseSet(Lat,Long,B257+1,1,2)+TimeZone/24+0.00103009259259259</f>
        <v>45600.822798722576</v>
      </c>
      <c r="G257" s="17">
        <f>Panchanga!$C257-TimeZone/24</f>
        <v>45600.024825048167</v>
      </c>
      <c r="H257" s="13" t="str">
        <f>INT(P[[#This Row],[Sun]]/30)&amp;"s"&amp;ROUNDUP(MOD(P[[#This Row],[Sun]],30),2)</f>
        <v>6s17.89</v>
      </c>
      <c r="I257" s="13" t="str">
        <f>INT(P[[#This Row],[Moon]]/30)&amp;"s"&amp;ROUNDUP(MOD(P[[#This Row],[Moon]],30),2)</f>
        <v>7s15.66</v>
      </c>
      <c r="J257" s="14">
        <f t="shared" si="36"/>
        <v>45600.024825048167</v>
      </c>
      <c r="K257" s="10" t="str">
        <f>naks(P[[#This Row],[Moon]])</f>
        <v>Anuradha</v>
      </c>
      <c r="L257" s="15">
        <f>(C258-P[[#This Row],[SunRise]])/(MOD(360+V258-P[[#This Row],[Moon]],360))*(13.3333333333333-MOD(P[[#This Row],[Moon]],13.333333333333))+P[[#This Row],[SunRise]]</f>
        <v>45600.335529970354</v>
      </c>
      <c r="M257" s="4" t="str">
        <f>IF(Panchanga!$R257&gt;15,"K","S")&amp;ROUNDUP(MOD(Panchanga!$R257,15),0)&amp;" ("&amp;ROUND(Panchanga!$R257,2)&amp;")"</f>
        <v>S3 (2.31)</v>
      </c>
      <c r="N257" s="4">
        <f>IF(AND(Panchanga!$R257&lt;28.5,Panchanga!$R257&gt;0.49999),MOD((Panchanga!$R257-0.5)*2,7),MOD((Panchanga!$R257+30-28.5),30)*2+7)</f>
        <v>3.6286000000000005</v>
      </c>
      <c r="O257" s="4" t="str">
        <f>CHOOSE(ROUNDUP(Panchanga!$N257,0),"Bhava","Baalava","Kaulava","Taitula","Garija","Vanija","Vishti","Shakuni","Chatushapda","Naaga","Kimstugna")</f>
        <v>Taitula</v>
      </c>
      <c r="P257" s="11" t="str">
        <f>CHOOSE(ROUNDUP(Panchanga!$S257,0),"viṣkambha","prīti","āyuṣmāna","saubhāgya","śobhana","atigaṇḍa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("&amp;Panchanga!$S257&amp;")"</f>
        <v>śobhana (4.77)</v>
      </c>
      <c r="Q257" s="4">
        <f>IF(AND(Panchanga!$R257&lt;28.5,Panchanga!$R257&gt;0.49999),MOD((Panchanga!$R257-0.5)*2,7),MOD((Panchanga!$R257+30-28.5),30)*2+7)</f>
        <v>3.6286000000000005</v>
      </c>
      <c r="R257" s="4">
        <f>ROUNDUP(MOD(360+P[[#This Row],[Moon]]-P[[#This Row],[Sun]],360)/12,4)</f>
        <v>2.3143000000000002</v>
      </c>
      <c r="S257" s="4">
        <f>ROUNDUP(MOD(P[[#This Row],[Sun]]+P[[#This Row],[Moon]],360)/13.333333333,2)</f>
        <v>4.7699999999999996</v>
      </c>
      <c r="T257" s="4" t="str">
        <f>SIGN(W258-Panchanga!$W257)*INT(Panchanga!$W257/30+1)&amp;"Ma,"&amp;SIGN(X258-Panchanga!$X257)*INT(Panchanga!$X257/30+1)&amp;"Me,"&amp;SIGN(Y258-Panchanga!$Y257)*INT(Panchanga!$Y257/30+1)&amp;"J, "&amp;SIGN(Z258-Panchanga!$Z257)*INT(Panchanga!$Z257/30+1)&amp;"V,"&amp;SIGN(AA258-Panchanga!$AA257)*INT(Panchanga!$AA257/30+1)&amp;"S,"&amp;INT(Panchanga!$AB257/30+1)&amp;"R"</f>
        <v>4Ma,8Me,-2J, 8V,-11S,12R</v>
      </c>
      <c r="U257" s="4">
        <f t="shared" si="34"/>
        <v>197.88229201679246</v>
      </c>
      <c r="V257" s="4">
        <f t="shared" si="35"/>
        <v>225.65278411574144</v>
      </c>
      <c r="W257" s="4">
        <f>Planet(Panchanga!$G257,4)</f>
        <v>95.74584015037658</v>
      </c>
      <c r="X257" s="4">
        <f>Planet(Panchanga!$G257,2)</f>
        <v>217.48561454295546</v>
      </c>
      <c r="Y257" s="4">
        <f>Planet(Panchanga!$G257,5)</f>
        <v>56.042618786386669</v>
      </c>
      <c r="Z257" s="4">
        <f>Planet(Panchanga!$G257,3)</f>
        <v>236.5328268094691</v>
      </c>
      <c r="AA257" s="4">
        <f>Planet(Panchanga!$G257,6)</f>
        <v>318.60646120923798</v>
      </c>
      <c r="AB257" s="4">
        <f>Planet(Panchanga!$G257,10)</f>
        <v>340.36320152216314</v>
      </c>
      <c r="AC257" s="4" t="str">
        <f>TEXT(Panchanga!$C257+($C258-Panchanga!$C257)/ABS(IF($R258&lt;1,$R258+30,$R258)-Panchanga!$R257)*(ROUNDUP(Panchanga!$R257,0)-Panchanga!$R257),"hh:mm AM/PM")</f>
        <v>11:22 PM</v>
      </c>
      <c r="AD257" s="4"/>
    </row>
    <row r="258" spans="1:30" x14ac:dyDescent="0.2">
      <c r="A258" s="3">
        <f t="shared" si="37"/>
        <v>45601</v>
      </c>
      <c r="B258" s="3">
        <f t="shared" si="32"/>
        <v>45601.229166666664</v>
      </c>
      <c r="C258" s="6">
        <f t="shared" si="33"/>
        <v>45601.254223952688</v>
      </c>
      <c r="D258" s="6">
        <f>sunset(Lat,Long,B258)+TimeZone/24-0.000277777777777778</f>
        <v>45600.736436140302</v>
      </c>
      <c r="E258" s="6">
        <f>PlanetRiseSet(Lat,Long,B258,1,1)+TimeZone/24+0.00103009259259259</f>
        <v>45601.384555194214</v>
      </c>
      <c r="F258" s="6">
        <f>PlanetRiseSet(Lat,Long,B258+1,1,2)+TimeZone/24+0.00103009259259259</f>
        <v>45601.859897916358</v>
      </c>
      <c r="G258" s="17">
        <f>Panchanga!$C258-TimeZone/24</f>
        <v>45601.025057286024</v>
      </c>
      <c r="H258" s="13" t="str">
        <f>INT(P[[#This Row],[Sun]]/30)&amp;"s"&amp;ROUNDUP(MOD(P[[#This Row],[Sun]],30),2)</f>
        <v>6s18.89</v>
      </c>
      <c r="I258" s="13" t="str">
        <f>INT(P[[#This Row],[Moon]]/30)&amp;"s"&amp;ROUNDUP(MOD(P[[#This Row],[Moon]],30),2)</f>
        <v>7s28.1</v>
      </c>
      <c r="J258" s="14">
        <f t="shared" si="36"/>
        <v>45601.025057286024</v>
      </c>
      <c r="K258" s="10" t="str">
        <f>naks(P[[#This Row],[Moon]])</f>
        <v>Jyestha</v>
      </c>
      <c r="L258" s="15">
        <f>(C259-P[[#This Row],[SunRise]])/(MOD(360+V259-P[[#This Row],[Moon]],360))*(13.3333333333333-MOD(P[[#This Row],[Moon]],13.333333333333))+P[[#This Row],[SunRise]]</f>
        <v>45601.405390200263</v>
      </c>
      <c r="M258" s="4" t="str">
        <f>IF(Panchanga!$R258&gt;15,"K","S")&amp;ROUNDUP(MOD(Panchanga!$R258,15),0)&amp;" ("&amp;ROUND(Panchanga!$R258,2)&amp;")"</f>
        <v>S4 (3.27)</v>
      </c>
      <c r="N258" s="4">
        <f>IF(AND(Panchanga!$R258&lt;28.5,Panchanga!$R258&gt;0.49999),MOD((Panchanga!$R258-0.5)*2,7),MOD((Panchanga!$R258+30-28.5),30)*2+7)</f>
        <v>5.5342000000000002</v>
      </c>
      <c r="O258" s="4" t="str">
        <f>CHOOSE(ROUNDUP(Panchanga!$N258,0),"Bhava","Baalava","Kaulava","Taitula","Garija","Vanija","Vishti","Shakuni","Chatushapda","Naaga","Kimstugna")</f>
        <v>Vanija</v>
      </c>
      <c r="P258" s="11" t="str">
        <f>CHOOSE(ROUNDUP(Panchanga!$S258,0),"viṣkambha","prīti","āyuṣmāna","saubhāgya","śobhana","atigaṇḍa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("&amp;Panchanga!$S258&amp;")"</f>
        <v>atigaṇḍa  (5.78)</v>
      </c>
      <c r="Q258" s="4">
        <f>IF(AND(Panchanga!$R258&lt;28.5,Panchanga!$R258&gt;0.49999),MOD((Panchanga!$R258-0.5)*2,7),MOD((Panchanga!$R258+30-28.5),30)*2+7)</f>
        <v>5.5342000000000002</v>
      </c>
      <c r="R258" s="4">
        <f>ROUNDUP(MOD(360+P[[#This Row],[Moon]]-P[[#This Row],[Sun]],360)/12,4)</f>
        <v>3.2671000000000001</v>
      </c>
      <c r="S258" s="4">
        <f>ROUNDUP(MOD(P[[#This Row],[Sun]]+P[[#This Row],[Moon]],360)/13.333333333,2)</f>
        <v>5.7799999999999994</v>
      </c>
      <c r="T258" s="4" t="str">
        <f>SIGN(W259-Panchanga!$W258)*INT(Panchanga!$W258/30+1)&amp;"Ma,"&amp;SIGN(X259-Panchanga!$X258)*INT(Panchanga!$X258/30+1)&amp;"Me,"&amp;SIGN(Y259-Panchanga!$Y258)*INT(Panchanga!$Y258/30+1)&amp;"J, "&amp;SIGN(Z259-Panchanga!$Z258)*INT(Panchanga!$Z258/30+1)&amp;"V,"&amp;SIGN(AA259-Panchanga!$AA258)*INT(Panchanga!$AA258/30+1)&amp;"S,"&amp;INT(Panchanga!$AB258/30+1)&amp;"R"</f>
        <v>4Ma,8Me,-2J, 8V,-11S,12R</v>
      </c>
      <c r="U258" s="4">
        <f t="shared" si="34"/>
        <v>198.88499714193244</v>
      </c>
      <c r="V258" s="4">
        <f t="shared" si="35"/>
        <v>238.09011192411577</v>
      </c>
      <c r="W258" s="4">
        <f>Planet(Panchanga!$G258,4)</f>
        <v>96.084766746690178</v>
      </c>
      <c r="X258" s="4">
        <f>Planet(Panchanga!$G258,2)</f>
        <v>218.85276333011669</v>
      </c>
      <c r="Y258" s="4">
        <f>Planet(Panchanga!$G258,5)</f>
        <v>55.958213867843654</v>
      </c>
      <c r="Z258" s="4">
        <f>Planet(Panchanga!$G258,3)</f>
        <v>237.7322552419711</v>
      </c>
      <c r="AA258" s="4">
        <f>Planet(Panchanga!$G258,6)</f>
        <v>318.58714656995426</v>
      </c>
      <c r="AB258" s="4">
        <f>Planet(Panchanga!$G258,10)</f>
        <v>340.31019722855814</v>
      </c>
      <c r="AC258" s="4" t="str">
        <f>TEXT(Panchanga!$C258+($C259-Panchanga!$C258)/ABS(IF($R259&lt;1,$R259+30,$R259)-Panchanga!$R258)*(ROUNDUP(Panchanga!$R258,0)-Panchanga!$R258),"hh:mm AM/PM")</f>
        <v>12:14 AM</v>
      </c>
      <c r="AD258" s="4"/>
    </row>
    <row r="259" spans="1:30" x14ac:dyDescent="0.2">
      <c r="A259" s="3">
        <f t="shared" si="37"/>
        <v>45602</v>
      </c>
      <c r="B259" s="3">
        <f t="shared" ref="B259:B322" si="38">A259+TimeZone/24</f>
        <v>45602.229166666664</v>
      </c>
      <c r="C259" s="6">
        <f t="shared" ref="C259:C322" si="39">sunrise(Lat,Long,B259)+TimeZone/24+0.00103009259259259</f>
        <v>45602.254463177793</v>
      </c>
      <c r="D259" s="6">
        <f>sunset(Lat,Long,B259)+TimeZone/24-0.000277777777777778</f>
        <v>45601.73624305478</v>
      </c>
      <c r="E259" s="6">
        <f>PlanetRiseSet(Lat,Long,B259,1,1)+TimeZone/24+0.00103009259259259</f>
        <v>45602.423185021769</v>
      </c>
      <c r="F259" s="6">
        <f>PlanetRiseSet(Lat,Long,B259+1,1,2)+TimeZone/24+0.00103009259259259</f>
        <v>45602.899289997447</v>
      </c>
      <c r="G259" s="17">
        <f>Panchanga!$C259-TimeZone/24</f>
        <v>45602.025296511129</v>
      </c>
      <c r="H259" s="13" t="str">
        <f>INT(P[[#This Row],[Sun]]/30)&amp;"s"&amp;ROUNDUP(MOD(P[[#This Row],[Sun]],30),2)</f>
        <v>6s19.89</v>
      </c>
      <c r="I259" s="13" t="str">
        <f>INT(P[[#This Row],[Moon]]/30)&amp;"s"&amp;ROUNDUP(MOD(P[[#This Row],[Moon]],30),2)</f>
        <v>8s10.73</v>
      </c>
      <c r="J259" s="14">
        <f t="shared" si="36"/>
        <v>45602.025296511129</v>
      </c>
      <c r="K259" s="10" t="str">
        <f>naks(P[[#This Row],[Moon]])</f>
        <v>Moola</v>
      </c>
      <c r="L259" s="15">
        <f>(C260-P[[#This Row],[SunRise]])/(MOD(360+V260-P[[#This Row],[Moon]],360))*(13.3333333333333-MOD(P[[#This Row],[Moon]],13.333333333333))+P[[#This Row],[SunRise]]</f>
        <v>45602.457083038054</v>
      </c>
      <c r="M259" s="4" t="str">
        <f>IF(Panchanga!$R259&gt;15,"K","S")&amp;ROUNDUP(MOD(Panchanga!$R259,15),0)&amp;" ("&amp;ROUND(Panchanga!$R259,2)&amp;")"</f>
        <v>S5 (4.24)</v>
      </c>
      <c r="N259" s="4">
        <f>IF(AND(Panchanga!$R259&lt;28.5,Panchanga!$R259&gt;0.49999),MOD((Panchanga!$R259-0.5)*2,7),MOD((Panchanga!$R259+30-28.5),30)*2+7)</f>
        <v>0.47339999999999982</v>
      </c>
      <c r="O259" s="4" t="str">
        <f>CHOOSE(ROUNDUP(Panchanga!$N259,0),"Bhava","Baalava","Kaulava","Taitula","Garija","Vanija","Vishti","Shakuni","Chatushapda","Naaga","Kimstugna")</f>
        <v>Bhava</v>
      </c>
      <c r="P259" s="11" t="str">
        <f>CHOOSE(ROUNDUP(Panchanga!$S259,0),"viṣkambha","prīti","āyuṣmāna","saubhāgya","śobhana","atigaṇḍa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("&amp;Panchanga!$S259&amp;")"</f>
        <v>sukarmā  (6.8)</v>
      </c>
      <c r="Q259" s="4">
        <f>IF(AND(Panchanga!$R259&lt;28.5,Panchanga!$R259&gt;0.49999),MOD((Panchanga!$R259-0.5)*2,7),MOD((Panchanga!$R259+30-28.5),30)*2+7)</f>
        <v>0.47339999999999982</v>
      </c>
      <c r="R259" s="4">
        <f>ROUNDUP(MOD(360+P[[#This Row],[Moon]]-P[[#This Row],[Sun]],360)/12,4)</f>
        <v>4.2366999999999999</v>
      </c>
      <c r="S259" s="4">
        <f>ROUNDUP(MOD(P[[#This Row],[Sun]]+P[[#This Row],[Moon]],360)/13.333333333,2)</f>
        <v>6.8</v>
      </c>
      <c r="T259" s="4" t="str">
        <f>SIGN(W260-Panchanga!$W259)*INT(Panchanga!$W259/30+1)&amp;"Ma,"&amp;SIGN(X260-Panchanga!$X259)*INT(Panchanga!$X259/30+1)&amp;"Me,"&amp;SIGN(Y260-Panchanga!$Y259)*INT(Panchanga!$Y259/30+1)&amp;"J, "&amp;SIGN(Z260-Panchanga!$Z259)*INT(Panchanga!$Z259/30+1)&amp;"V,"&amp;SIGN(AA260-Panchanga!$AA259)*INT(Panchanga!$AA259/30+1)&amp;"S,"&amp;INT(Panchanga!$AB259/30+1)&amp;"R"</f>
        <v>4Ma,8Me,-2J, 8V,-11S,12R</v>
      </c>
      <c r="U259" s="4">
        <f t="shared" ref="U259:U322" si="40">Planet($G259,0)</f>
        <v>199.88816590806027</v>
      </c>
      <c r="V259" s="4">
        <f t="shared" ref="V259:V322" si="41">Planet($G259,1)</f>
        <v>250.72748964372181</v>
      </c>
      <c r="W259" s="4">
        <f>Planet(Panchanga!$G259,4)</f>
        <v>96.416084626130683</v>
      </c>
      <c r="X259" s="4">
        <f>Planet(Panchanga!$G259,2)</f>
        <v>220.20375789083909</v>
      </c>
      <c r="Y259" s="4">
        <f>Planet(Panchanga!$G259,5)</f>
        <v>55.87100611953435</v>
      </c>
      <c r="Z259" s="4">
        <f>Planet(Panchanga!$G259,3)</f>
        <v>238.93093428234647</v>
      </c>
      <c r="AA259" s="4">
        <f>Planet(Panchanga!$G259,6)</f>
        <v>318.56954169227566</v>
      </c>
      <c r="AB259" s="4">
        <f>Planet(Panchanga!$G259,10)</f>
        <v>340.2571925646763</v>
      </c>
      <c r="AC259" s="4" t="str">
        <f>TEXT(Panchanga!$C259+($C260-Panchanga!$C259)/ABS(IF($R260&lt;1,$R260+30,$R260)-Panchanga!$R259)*(ROUNDUP(Panchanga!$R259,0)-Panchanga!$R259),"hh:mm AM/PM")</f>
        <v>12:38 AM</v>
      </c>
      <c r="AD259" s="4"/>
    </row>
    <row r="260" spans="1:30" x14ac:dyDescent="0.2">
      <c r="A260" s="3">
        <f t="shared" si="37"/>
        <v>45603</v>
      </c>
      <c r="B260" s="3">
        <f t="shared" si="38"/>
        <v>45603.229166666664</v>
      </c>
      <c r="C260" s="6">
        <f t="shared" si="39"/>
        <v>45603.254709322158</v>
      </c>
      <c r="D260" s="6">
        <f>sunset(Lat,Long,B260)+TimeZone/24-0.000277777777777778</f>
        <v>45602.736062023832</v>
      </c>
      <c r="E260" s="6">
        <f>PlanetRiseSet(Lat,Long,B260,1,1)+TimeZone/24+0.00103009259259259</f>
        <v>45603.46054953678</v>
      </c>
      <c r="F260" s="6">
        <f>PlanetRiseSet(Lat,Long,B260+1,1,2)+TimeZone/24+0.00103009259259259</f>
        <v>45603.939793507256</v>
      </c>
      <c r="G260" s="17">
        <f>Panchanga!$C260-TimeZone/24</f>
        <v>45603.025542655494</v>
      </c>
      <c r="H260" s="13" t="str">
        <f>INT(P[[#This Row],[Sun]]/30)&amp;"s"&amp;ROUNDUP(MOD(P[[#This Row],[Sun]],30),2)</f>
        <v>6s20.9</v>
      </c>
      <c r="I260" s="13" t="str">
        <f>INT(P[[#This Row],[Moon]]/30)&amp;"s"&amp;ROUNDUP(MOD(P[[#This Row],[Moon]],30),2)</f>
        <v>8s23.6</v>
      </c>
      <c r="J260" s="14">
        <f t="shared" si="36"/>
        <v>45603.025542655494</v>
      </c>
      <c r="K260" s="10" t="str">
        <f>naks(P[[#This Row],[Moon]])</f>
        <v>Purva Asadha</v>
      </c>
      <c r="L260" s="15">
        <f>(C261-P[[#This Row],[SunRise]])/(MOD(360+V261-P[[#This Row],[Moon]],360))*(13.3333333333333-MOD(P[[#This Row],[Moon]],13.333333333333))+P[[#This Row],[SunRise]]</f>
        <v>45603.489154243922</v>
      </c>
      <c r="M260" s="4" t="str">
        <f>IF(Panchanga!$R260&gt;15,"K","S")&amp;ROUNDUP(MOD(Panchanga!$R260,15),0)&amp;" ("&amp;ROUND(Panchanga!$R260,2)&amp;")"</f>
        <v>S6 (5.23)</v>
      </c>
      <c r="N260" s="4">
        <f>IF(AND(Panchanga!$R260&lt;28.5,Panchanga!$R260&gt;0.49999),MOD((Panchanga!$R260-0.5)*2,7),MOD((Panchanga!$R260+30-28.5),30)*2+7)</f>
        <v>2.4499999999999993</v>
      </c>
      <c r="O260" s="4" t="str">
        <f>CHOOSE(ROUNDUP(Panchanga!$N260,0),"Bhava","Baalava","Kaulava","Taitula","Garija","Vanija","Vishti","Shakuni","Chatushapda","Naaga","Kimstugna")</f>
        <v>Kaulava</v>
      </c>
      <c r="P260" s="11" t="str">
        <f>CHOOSE(ROUNDUP(Panchanga!$S260,0),"viṣkambha","prīti","āyuṣmāna","saubhāgya","śobhana","atigaṇḍa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("&amp;Panchanga!$S260&amp;")"</f>
        <v>dhṛti  (7.84)</v>
      </c>
      <c r="Q260" s="4">
        <f>IF(AND(Panchanga!$R260&lt;28.5,Panchanga!$R260&gt;0.49999),MOD((Panchanga!$R260-0.5)*2,7),MOD((Panchanga!$R260+30-28.5),30)*2+7)</f>
        <v>2.4499999999999993</v>
      </c>
      <c r="R260" s="4">
        <f>ROUNDUP(MOD(360+P[[#This Row],[Moon]]-P[[#This Row],[Sun]],360)/12,4)</f>
        <v>5.2249999999999996</v>
      </c>
      <c r="S260" s="4">
        <f>ROUNDUP(MOD(P[[#This Row],[Sun]]+P[[#This Row],[Moon]],360)/13.333333333,2)</f>
        <v>7.84</v>
      </c>
      <c r="T260" s="4" t="str">
        <f>SIGN(W261-Panchanga!$W260)*INT(Panchanga!$W260/30+1)&amp;"Ma,"&amp;SIGN(X261-Panchanga!$X260)*INT(Panchanga!$X260/30+1)&amp;"Me,"&amp;SIGN(Y261-Panchanga!$Y260)*INT(Panchanga!$Y260/30+1)&amp;"J, "&amp;SIGN(Z261-Panchanga!$Z260)*INT(Panchanga!$Z260/30+1)&amp;"V,"&amp;SIGN(AA261-Panchanga!$AA260)*INT(Panchanga!$AA260/30+1)&amp;"S,"&amp;INT(Panchanga!$AB260/30+1)&amp;"R"</f>
        <v>4Ma,8Me,-2J, 9V,-11S,12R</v>
      </c>
      <c r="U260" s="4">
        <f t="shared" si="40"/>
        <v>200.89178135253829</v>
      </c>
      <c r="V260" s="4">
        <f t="shared" si="41"/>
        <v>263.59140683316025</v>
      </c>
      <c r="W260" s="4">
        <f>Planet(Panchanga!$G260,4)</f>
        <v>96.739646798851766</v>
      </c>
      <c r="X260" s="4">
        <f>Planet(Panchanga!$G260,2)</f>
        <v>221.53710999305758</v>
      </c>
      <c r="Y260" s="4">
        <f>Planet(Panchanga!$G260,5)</f>
        <v>55.781053255305871</v>
      </c>
      <c r="Z260" s="4">
        <f>Planet(Panchanga!$G260,3)</f>
        <v>240.12882809998271</v>
      </c>
      <c r="AA260" s="4">
        <f>Planet(Panchanga!$G260,6)</f>
        <v>318.55365587277055</v>
      </c>
      <c r="AB260" s="4">
        <f>Planet(Panchanga!$G260,10)</f>
        <v>340.20418753412969</v>
      </c>
      <c r="AC260" s="4" t="str">
        <f>TEXT(Panchanga!$C260+($C261-Panchanga!$C260)/ABS(IF($R261&lt;1,$R261+30,$R261)-Panchanga!$R260)*(ROUNDUP(Panchanga!$R260,0)-Panchanga!$R260),"hh:mm AM/PM")</f>
        <v>12:32 AM</v>
      </c>
      <c r="AD260" s="4"/>
    </row>
    <row r="261" spans="1:30" x14ac:dyDescent="0.2">
      <c r="A261" s="3">
        <f t="shared" si="37"/>
        <v>45604</v>
      </c>
      <c r="B261" s="3">
        <f t="shared" si="38"/>
        <v>45604.229166666664</v>
      </c>
      <c r="C261" s="6">
        <f t="shared" si="39"/>
        <v>45604.25496231221</v>
      </c>
      <c r="D261" s="6">
        <f>sunset(Lat,Long,B261)+TimeZone/24-0.000277777777777778</f>
        <v>45603.735893167133</v>
      </c>
      <c r="E261" s="6">
        <f>PlanetRiseSet(Lat,Long,B261,1,1)+TimeZone/24+0.00103009259259259</f>
        <v>45603.460549627584</v>
      </c>
      <c r="F261" s="6">
        <f>PlanetRiseSet(Lat,Long,B261+1,1,2)+TimeZone/24+0.00103009259259259</f>
        <v>45604.980284240715</v>
      </c>
      <c r="G261" s="17">
        <f>Panchanga!$C261-TimeZone/24</f>
        <v>45604.025795645546</v>
      </c>
      <c r="H261" s="13" t="str">
        <f>INT(P[[#This Row],[Sun]]/30)&amp;"s"&amp;ROUNDUP(MOD(P[[#This Row],[Sun]],30),2)</f>
        <v>6s21.9</v>
      </c>
      <c r="I261" s="13" t="str">
        <f>INT(P[[#This Row],[Moon]]/30)&amp;"s"&amp;ROUNDUP(MOD(P[[#This Row],[Moon]],30),2)</f>
        <v>9s6.72</v>
      </c>
      <c r="J261" s="14">
        <f t="shared" si="36"/>
        <v>45604.025795645546</v>
      </c>
      <c r="K261" s="10" t="str">
        <f>naks(P[[#This Row],[Moon]])</f>
        <v>Uttara Asadha</v>
      </c>
      <c r="L261" s="15">
        <f>(C262-P[[#This Row],[SunRise]])/(MOD(360+V262-P[[#This Row],[Moon]],360))*(13.3333333333333-MOD(P[[#This Row],[Moon]],13.333333333333))+P[[#This Row],[SunRise]]</f>
        <v>45604.500247236836</v>
      </c>
      <c r="M261" s="4" t="str">
        <f>IF(Panchanga!$R261&gt;15,"K","S")&amp;ROUNDUP(MOD(Panchanga!$R261,15),0)&amp;" ("&amp;ROUND(Panchanga!$R261,2)&amp;")"</f>
        <v>S7 (6.23)</v>
      </c>
      <c r="N261" s="4">
        <f>IF(AND(Panchanga!$R261&lt;28.5,Panchanga!$R261&gt;0.49999),MOD((Panchanga!$R261-0.5)*2,7),MOD((Panchanga!$R261+30-28.5),30)*2+7)</f>
        <v>4.4694000000000003</v>
      </c>
      <c r="O261" s="4" t="str">
        <f>CHOOSE(ROUNDUP(Panchanga!$N261,0),"Bhava","Baalava","Kaulava","Taitula","Garija","Vanija","Vishti","Shakuni","Chatushapda","Naaga","Kimstugna")</f>
        <v>Garija</v>
      </c>
      <c r="P261" s="11" t="str">
        <f>CHOOSE(ROUNDUP(Panchanga!$S261,0),"viṣkambha","prīti","āyuṣmāna","saubhāgya","śobhana","atigaṇḍa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("&amp;Panchanga!$S261&amp;")"</f>
        <v>śūla  (8.9)</v>
      </c>
      <c r="Q261" s="4">
        <f>IF(AND(Panchanga!$R261&lt;28.5,Panchanga!$R261&gt;0.49999),MOD((Panchanga!$R261-0.5)*2,7),MOD((Panchanga!$R261+30-28.5),30)*2+7)</f>
        <v>4.4694000000000003</v>
      </c>
      <c r="R261" s="4">
        <f>ROUNDUP(MOD(360+P[[#This Row],[Moon]]-P[[#This Row],[Sun]],360)/12,4)</f>
        <v>6.2347000000000001</v>
      </c>
      <c r="S261" s="4">
        <f>ROUNDUP(MOD(P[[#This Row],[Sun]]+P[[#This Row],[Moon]],360)/13.333333333,2)</f>
        <v>8.9</v>
      </c>
      <c r="T261" s="4" t="str">
        <f>SIGN(W262-Panchanga!$W261)*INT(Panchanga!$W261/30+1)&amp;"Ma,"&amp;SIGN(X262-Panchanga!$X261)*INT(Panchanga!$X261/30+1)&amp;"Me,"&amp;SIGN(Y262-Panchanga!$Y261)*INT(Panchanga!$Y261/30+1)&amp;"J, "&amp;SIGN(Z262-Panchanga!$Z261)*INT(Panchanga!$Z261/30+1)&amp;"V,"&amp;SIGN(AA262-Panchanga!$AA261)*INT(Panchanga!$AA261/30+1)&amp;"S,"&amp;INT(Panchanga!$AB261/30+1)&amp;"R"</f>
        <v>4Ma,8Me,-2J, 9V,-11S,12R</v>
      </c>
      <c r="U261" s="4">
        <f t="shared" si="40"/>
        <v>201.89582812586093</v>
      </c>
      <c r="V261" s="4">
        <f t="shared" si="41"/>
        <v>276.71192068548459</v>
      </c>
      <c r="W261" s="4">
        <f>Planet(Panchanga!$G261,4)</f>
        <v>97.055306049282706</v>
      </c>
      <c r="X261" s="4">
        <f>Planet(Panchanga!$G261,2)</f>
        <v>222.85108372472817</v>
      </c>
      <c r="Y261" s="4">
        <f>Planet(Panchanga!$G261,5)</f>
        <v>55.688415535628593</v>
      </c>
      <c r="Z261" s="4">
        <f>Planet(Panchanga!$G261,3)</f>
        <v>241.32589941785344</v>
      </c>
      <c r="AA261" s="4">
        <f>Planet(Panchanga!$G261,6)</f>
        <v>318.5394971981886</v>
      </c>
      <c r="AB261" s="4">
        <f>Planet(Panchanga!$G261,10)</f>
        <v>340.15118214086158</v>
      </c>
      <c r="AC261" s="4" t="str">
        <f>TEXT(Panchanga!$C261+($C262-Panchanga!$C261)/ABS(IF($R262&lt;1,$R262+30,$R262)-Panchanga!$R261)*(ROUNDUP(Panchanga!$R261,0)-Panchanga!$R261),"hh:mm AM/PM")</f>
        <v>11:53 PM</v>
      </c>
      <c r="AD261" s="4"/>
    </row>
    <row r="262" spans="1:30" x14ac:dyDescent="0.2">
      <c r="A262" s="3">
        <f t="shared" si="37"/>
        <v>45605</v>
      </c>
      <c r="B262" s="3">
        <f t="shared" si="38"/>
        <v>45605.229166666664</v>
      </c>
      <c r="C262" s="6">
        <f t="shared" si="39"/>
        <v>45605.255222070184</v>
      </c>
      <c r="D262" s="6">
        <f>sunset(Lat,Long,B262)+TimeZone/24-0.000277777777777778</f>
        <v>45604.735736599236</v>
      </c>
      <c r="E262" s="6">
        <f>PlanetRiseSet(Lat,Long,B262,1,1)+TimeZone/24+0.00103009259259259</f>
        <v>45604.495778431337</v>
      </c>
      <c r="F262" s="6">
        <f>PlanetRiseSet(Lat,Long,B262+1,1,2)+TimeZone/24+0.00103009259259259</f>
        <v>45606.020104518313</v>
      </c>
      <c r="G262" s="17">
        <f>Panchanga!$C262-TimeZone/24</f>
        <v>45605.026055403519</v>
      </c>
      <c r="H262" s="13" t="str">
        <f>INT(P[[#This Row],[Sun]]/30)&amp;"s"&amp;ROUNDUP(MOD(P[[#This Row],[Sun]],30),2)</f>
        <v>6s22.91</v>
      </c>
      <c r="I262" s="13" t="str">
        <f>INT(P[[#This Row],[Moon]]/30)&amp;"s"&amp;ROUNDUP(MOD(P[[#This Row],[Moon]],30),2)</f>
        <v>9s20.13</v>
      </c>
      <c r="J262" s="14">
        <f t="shared" si="36"/>
        <v>45605.026055403519</v>
      </c>
      <c r="K262" s="10" t="str">
        <f>naks(P[[#This Row],[Moon]])</f>
        <v>Sravana</v>
      </c>
      <c r="L262" s="15">
        <f>(C263-P[[#This Row],[SunRise]])/(MOD(360+V263-P[[#This Row],[Moon]],360))*(13.3333333333333-MOD(P[[#This Row],[Moon]],13.333333333333))+P[[#This Row],[SunRise]]</f>
        <v>45605.489373382115</v>
      </c>
      <c r="M262" s="4" t="str">
        <f>IF(Panchanga!$R262&gt;15,"K","S")&amp;ROUNDUP(MOD(Panchanga!$R262,15),0)&amp;" ("&amp;ROUND(Panchanga!$R262,2)&amp;")"</f>
        <v>S8 (7.27)</v>
      </c>
      <c r="N262" s="4">
        <f>IF(AND(Panchanga!$R262&lt;28.5,Panchanga!$R262&gt;0.49999),MOD((Panchanga!$R262-0.5)*2,7),MOD((Panchanga!$R262+30-28.5),30)*2+7)</f>
        <v>6.5367999999999995</v>
      </c>
      <c r="O262" s="4" t="str">
        <f>CHOOSE(ROUNDUP(Panchanga!$N262,0),"Bhava","Baalava","Kaulava","Taitula","Garija","Vanija","Vishti","Shakuni","Chatushapda","Naaga","Kimstugna")</f>
        <v>Vishti</v>
      </c>
      <c r="P262" s="11" t="str">
        <f>CHOOSE(ROUNDUP(Panchanga!$S262,0),"viṣkambha","prīti","āyuṣmāna","saubhāgya","śobhana","atigaṇḍa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("&amp;Panchanga!$S262&amp;")"</f>
        <v>gaṇḍa  (9.98)</v>
      </c>
      <c r="Q262" s="4">
        <f>IF(AND(Panchanga!$R262&lt;28.5,Panchanga!$R262&gt;0.49999),MOD((Panchanga!$R262-0.5)*2,7),MOD((Panchanga!$R262+30-28.5),30)*2+7)</f>
        <v>6.5367999999999995</v>
      </c>
      <c r="R262" s="4">
        <f>ROUNDUP(MOD(360+P[[#This Row],[Moon]]-P[[#This Row],[Sun]],360)/12,4)</f>
        <v>7.2683999999999997</v>
      </c>
      <c r="S262" s="4">
        <f>ROUNDUP(MOD(P[[#This Row],[Sun]]+P[[#This Row],[Moon]],360)/13.333333333,2)</f>
        <v>9.98</v>
      </c>
      <c r="T262" s="4" t="str">
        <f>SIGN(W263-Panchanga!$W262)*INT(Panchanga!$W262/30+1)&amp;"Ma,"&amp;SIGN(X263-Panchanga!$X262)*INT(Panchanga!$X262/30+1)&amp;"Me,"&amp;SIGN(Y263-Panchanga!$Y262)*INT(Panchanga!$Y262/30+1)&amp;"J, "&amp;SIGN(Z263-Panchanga!$Z262)*INT(Panchanga!$Z262/30+1)&amp;"V,"&amp;SIGN(AA263-Panchanga!$AA262)*INT(Panchanga!$AA262/30+1)&amp;"S,"&amp;INT(Panchanga!$AB262/30+1)&amp;"R"</f>
        <v>4Ma,8Me,-2J, 9V,-11S,12R</v>
      </c>
      <c r="U262" s="4">
        <f t="shared" si="40"/>
        <v>202.90029300502084</v>
      </c>
      <c r="V262" s="4">
        <f t="shared" si="41"/>
        <v>290.12054506103561</v>
      </c>
      <c r="W262" s="4">
        <f>Planet(Panchanga!$G262,4)</f>
        <v>97.362914653999624</v>
      </c>
      <c r="X262" s="4">
        <f>Planet(Panchanga!$G262,2)</f>
        <v>224.14366124282435</v>
      </c>
      <c r="Y262" s="4">
        <f>Planet(Panchanga!$G262,5)</f>
        <v>55.593155555188581</v>
      </c>
      <c r="Z262" s="4">
        <f>Planet(Panchanga!$G262,3)</f>
        <v>242.52210984371072</v>
      </c>
      <c r="AA262" s="4">
        <f>Planet(Panchanga!$G262,6)</f>
        <v>318.52707254483801</v>
      </c>
      <c r="AB262" s="4">
        <f>Planet(Panchanga!$G262,10)</f>
        <v>340.09817638893151</v>
      </c>
      <c r="AC262" s="4" t="str">
        <f>TEXT(Panchanga!$C262+($C263-Panchanga!$C262)/ABS(IF($R263&lt;1,$R263+30,$R263)-Panchanga!$R262)*(ROUNDUP(Panchanga!$R262,0)-Panchanga!$R262),"hh:mm AM/PM")</f>
        <v>10:41 PM</v>
      </c>
      <c r="AD262" s="4"/>
    </row>
    <row r="263" spans="1:30" x14ac:dyDescent="0.2">
      <c r="A263" s="3">
        <f t="shared" si="37"/>
        <v>45606</v>
      </c>
      <c r="B263" s="3">
        <f t="shared" si="38"/>
        <v>45606.229166666664</v>
      </c>
      <c r="C263" s="6">
        <f t="shared" si="39"/>
        <v>45606.255488514122</v>
      </c>
      <c r="D263" s="6">
        <f>sunset(Lat,Long,B263)+TimeZone/24-0.000277777777777778</f>
        <v>45605.735592433295</v>
      </c>
      <c r="E263" s="6">
        <f>PlanetRiseSet(Lat,Long,B263,1,1)+TimeZone/24+0.00103009259259259</f>
        <v>45605.528619956378</v>
      </c>
      <c r="F263" s="6">
        <f>PlanetRiseSet(Lat,Long,B263+1,1,2)+TimeZone/24+0.00103009259259259</f>
        <v>45607.059199840915</v>
      </c>
      <c r="G263" s="17">
        <f>Panchanga!$C263-TimeZone/24</f>
        <v>45606.026321847457</v>
      </c>
      <c r="H263" s="13" t="str">
        <f>INT(P[[#This Row],[Sun]]/30)&amp;"s"&amp;ROUNDUP(MOD(P[[#This Row],[Sun]],30),2)</f>
        <v>6s23.91</v>
      </c>
      <c r="I263" s="13" t="str">
        <f>INT(P[[#This Row],[Moon]]/30)&amp;"s"&amp;ROUNDUP(MOD(P[[#This Row],[Moon]],30),2)</f>
        <v>10s3.85</v>
      </c>
      <c r="J263" s="14">
        <f t="shared" si="36"/>
        <v>45606.026321847457</v>
      </c>
      <c r="K263" s="10" t="str">
        <f>naks(P[[#This Row],[Moon]])</f>
        <v>Dhanistha</v>
      </c>
      <c r="L263" s="15">
        <f>(C264-P[[#This Row],[SunRise]])/(MOD(360+V264-P[[#This Row],[Moon]],360))*(13.3333333333333-MOD(P[[#This Row],[Moon]],13.333333333333))+P[[#This Row],[SunRise]]</f>
        <v>45606.456259187325</v>
      </c>
      <c r="M263" s="4" t="str">
        <f>IF(Panchanga!$R263&gt;15,"K","S")&amp;ROUNDUP(MOD(Panchanga!$R263,15),0)&amp;" ("&amp;ROUND(Panchanga!$R263,2)&amp;")"</f>
        <v>S9 (8.33)</v>
      </c>
      <c r="N263" s="4">
        <f>IF(AND(Panchanga!$R263&lt;28.5,Panchanga!$R263&gt;0.49999),MOD((Panchanga!$R263-0.5)*2,7),MOD((Panchanga!$R263+30-28.5),30)*2+7)</f>
        <v>1.6568000000000005</v>
      </c>
      <c r="O263" s="4" t="str">
        <f>CHOOSE(ROUNDUP(Panchanga!$N263,0),"Bhava","Baalava","Kaulava","Taitula","Garija","Vanija","Vishti","Shakuni","Chatushapda","Naaga","Kimstugna")</f>
        <v>Baalava</v>
      </c>
      <c r="P263" s="11" t="str">
        <f>CHOOSE(ROUNDUP(Panchanga!$S263,0),"viṣkambha","prīti","āyuṣmāna","saubhāgya","śobhana","atigaṇḍa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("&amp;Panchanga!$S263&amp;")"</f>
        <v>dhruva  (11.09)</v>
      </c>
      <c r="Q263" s="4">
        <f>IF(AND(Panchanga!$R263&lt;28.5,Panchanga!$R263&gt;0.49999),MOD((Panchanga!$R263-0.5)*2,7),MOD((Panchanga!$R263+30-28.5),30)*2+7)</f>
        <v>1.6568000000000005</v>
      </c>
      <c r="R263" s="4">
        <f>ROUNDUP(MOD(360+P[[#This Row],[Moon]]-P[[#This Row],[Sun]],360)/12,4)</f>
        <v>8.3284000000000002</v>
      </c>
      <c r="S263" s="4">
        <f>ROUNDUP(MOD(P[[#This Row],[Sun]]+P[[#This Row],[Moon]],360)/13.333333333,2)</f>
        <v>11.09</v>
      </c>
      <c r="T263" s="4" t="str">
        <f>SIGN(W264-Panchanga!$W263)*INT(Panchanga!$W263/30+1)&amp;"Ma,"&amp;SIGN(X264-Panchanga!$X263)*INT(Panchanga!$X263/30+1)&amp;"Me,"&amp;SIGN(Y264-Panchanga!$Y263)*INT(Panchanga!$Y263/30+1)&amp;"J, "&amp;SIGN(Z264-Panchanga!$Z263)*INT(Panchanga!$Z263/30+1)&amp;"V,"&amp;SIGN(AA264-Panchanga!$AA263)*INT(Panchanga!$AA263/30+1)&amp;"S,"&amp;INT(Panchanga!$AB263/30+1)&amp;"R"</f>
        <v>4Ma,8Me,-2J, 9V,-11S,12R</v>
      </c>
      <c r="U263" s="4">
        <f t="shared" si="40"/>
        <v>203.90516552808913</v>
      </c>
      <c r="V263" s="4">
        <f t="shared" si="41"/>
        <v>303.84519291241338</v>
      </c>
      <c r="W263" s="4">
        <f>Planet(Panchanga!$G263,4)</f>
        <v>97.66232394977196</v>
      </c>
      <c r="X263" s="4">
        <f>Planet(Panchanga!$G263,2)</f>
        <v>225.41250375966266</v>
      </c>
      <c r="Y263" s="4">
        <f>Planet(Panchanga!$G263,5)</f>
        <v>55.49533798772093</v>
      </c>
      <c r="Z263" s="4">
        <f>Planet(Panchanga!$G263,3)</f>
        <v>243.71742032458499</v>
      </c>
      <c r="AA263" s="4">
        <f>Planet(Panchanga!$G263,6)</f>
        <v>318.5163875989503</v>
      </c>
      <c r="AB263" s="4">
        <f>Planet(Panchanga!$G263,10)</f>
        <v>340.04517028268026</v>
      </c>
      <c r="AC263" s="4" t="str">
        <f>TEXT(Panchanga!$C263+($C264-Panchanga!$C263)/ABS(IF($R264&lt;1,$R264+30,$R264)-Panchanga!$R263)*(ROUNDUP(Panchanga!$R263,0)-Panchanga!$R263),"hh:mm AM/PM")</f>
        <v>08:57 PM</v>
      </c>
      <c r="AD263" s="4"/>
    </row>
    <row r="264" spans="1:30" x14ac:dyDescent="0.2">
      <c r="A264" s="3">
        <f t="shared" si="37"/>
        <v>45607</v>
      </c>
      <c r="B264" s="3">
        <f t="shared" si="38"/>
        <v>45607.229166666664</v>
      </c>
      <c r="C264" s="6">
        <f t="shared" si="39"/>
        <v>45607.255761563931</v>
      </c>
      <c r="D264" s="6">
        <f>sunset(Lat,Long,B264)+TimeZone/24-0.000277777777777778</f>
        <v>45606.735460779673</v>
      </c>
      <c r="E264" s="6">
        <f>PlanetRiseSet(Lat,Long,B264,1,1)+TimeZone/24+0.00103009259259259</f>
        <v>45606.559407557048</v>
      </c>
      <c r="F264" s="6">
        <f>PlanetRiseSet(Lat,Long,B264+1,1,2)+TimeZone/24+0.00103009259259259</f>
        <v>45608.098018687371</v>
      </c>
      <c r="G264" s="17">
        <f>Panchanga!$C264-TimeZone/24</f>
        <v>45607.026594897266</v>
      </c>
      <c r="H264" s="13" t="str">
        <f>INT(P[[#This Row],[Sun]]/30)&amp;"s"&amp;ROUNDUP(MOD(P[[#This Row],[Sun]],30),2)</f>
        <v>6s24.92</v>
      </c>
      <c r="I264" s="13" t="str">
        <f>INT(P[[#This Row],[Moon]]/30)&amp;"s"&amp;ROUNDUP(MOD(P[[#This Row],[Moon]],30),2)</f>
        <v>10s17.91</v>
      </c>
      <c r="J264" s="14">
        <f t="shared" si="36"/>
        <v>45607.026594897266</v>
      </c>
      <c r="K264" s="10" t="str">
        <f>naks(P[[#This Row],[Moon]])</f>
        <v>Satabhisaj</v>
      </c>
      <c r="L264" s="15">
        <f>(C265-P[[#This Row],[SunRise]])/(MOD(360+V265-P[[#This Row],[Moon]],360))*(13.3333333333333-MOD(P[[#This Row],[Moon]],13.333333333333))+P[[#This Row],[SunRise]]</f>
        <v>45607.401638238603</v>
      </c>
      <c r="M264" s="4" t="str">
        <f>IF(Panchanga!$R264&gt;15,"K","S")&amp;ROUNDUP(MOD(Panchanga!$R264,15),0)&amp;" ("&amp;ROUND(Panchanga!$R264,2)&amp;")"</f>
        <v>S10 (9.42)</v>
      </c>
      <c r="N264" s="4">
        <f>IF(AND(Panchanga!$R264&lt;28.5,Panchanga!$R264&gt;0.49999),MOD((Panchanga!$R264-0.5)*2,7),MOD((Panchanga!$R264+30-28.5),30)*2+7)</f>
        <v>3.8320000000000007</v>
      </c>
      <c r="O264" s="4" t="str">
        <f>CHOOSE(ROUNDUP(Panchanga!$N264,0),"Bhava","Baalava","Kaulava","Taitula","Garija","Vanija","Vishti","Shakuni","Chatushapda","Naaga","Kimstugna")</f>
        <v>Taitula</v>
      </c>
      <c r="P264" s="11" t="str">
        <f>CHOOSE(ROUNDUP(Panchanga!$S264,0),"viṣkambha","prīti","āyuṣmāna","saubhāgya","śobhana","atigaṇḍa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("&amp;Panchanga!$S264&amp;")"</f>
        <v>vyāghāta (12.22)</v>
      </c>
      <c r="Q264" s="4">
        <f>IF(AND(Panchanga!$R264&lt;28.5,Panchanga!$R264&gt;0.49999),MOD((Panchanga!$R264-0.5)*2,7),MOD((Panchanga!$R264+30-28.5),30)*2+7)</f>
        <v>3.8320000000000007</v>
      </c>
      <c r="R264" s="4">
        <f>ROUNDUP(MOD(360+P[[#This Row],[Moon]]-P[[#This Row],[Sun]],360)/12,4)</f>
        <v>9.4160000000000004</v>
      </c>
      <c r="S264" s="4">
        <f>ROUNDUP(MOD(P[[#This Row],[Sun]]+P[[#This Row],[Moon]],360)/13.333333333,2)</f>
        <v>12.22</v>
      </c>
      <c r="T264" s="4" t="str">
        <f>SIGN(W265-Panchanga!$W264)*INT(Panchanga!$W264/30+1)&amp;"Ma,"&amp;SIGN(X265-Panchanga!$X264)*INT(Panchanga!$X264/30+1)&amp;"Me,"&amp;SIGN(Y265-Panchanga!$Y264)*INT(Panchanga!$Y264/30+1)&amp;"J, "&amp;SIGN(Z265-Panchanga!$Z264)*INT(Panchanga!$Z264/30+1)&amp;"V,"&amp;SIGN(AA265-Panchanga!$AA264)*INT(Panchanga!$AA264/30+1)&amp;"S,"&amp;INT(Panchanga!$AB264/30+1)&amp;"R"</f>
        <v>4Ma,8Me,-2J, 9V,-11S,12R</v>
      </c>
      <c r="U264" s="4">
        <f t="shared" si="40"/>
        <v>204.91043881613618</v>
      </c>
      <c r="V264" s="4">
        <f t="shared" si="41"/>
        <v>317.9022467246395</v>
      </c>
      <c r="W264" s="4">
        <f>Planet(Panchanga!$G264,4)</f>
        <v>97.953383560514851</v>
      </c>
      <c r="X264" s="4">
        <f>Planet(Panchanga!$G264,2)</f>
        <v>226.65490747617514</v>
      </c>
      <c r="Y264" s="4">
        <f>Planet(Panchanga!$G264,5)</f>
        <v>55.395029254764111</v>
      </c>
      <c r="Z264" s="4">
        <f>Planet(Panchanga!$G264,3)</f>
        <v>244.91179187466517</v>
      </c>
      <c r="AA264" s="4">
        <f>Planet(Panchanga!$G264,6)</f>
        <v>318.50744688926295</v>
      </c>
      <c r="AB264" s="4">
        <f>Planet(Panchanga!$G264,10)</f>
        <v>339.99216382638281</v>
      </c>
      <c r="AC264" s="4" t="str">
        <f>TEXT(Panchanga!$C264+($C265-Panchanga!$C264)/ABS(IF($R265&lt;1,$R265+30,$R265)-Panchanga!$R264)*(ROUNDUP(Panchanga!$R264,0)-Panchanga!$R264),"hh:mm AM/PM")</f>
        <v>06:42 PM</v>
      </c>
      <c r="AD264" s="4"/>
    </row>
    <row r="265" spans="1:30" x14ac:dyDescent="0.2">
      <c r="A265" s="3">
        <f t="shared" si="37"/>
        <v>45608</v>
      </c>
      <c r="B265" s="3">
        <f t="shared" si="38"/>
        <v>45608.229166666664</v>
      </c>
      <c r="C265" s="6">
        <f t="shared" si="39"/>
        <v>45608.256041142311</v>
      </c>
      <c r="D265" s="6">
        <f>sunset(Lat,Long,B265)+TimeZone/24-0.000277777777777778</f>
        <v>45607.73534175106</v>
      </c>
      <c r="E265" s="6">
        <f>PlanetRiseSet(Lat,Long,B265,1,1)+TimeZone/24+0.00103009259259259</f>
        <v>45607.588873404697</v>
      </c>
      <c r="F265" s="6">
        <f>PlanetRiseSet(Lat,Long,B265+1,1,2)+TimeZone/24+0.00103009259259259</f>
        <v>45609.137319660898</v>
      </c>
      <c r="G265" s="17">
        <f>Panchanga!$C265-TimeZone/24</f>
        <v>45608.026874475647</v>
      </c>
      <c r="H265" s="13" t="str">
        <f>INT(P[[#This Row],[Sun]]/30)&amp;"s"&amp;ROUNDUP(MOD(P[[#This Row],[Sun]],30),2)</f>
        <v>6s25.92</v>
      </c>
      <c r="I265" s="13" t="str">
        <f>INT(P[[#This Row],[Moon]]/30)&amp;"s"&amp;ROUNDUP(MOD(P[[#This Row],[Moon]],30),2)</f>
        <v>11s2.29</v>
      </c>
      <c r="J265" s="14">
        <f t="shared" si="36"/>
        <v>45608.026874475647</v>
      </c>
      <c r="K265" s="10" t="str">
        <f>naks(P[[#This Row],[Moon]])</f>
        <v>Purva Bhadrapada</v>
      </c>
      <c r="L265" s="15">
        <f>(C266-P[[#This Row],[SunRise]])/(MOD(360+V266-P[[#This Row],[Moon]],360))*(13.3333333333333-MOD(P[[#This Row],[Moon]],13.333333333333))+P[[#This Row],[SunRise]]</f>
        <v>45608.327390777202</v>
      </c>
      <c r="M265" s="4" t="str">
        <f>IF(Panchanga!$R265&gt;15,"K","S")&amp;ROUNDUP(MOD(Panchanga!$R265,15),0)&amp;" ("&amp;ROUND(Panchanga!$R265,2)&amp;")"</f>
        <v>S11 (10.53)</v>
      </c>
      <c r="N265" s="4">
        <f>IF(AND(Panchanga!$R265&lt;28.5,Panchanga!$R265&gt;0.49999),MOD((Panchanga!$R265-0.5)*2,7),MOD((Panchanga!$R265+30-28.5),30)*2+7)</f>
        <v>6.0617999999999981</v>
      </c>
      <c r="O265" s="4" t="str">
        <f>CHOOSE(ROUNDUP(Panchanga!$N265,0),"Bhava","Baalava","Kaulava","Taitula","Garija","Vanija","Vishti","Shakuni","Chatushapda","Naaga","Kimstugna")</f>
        <v>Vishti</v>
      </c>
      <c r="P265" s="11" t="str">
        <f>CHOOSE(ROUNDUP(Panchanga!$S265,0),"viṣkambha","prīti","āyuṣmāna","saubhāgya","śobhana","atigaṇḍa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("&amp;Panchanga!$S265&amp;")"</f>
        <v>harṣaṇa (13.37)</v>
      </c>
      <c r="Q265" s="4">
        <f>IF(AND(Panchanga!$R265&lt;28.5,Panchanga!$R265&gt;0.49999),MOD((Panchanga!$R265-0.5)*2,7),MOD((Panchanga!$R265+30-28.5),30)*2+7)</f>
        <v>6.0617999999999981</v>
      </c>
      <c r="R265" s="4">
        <f>ROUNDUP(MOD(360+P[[#This Row],[Moon]]-P[[#This Row],[Sun]],360)/12,4)</f>
        <v>10.530899999999999</v>
      </c>
      <c r="S265" s="4">
        <f>ROUNDUP(MOD(P[[#This Row],[Sun]]+P[[#This Row],[Moon]],360)/13.333333333,2)</f>
        <v>13.37</v>
      </c>
      <c r="T265" s="4" t="str">
        <f>SIGN(W266-Panchanga!$W265)*INT(Panchanga!$W265/30+1)&amp;"Ma,"&amp;SIGN(X266-Panchanga!$X265)*INT(Panchanga!$X265/30+1)&amp;"Me,"&amp;SIGN(Y266-Panchanga!$Y265)*INT(Panchanga!$Y265/30+1)&amp;"J, "&amp;SIGN(Z266-Panchanga!$Z265)*INT(Panchanga!$Z265/30+1)&amp;"V,"&amp;SIGN(AA266-Panchanga!$AA265)*INT(Panchanga!$AA265/30+1)&amp;"S,"&amp;INT(Panchanga!$AB265/30+1)&amp;"R"</f>
        <v>4Ma,8Me,-2J, 9V,-11S,12R</v>
      </c>
      <c r="U265" s="4">
        <f t="shared" si="40"/>
        <v>205.91611046271893</v>
      </c>
      <c r="V265" s="4">
        <f t="shared" si="41"/>
        <v>332.28658724023563</v>
      </c>
      <c r="W265" s="4">
        <f>Planet(Panchanga!$G265,4)</f>
        <v>98.235940072793369</v>
      </c>
      <c r="X265" s="4">
        <f>Planet(Panchanga!$G265,2)</f>
        <v>227.86775407984604</v>
      </c>
      <c r="Y265" s="4">
        <f>Planet(Panchanga!$G265,5)</f>
        <v>55.292297122459544</v>
      </c>
      <c r="Z265" s="4">
        <f>Planet(Panchanga!$G265,3)</f>
        <v>246.10518662011413</v>
      </c>
      <c r="AA265" s="4">
        <f>Planet(Panchanga!$G265,6)</f>
        <v>318.50025387483447</v>
      </c>
      <c r="AB265" s="4">
        <f>Planet(Panchanga!$G265,10)</f>
        <v>339.93915702411488</v>
      </c>
      <c r="AC265" s="4" t="str">
        <f>TEXT(Panchanga!$C265+($C266-Panchanga!$C265)/ABS(IF($R266&lt;1,$R266+30,$R266)-Panchanga!$R265)*(ROUNDUP(Panchanga!$R265,0)-Panchanga!$R265),"hh:mm AM/PM")</f>
        <v>04:01 PM</v>
      </c>
      <c r="AD265" s="4"/>
    </row>
    <row r="266" spans="1:30" x14ac:dyDescent="0.2">
      <c r="A266" s="3">
        <f t="shared" si="37"/>
        <v>45609</v>
      </c>
      <c r="B266" s="3">
        <f t="shared" si="38"/>
        <v>45609.229166666664</v>
      </c>
      <c r="C266" s="6">
        <f t="shared" si="39"/>
        <v>45609.256327177551</v>
      </c>
      <c r="D266" s="6">
        <f>sunset(Lat,Long,B266)+TimeZone/24-0.000277777777777778</f>
        <v>45608.735235462475</v>
      </c>
      <c r="E266" s="6">
        <f>PlanetRiseSet(Lat,Long,B266,1,1)+TimeZone/24+0.00103009259259259</f>
        <v>45608.617975663547</v>
      </c>
      <c r="F266" s="6">
        <f>PlanetRiseSet(Lat,Long,B266+1,1,2)+TimeZone/24+0.00103009259259259</f>
        <v>45610.177954698134</v>
      </c>
      <c r="G266" s="17">
        <f>Panchanga!$C266-TimeZone/24</f>
        <v>45609.027160510886</v>
      </c>
      <c r="H266" s="13" t="str">
        <f>INT(P[[#This Row],[Sun]]/30)&amp;"s"&amp;ROUNDUP(MOD(P[[#This Row],[Sun]],30),2)</f>
        <v>6s26.93</v>
      </c>
      <c r="I266" s="13" t="str">
        <f>INT(P[[#This Row],[Moon]]/30)&amp;"s"&amp;ROUNDUP(MOD(P[[#This Row],[Moon]],30),2)</f>
        <v>11s16.97</v>
      </c>
      <c r="J266" s="14">
        <f t="shared" ref="J266:J329" si="42">G266</f>
        <v>45609.027160510886</v>
      </c>
      <c r="K266" s="10" t="str">
        <f>naks(P[[#This Row],[Moon]])</f>
        <v>Revati</v>
      </c>
      <c r="L266" s="15">
        <f>(C267-P[[#This Row],[SunRise]])/(MOD(360+V267-P[[#This Row],[Moon]],360))*(13.3333333333333-MOD(P[[#This Row],[Moon]],13.333333333333))+P[[#This Row],[SunRise]]</f>
        <v>45610.132249686292</v>
      </c>
      <c r="M266" s="4" t="str">
        <f>IF(Panchanga!$R266&gt;15,"K","S")&amp;ROUNDUP(MOD(Panchanga!$R266,15),0)&amp;" ("&amp;ROUND(Panchanga!$R266,2)&amp;")"</f>
        <v>S12 (11.67)</v>
      </c>
      <c r="N266" s="4">
        <f>IF(AND(Panchanga!$R266&lt;28.5,Panchanga!$R266&gt;0.49999),MOD((Panchanga!$R266-0.5)*2,7),MOD((Panchanga!$R266+30-28.5),30)*2+7)</f>
        <v>1.3399999999999999</v>
      </c>
      <c r="O266" s="4" t="str">
        <f>CHOOSE(ROUNDUP(Panchanga!$N266,0),"Bhava","Baalava","Kaulava","Taitula","Garija","Vanija","Vishti","Shakuni","Chatushapda","Naaga","Kimstugna")</f>
        <v>Baalava</v>
      </c>
      <c r="P266" s="11" t="str">
        <f>CHOOSE(ROUNDUP(Panchanga!$S266,0),"viṣkambha","prīti","āyuṣmāna","saubhāgya","śobhana","atigaṇḍa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("&amp;Panchanga!$S266&amp;")"</f>
        <v>vajra (14.55)</v>
      </c>
      <c r="Q266" s="4">
        <f>IF(AND(Panchanga!$R266&lt;28.5,Panchanga!$R266&gt;0.49999),MOD((Panchanga!$R266-0.5)*2,7),MOD((Panchanga!$R266+30-28.5),30)*2+7)</f>
        <v>1.3399999999999999</v>
      </c>
      <c r="R266" s="4">
        <f>ROUNDUP(MOD(360+P[[#This Row],[Moon]]-P[[#This Row],[Sun]],360)/12,4)</f>
        <v>11.67</v>
      </c>
      <c r="S266" s="4">
        <f>ROUNDUP(MOD(P[[#This Row],[Sun]]+P[[#This Row],[Moon]],360)/13.333333333,2)</f>
        <v>14.549999999999999</v>
      </c>
      <c r="T266" s="4" t="str">
        <f>SIGN(W267-Panchanga!$W266)*INT(Panchanga!$W266/30+1)&amp;"Ma,"&amp;SIGN(X267-Panchanga!$X266)*INT(Panchanga!$X266/30+1)&amp;"Me,"&amp;SIGN(Y267-Panchanga!$Y266)*INT(Panchanga!$Y266/30+1)&amp;"J, "&amp;SIGN(Z267-Panchanga!$Z266)*INT(Panchanga!$Z266/30+1)&amp;"V,"&amp;SIGN(AA267-Panchanga!$AA266)*INT(Panchanga!$AA266/30+1)&amp;"S,"&amp;INT(Panchanga!$AB266/30+1)&amp;"R"</f>
        <v>4Ma,8Me,-2J, 9V,-11S,12R</v>
      </c>
      <c r="U266" s="4">
        <f t="shared" si="40"/>
        <v>206.92218321609454</v>
      </c>
      <c r="V266" s="4">
        <f t="shared" si="41"/>
        <v>346.96144158174991</v>
      </c>
      <c r="W266" s="4">
        <f>Planet(Panchanga!$G266,4)</f>
        <v>98.509835111903286</v>
      </c>
      <c r="X266" s="4">
        <f>Planet(Panchanga!$G266,2)</f>
        <v>229.04745535071942</v>
      </c>
      <c r="Y266" s="4">
        <f>Planet(Panchanga!$G266,5)</f>
        <v>55.18721028058799</v>
      </c>
      <c r="Z266" s="4">
        <f>Planet(Panchanga!$G266,3)</f>
        <v>247.29756906681666</v>
      </c>
      <c r="AA266" s="4">
        <f>Planet(Panchanga!$G266,6)</f>
        <v>318.49481111107968</v>
      </c>
      <c r="AB266" s="4">
        <f>Planet(Panchanga!$G266,10)</f>
        <v>339.88614987970402</v>
      </c>
      <c r="AC266" s="4" t="str">
        <f>TEXT(Panchanga!$C266+($C267-Panchanga!$C266)/ABS(IF($R267&lt;1,$R267+30,$R267)-Panchanga!$R266)*(ROUNDUP(Panchanga!$R266,0)-Panchanga!$R266),"hh:mm AM/PM")</f>
        <v>12:59 PM</v>
      </c>
      <c r="AD266" s="4"/>
    </row>
    <row r="267" spans="1:30" x14ac:dyDescent="0.2">
      <c r="A267" s="3">
        <f t="shared" ref="A267:A330" si="43">A266+1</f>
        <v>45610</v>
      </c>
      <c r="B267" s="3">
        <f t="shared" si="38"/>
        <v>45610.229166666664</v>
      </c>
      <c r="C267" s="6">
        <f t="shared" si="39"/>
        <v>45610.256619602129</v>
      </c>
      <c r="D267" s="6">
        <f>sunset(Lat,Long,B267)+TimeZone/24-0.000277777777777778</f>
        <v>45609.735142030797</v>
      </c>
      <c r="E267" s="6">
        <f>PlanetRiseSet(Lat,Long,B267,1,1)+TimeZone/24+0.00103009259259259</f>
        <v>45609.647791426782</v>
      </c>
      <c r="F267" s="6">
        <f>PlanetRiseSet(Lat,Long,B267+1,1,2)+TimeZone/24+0.00103009259259259</f>
        <v>45611.220595549945</v>
      </c>
      <c r="G267" s="17">
        <f>Panchanga!$C267-TimeZone/24</f>
        <v>45610.027452935465</v>
      </c>
      <c r="H267" s="13" t="str">
        <f>INT(P[[#This Row],[Sun]]/30)&amp;"s"&amp;ROUNDUP(MOD(P[[#This Row],[Sun]],30),2)</f>
        <v>6s27.93</v>
      </c>
      <c r="I267" s="13" t="str">
        <f>INT(P[[#This Row],[Moon]]/30)&amp;"s"&amp;ROUNDUP(MOD(P[[#This Row],[Moon]],30),2)</f>
        <v>0s1.86</v>
      </c>
      <c r="J267" s="14">
        <f t="shared" si="42"/>
        <v>45610.027452935465</v>
      </c>
      <c r="K267" s="10" t="str">
        <f>naks(P[[#This Row],[Moon]])</f>
        <v>Aswini</v>
      </c>
      <c r="L267" s="15">
        <f>(C268-P[[#This Row],[SunRise]])/(MOD(360+V268-P[[#This Row],[Moon]],360))*(13.3333333333333-MOD(P[[#This Row],[Moon]],13.333333333333))+P[[#This Row],[SunRise]]</f>
        <v>45611.022781813546</v>
      </c>
      <c r="M267" s="4" t="str">
        <f>IF(Panchanga!$R267&gt;15,"K","S")&amp;ROUNDUP(MOD(Panchanga!$R267,15),0)&amp;" ("&amp;ROUND(Panchanga!$R267,2)&amp;")"</f>
        <v>S13 (12.83)</v>
      </c>
      <c r="N267" s="4">
        <f>IF(AND(Panchanga!$R267&lt;28.5,Panchanga!$R267&gt;0.49999),MOD((Panchanga!$R267-0.5)*2,7),MOD((Panchanga!$R267+30-28.5),30)*2+7)</f>
        <v>3.6538000000000004</v>
      </c>
      <c r="O267" s="4" t="str">
        <f>CHOOSE(ROUNDUP(Panchanga!$N267,0),"Bhava","Baalava","Kaulava","Taitula","Garija","Vanija","Vishti","Shakuni","Chatushapda","Naaga","Kimstugna")</f>
        <v>Taitula</v>
      </c>
      <c r="P267" s="11" t="str">
        <f>CHOOSE(ROUNDUP(Panchanga!$S267,0),"viṣkambha","prīti","āyuṣmāna","saubhāgya","śobhana","atigaṇḍa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("&amp;Panchanga!$S267&amp;")"</f>
        <v>siddhi (15.74)</v>
      </c>
      <c r="Q267" s="4">
        <f>IF(AND(Panchanga!$R267&lt;28.5,Panchanga!$R267&gt;0.49999),MOD((Panchanga!$R267-0.5)*2,7),MOD((Panchanga!$R267+30-28.5),30)*2+7)</f>
        <v>3.6538000000000004</v>
      </c>
      <c r="R267" s="4">
        <f>ROUNDUP(MOD(360+P[[#This Row],[Moon]]-P[[#This Row],[Sun]],360)/12,4)</f>
        <v>12.8269</v>
      </c>
      <c r="S267" s="4">
        <f>ROUNDUP(MOD(P[[#This Row],[Sun]]+P[[#This Row],[Moon]],360)/13.333333333,2)</f>
        <v>15.74</v>
      </c>
      <c r="T267" s="4" t="str">
        <f>SIGN(W268-Panchanga!$W267)*INT(Panchanga!$W267/30+1)&amp;"Ma,"&amp;SIGN(X268-Panchanga!$X267)*INT(Panchanga!$X267/30+1)&amp;"Me,"&amp;SIGN(Y268-Panchanga!$Y267)*INT(Panchanga!$Y267/30+1)&amp;"J, "&amp;SIGN(Z268-Panchanga!$Z267)*INT(Panchanga!$Z267/30+1)&amp;"V,"&amp;SIGN(AA268-Panchanga!$AA267)*INT(Panchanga!$AA267/30+1)&amp;"S,"&amp;INT(Panchanga!$AB267/30+1)&amp;"R"</f>
        <v>4Ma,8Me,-2J, 9V,-11S,12R</v>
      </c>
      <c r="U267" s="4">
        <f t="shared" si="40"/>
        <v>207.92866507234953</v>
      </c>
      <c r="V267" s="4">
        <f t="shared" si="41"/>
        <v>1.8513103577968595</v>
      </c>
      <c r="W267" s="4">
        <f>Planet(Panchanga!$G267,4)</f>
        <v>98.774903064342624</v>
      </c>
      <c r="X267" s="4">
        <f>Planet(Panchanga!$G267,2)</f>
        <v>230.18989137221018</v>
      </c>
      <c r="Y267" s="4">
        <f>Planet(Panchanga!$G267,5)</f>
        <v>55.079838018942297</v>
      </c>
      <c r="Z267" s="4">
        <f>Planet(Panchanga!$G267,3)</f>
        <v>248.48890728269726</v>
      </c>
      <c r="AA267" s="4">
        <f>Planet(Panchanga!$G267,6)</f>
        <v>318.49112049444807</v>
      </c>
      <c r="AB267" s="4">
        <f>Planet(Panchanga!$G267,10)</f>
        <v>339.83314239669579</v>
      </c>
      <c r="AC267" s="4" t="str">
        <f>TEXT(Panchanga!$C267+($C268-Panchanga!$C267)/ABS(IF($R268&lt;1,$R268+30,$R268)-Panchanga!$R267)*(ROUNDUP(Panchanga!$R267,0)-Panchanga!$R267),"hh:mm AM/PM")</f>
        <v>09:43 AM</v>
      </c>
      <c r="AD267" s="4"/>
    </row>
    <row r="268" spans="1:30" x14ac:dyDescent="0.2">
      <c r="A268" s="3">
        <f t="shared" si="43"/>
        <v>45611</v>
      </c>
      <c r="B268" s="3">
        <f t="shared" si="38"/>
        <v>45611.229166666664</v>
      </c>
      <c r="C268" s="6">
        <f t="shared" si="39"/>
        <v>45611.256918350853</v>
      </c>
      <c r="D268" s="6">
        <f>sunset(Lat,Long,B268)+TimeZone/24-0.000277777777777778</f>
        <v>45610.735061575237</v>
      </c>
      <c r="E268" s="6">
        <f>PlanetRiseSet(Lat,Long,B268,1,1)+TimeZone/24+0.00103009259259259</f>
        <v>45610.679435449805</v>
      </c>
      <c r="F268" s="6">
        <f>PlanetRiseSet(Lat,Long,B268+1,1,2)+TimeZone/24+0.00103009259259259</f>
        <v>45612.265349408299</v>
      </c>
      <c r="G268" s="17">
        <f>Panchanga!$C268-TimeZone/24</f>
        <v>45611.027751684189</v>
      </c>
      <c r="H268" s="13" t="str">
        <f>INT(P[[#This Row],[Sun]]/30)&amp;"s"&amp;ROUNDUP(MOD(P[[#This Row],[Sun]],30),2)</f>
        <v>6s28.94</v>
      </c>
      <c r="I268" s="13" t="str">
        <f>INT(P[[#This Row],[Moon]]/30)&amp;"s"&amp;ROUNDUP(MOD(P[[#This Row],[Moon]],30),2)</f>
        <v>0s16.85</v>
      </c>
      <c r="J268" s="14">
        <f t="shared" si="42"/>
        <v>45611.027751684189</v>
      </c>
      <c r="K268" s="10" t="str">
        <f>naks(P[[#This Row],[Moon]])</f>
        <v>Bharani</v>
      </c>
      <c r="L268" s="15">
        <f>(C269-P[[#This Row],[SunRise]])/(MOD(360+V269-P[[#This Row],[Moon]],360))*(13.3333333333333-MOD(P[[#This Row],[Moon]],13.333333333333))+P[[#This Row],[SunRise]]</f>
        <v>45611.914269246896</v>
      </c>
      <c r="M268" s="4" t="str">
        <f>IF(Panchanga!$R268&gt;15,"K","S")&amp;ROUNDUP(MOD(Panchanga!$R268,15),0)&amp;" ("&amp;ROUND(Panchanga!$R268,2)&amp;")"</f>
        <v>S14 (13.99)</v>
      </c>
      <c r="N268" s="4">
        <f>IF(AND(Panchanga!$R268&lt;28.5,Panchanga!$R268&gt;0.49999),MOD((Panchanga!$R268-0.5)*2,7),MOD((Panchanga!$R268+30-28.5),30)*2+7)</f>
        <v>5.9846000000000004</v>
      </c>
      <c r="O268" s="4" t="str">
        <f>CHOOSE(ROUNDUP(Panchanga!$N268,0),"Bhava","Baalava","Kaulava","Taitula","Garija","Vanija","Vishti","Shakuni","Chatushapda","Naaga","Kimstugna")</f>
        <v>Vanija</v>
      </c>
      <c r="P268" s="11" t="str">
        <f>CHOOSE(ROUNDUP(Panchanga!$S268,0),"viṣkambha","prīti","āyuṣmāna","saubhāgya","śobhana","atigaṇḍa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("&amp;Panchanga!$S268&amp;")"</f>
        <v>vyatipāta (16.94)</v>
      </c>
      <c r="Q268" s="4">
        <f>IF(AND(Panchanga!$R268&lt;28.5,Panchanga!$R268&gt;0.49999),MOD((Panchanga!$R268-0.5)*2,7),MOD((Panchanga!$R268+30-28.5),30)*2+7)</f>
        <v>5.9846000000000004</v>
      </c>
      <c r="R268" s="4">
        <f>ROUNDUP(MOD(360+P[[#This Row],[Moon]]-P[[#This Row],[Sun]],360)/12,4)</f>
        <v>13.9923</v>
      </c>
      <c r="S268" s="4">
        <f>ROUNDUP(MOD(P[[#This Row],[Sun]]+P[[#This Row],[Moon]],360)/13.333333333,2)</f>
        <v>16.940000000000001</v>
      </c>
      <c r="T268" s="4" t="str">
        <f>SIGN(W269-Panchanga!$W268)*INT(Panchanga!$W268/30+1)&amp;"Ma,"&amp;SIGN(X269-Panchanga!$X268)*INT(Panchanga!$X268/30+1)&amp;"Me,"&amp;SIGN(Y269-Panchanga!$Y268)*INT(Panchanga!$Y268/30+1)&amp;"J, "&amp;SIGN(Z269-Panchanga!$Z268)*INT(Panchanga!$Z268/30+1)&amp;"V,"&amp;SIGN(AA269-Panchanga!$AA268)*INT(Panchanga!$AA268/30+1)&amp;"S,"&amp;INT(Panchanga!$AB268/30+1)&amp;"R"</f>
        <v>4Ma,8Me,-2J, 9V,-11S,12R</v>
      </c>
      <c r="U268" s="4">
        <f t="shared" si="40"/>
        <v>208.93556851219861</v>
      </c>
      <c r="V268" s="4">
        <f t="shared" si="41"/>
        <v>16.84220007286288</v>
      </c>
      <c r="W268" s="4">
        <f>Planet(Panchanga!$G268,4)</f>
        <v>99.030968976719194</v>
      </c>
      <c r="X268" s="4">
        <f>Planet(Panchanga!$G268,2)</f>
        <v>231.29034212196515</v>
      </c>
      <c r="Y268" s="4">
        <f>Planet(Panchanga!$G268,5)</f>
        <v>54.970250121117793</v>
      </c>
      <c r="Z268" s="4">
        <f>Planet(Panchanga!$G268,3)</f>
        <v>249.67917360365018</v>
      </c>
      <c r="AA268" s="4">
        <f>Planet(Panchanga!$G268,6)</f>
        <v>318.48918355077666</v>
      </c>
      <c r="AB268" s="4">
        <f>Planet(Panchanga!$G268,10)</f>
        <v>339.78013457856986</v>
      </c>
      <c r="AC268" s="4" t="str">
        <f>TEXT(Panchanga!$C268+($C269-Panchanga!$C268)/ABS(IF($R269&lt;1,$R269+30,$R269)-Panchanga!$R268)*(ROUNDUP(Panchanga!$R268,0)-Panchanga!$R268),"hh:mm AM/PM")</f>
        <v>06:19 AM</v>
      </c>
      <c r="AD268" s="4"/>
    </row>
    <row r="269" spans="1:30" x14ac:dyDescent="0.2">
      <c r="A269" s="3">
        <f t="shared" si="43"/>
        <v>45612</v>
      </c>
      <c r="B269" s="3">
        <f t="shared" si="38"/>
        <v>45612.229166666664</v>
      </c>
      <c r="C269" s="6">
        <f t="shared" si="39"/>
        <v>45612.257223352943</v>
      </c>
      <c r="D269" s="6">
        <f>sunset(Lat,Long,B269)+TimeZone/24-0.000277777777777778</f>
        <v>45611.734994212209</v>
      </c>
      <c r="E269" s="6">
        <f>PlanetRiseSet(Lat,Long,B269,1,1)+TimeZone/24+0.00103009259259259</f>
        <v>45611.713917392459</v>
      </c>
      <c r="F269" s="6">
        <f>PlanetRiseSet(Lat,Long,B269+1,1,2)+TimeZone/24+0.00103009259259259</f>
        <v>45613.311353776757</v>
      </c>
      <c r="G269" s="17">
        <f>Panchanga!$C269-TimeZone/24</f>
        <v>45612.028056686278</v>
      </c>
      <c r="H269" s="13" t="str">
        <f>INT(P[[#This Row],[Sun]]/30)&amp;"s"&amp;ROUNDUP(MOD(P[[#This Row],[Sun]],30),2)</f>
        <v>6s29.95</v>
      </c>
      <c r="I269" s="13" t="str">
        <f>INT(P[[#This Row],[Moon]]/30)&amp;"s"&amp;ROUNDUP(MOD(P[[#This Row],[Moon]],30),2)</f>
        <v>1s1.8</v>
      </c>
      <c r="J269" s="14">
        <f t="shared" si="42"/>
        <v>45612.028056686278</v>
      </c>
      <c r="K269" s="10" t="str">
        <f>naks(P[[#This Row],[Moon]])</f>
        <v>Krittika</v>
      </c>
      <c r="L269" s="15">
        <f>(C270-P[[#This Row],[SunRise]])/(MOD(360+V270-P[[#This Row],[Moon]],360))*(13.3333333333333-MOD(P[[#This Row],[Moon]],13.333333333333))+P[[#This Row],[SunRise]]</f>
        <v>45612.813470060246</v>
      </c>
      <c r="M269" s="4" t="str">
        <f>IF(Panchanga!$R269&gt;15,"K","S")&amp;ROUNDUP(MOD(Panchanga!$R269,15),0)&amp;" ("&amp;ROUND(Panchanga!$R269,2)&amp;")"</f>
        <v>K1 (15.15)</v>
      </c>
      <c r="N269" s="4">
        <f>IF(AND(Panchanga!$R269&lt;28.5,Panchanga!$R269&gt;0.49999),MOD((Panchanga!$R269-0.5)*2,7),MOD((Panchanga!$R269+30-28.5),30)*2+7)</f>
        <v>1.3083999999999989</v>
      </c>
      <c r="O269" s="4" t="str">
        <f>CHOOSE(ROUNDUP(Panchanga!$N269,0),"Bhava","Baalava","Kaulava","Taitula","Garija","Vanija","Vishti","Shakuni","Chatushapda","Naaga","Kimstugna")</f>
        <v>Baalava</v>
      </c>
      <c r="P269" s="11" t="str">
        <f>CHOOSE(ROUNDUP(Panchanga!$S269,0),"viṣkambha","prīti","āyuṣmāna","saubhāgya","śobhana","atigaṇḍa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("&amp;Panchanga!$S269&amp;")"</f>
        <v>parigha (18.14)</v>
      </c>
      <c r="Q269" s="4">
        <f>IF(AND(Panchanga!$R269&lt;28.5,Panchanga!$R269&gt;0.49999),MOD((Panchanga!$R269-0.5)*2,7),MOD((Panchanga!$R269+30-28.5),30)*2+7)</f>
        <v>1.3083999999999989</v>
      </c>
      <c r="R269" s="4">
        <f>ROUNDUP(MOD(360+P[[#This Row],[Moon]]-P[[#This Row],[Sun]],360)/12,4)</f>
        <v>15.154199999999999</v>
      </c>
      <c r="S269" s="4">
        <f>ROUNDUP(MOD(P[[#This Row],[Sun]]+P[[#This Row],[Moon]],360)/13.333333333,2)</f>
        <v>18.14</v>
      </c>
      <c r="T269" s="4" t="str">
        <f>SIGN(W270-Panchanga!$W269)*INT(Panchanga!$W269/30+1)&amp;"Ma,"&amp;SIGN(X270-Panchanga!$X269)*INT(Panchanga!$X269/30+1)&amp;"Me,"&amp;SIGN(Y270-Panchanga!$Y269)*INT(Panchanga!$Y269/30+1)&amp;"J, "&amp;SIGN(Z270-Panchanga!$Z269)*INT(Panchanga!$Z269/30+1)&amp;"V,"&amp;SIGN(AA270-Panchanga!$AA269)*INT(Panchanga!$AA269/30+1)&amp;"S,"&amp;INT(Panchanga!$AB269/30+1)&amp;"R"</f>
        <v>4Ma,8Me,-2J, 9V,11S,12R</v>
      </c>
      <c r="U269" s="4">
        <f t="shared" si="40"/>
        <v>209.94290888729975</v>
      </c>
      <c r="V269" s="4">
        <f t="shared" si="41"/>
        <v>31.792302272102841</v>
      </c>
      <c r="W269" s="4">
        <f>Planet(Panchanga!$G269,4)</f>
        <v>99.277847246916338</v>
      </c>
      <c r="X269" s="4">
        <f>Planet(Panchanga!$G269,2)</f>
        <v>232.34341293351821</v>
      </c>
      <c r="Y269" s="4">
        <f>Planet(Panchanga!$G269,5)</f>
        <v>54.858517046672809</v>
      </c>
      <c r="Z269" s="4">
        <f>Planet(Panchanga!$G269,3)</f>
        <v>250.86834455117113</v>
      </c>
      <c r="AA269" s="4">
        <f>Planet(Panchanga!$G269,6)</f>
        <v>318.48900171622103</v>
      </c>
      <c r="AB269" s="4">
        <f>Planet(Panchanga!$G269,10)</f>
        <v>339.72712642907067</v>
      </c>
      <c r="AC269" s="4" t="str">
        <f>TEXT(Panchanga!$C269+($C270-Panchanga!$C269)/ABS(IF($R270&lt;1,$R270+30,$R270)-Panchanga!$R269)*(ROUNDUP(Panchanga!$R269,0)-Panchanga!$R269),"hh:mm AM/PM")</f>
        <v>11:53 PM</v>
      </c>
      <c r="AD269" s="4"/>
    </row>
    <row r="270" spans="1:30" x14ac:dyDescent="0.2">
      <c r="A270" s="3">
        <f t="shared" si="43"/>
        <v>45613</v>
      </c>
      <c r="B270" s="3">
        <f t="shared" si="38"/>
        <v>45613.229166666664</v>
      </c>
      <c r="C270" s="6">
        <f t="shared" si="39"/>
        <v>45613.257534524579</v>
      </c>
      <c r="D270" s="6">
        <f>sunset(Lat,Long,B270)+TimeZone/24-0.000277777777777778</f>
        <v>45612.734940051145</v>
      </c>
      <c r="E270" s="6">
        <f>PlanetRiseSet(Lat,Long,B270,1,1)+TimeZone/24+0.00103009259259259</f>
        <v>45612.751843704995</v>
      </c>
      <c r="F270" s="6">
        <f>PlanetRiseSet(Lat,Long,B270+1,1,2)+TimeZone/24+0.00103009259259259</f>
        <v>45614.356736560971</v>
      </c>
      <c r="G270" s="17">
        <f>Panchanga!$C270-TimeZone/24</f>
        <v>45613.028367857914</v>
      </c>
      <c r="H270" s="13" t="str">
        <f>INT(P[[#This Row],[Sun]]/30)&amp;"s"&amp;ROUNDUP(MOD(P[[#This Row],[Sun]],30),2)</f>
        <v>7s0.96</v>
      </c>
      <c r="I270" s="13" t="str">
        <f>INT(P[[#This Row],[Moon]]/30)&amp;"s"&amp;ROUNDUP(MOD(P[[#This Row],[Moon]],30),2)</f>
        <v>1s16.56</v>
      </c>
      <c r="J270" s="14">
        <f t="shared" si="42"/>
        <v>45613.028367857914</v>
      </c>
      <c r="K270" s="10" t="str">
        <f>naks(P[[#This Row],[Moon]])</f>
        <v>Rohini</v>
      </c>
      <c r="L270" s="15">
        <f>(C271-P[[#This Row],[SunRise]])/(MOD(360+V271-P[[#This Row],[Moon]],360))*(13.3333333333333-MOD(P[[#This Row],[Moon]],13.333333333333))+P[[#This Row],[SunRise]]</f>
        <v>45613.727344356928</v>
      </c>
      <c r="M270" s="4" t="str">
        <f>IF(Panchanga!$R270&gt;15,"K","S")&amp;ROUNDUP(MOD(Panchanga!$R270,15),0)&amp;" ("&amp;ROUND(Panchanga!$R270,2)&amp;")"</f>
        <v>K2 (16.3)</v>
      </c>
      <c r="N270" s="4">
        <f>IF(AND(Panchanga!$R270&lt;28.5,Panchanga!$R270&gt;0.49999),MOD((Panchanga!$R270-0.5)*2,7),MOD((Panchanga!$R270+30-28.5),30)*2+7)</f>
        <v>3.6004000000000005</v>
      </c>
      <c r="O270" s="4" t="str">
        <f>CHOOSE(ROUNDUP(Panchanga!$N270,0),"Bhava","Baalava","Kaulava","Taitula","Garija","Vanija","Vishti","Shakuni","Chatushapda","Naaga","Kimstugna")</f>
        <v>Taitula</v>
      </c>
      <c r="P270" s="11" t="str">
        <f>CHOOSE(ROUNDUP(Panchanga!$S270,0),"viṣkambha","prīti","āyuṣmāna","saubhāgya","śobhana","atigaṇḍa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("&amp;Panchanga!$S270&amp;")"</f>
        <v>śiva (19.32)</v>
      </c>
      <c r="Q270" s="4">
        <f>IF(AND(Panchanga!$R270&lt;28.5,Panchanga!$R270&gt;0.49999),MOD((Panchanga!$R270-0.5)*2,7),MOD((Panchanga!$R270+30-28.5),30)*2+7)</f>
        <v>3.6004000000000005</v>
      </c>
      <c r="R270" s="4">
        <f>ROUNDUP(MOD(360+P[[#This Row],[Moon]]-P[[#This Row],[Sun]],360)/12,4)</f>
        <v>16.3002</v>
      </c>
      <c r="S270" s="4">
        <f>ROUNDUP(MOD(P[[#This Row],[Sun]]+P[[#This Row],[Moon]],360)/13.333333333,2)</f>
        <v>19.32</v>
      </c>
      <c r="T270" s="4" t="str">
        <f>SIGN(W271-Panchanga!$W270)*INT(Panchanga!$W270/30+1)&amp;"Ma,"&amp;SIGN(X271-Panchanga!$X270)*INT(Panchanga!$X270/30+1)&amp;"Me,"&amp;SIGN(Y271-Panchanga!$Y270)*INT(Panchanga!$Y270/30+1)&amp;"J, "&amp;SIGN(Z271-Panchanga!$Z270)*INT(Panchanga!$Z270/30+1)&amp;"V,"&amp;SIGN(AA271-Panchanga!$AA270)*INT(Panchanga!$AA270/30+1)&amp;"S,"&amp;INT(Panchanga!$AB270/30+1)&amp;"R"</f>
        <v>4Ma,8Me,-2J, 9V,11S,12R</v>
      </c>
      <c r="U270" s="4">
        <f t="shared" si="40"/>
        <v>210.95070229067198</v>
      </c>
      <c r="V270" s="4">
        <f t="shared" si="41"/>
        <v>46.552392754991089</v>
      </c>
      <c r="W270" s="4">
        <f>Planet(Panchanga!$G270,4)</f>
        <v>99.515341524730161</v>
      </c>
      <c r="X270" s="4">
        <f>Planet(Panchanga!$G270,2)</f>
        <v>233.34295555529405</v>
      </c>
      <c r="Y270" s="4">
        <f>Planet(Panchanga!$G270,5)</f>
        <v>54.744710373173923</v>
      </c>
      <c r="Z270" s="4">
        <f>Planet(Panchanga!$G270,3)</f>
        <v>252.0563999164211</v>
      </c>
      <c r="AA270" s="4">
        <f>Planet(Panchanga!$G270,6)</f>
        <v>318.4905765302338</v>
      </c>
      <c r="AB270" s="4">
        <f>Planet(Panchanga!$G270,10)</f>
        <v>339.674117952622</v>
      </c>
      <c r="AC270" s="4" t="str">
        <f>TEXT(Panchanga!$C270+($C271-Panchanga!$C270)/ABS(IF($R271&lt;1,$R271+30,$R271)-Panchanga!$R270)*(ROUNDUP(Panchanga!$R270,0)-Panchanga!$R270),"hh:mm AM/PM")</f>
        <v>09:11 PM</v>
      </c>
      <c r="AD270" s="4"/>
    </row>
    <row r="271" spans="1:30" x14ac:dyDescent="0.2">
      <c r="A271" s="3">
        <f t="shared" si="43"/>
        <v>45614</v>
      </c>
      <c r="B271" s="3">
        <f t="shared" si="38"/>
        <v>45614.229166666664</v>
      </c>
      <c r="C271" s="6">
        <f t="shared" si="39"/>
        <v>45614.25785176285</v>
      </c>
      <c r="D271" s="6">
        <f>sunset(Lat,Long,B271)+TimeZone/24-0.000277777777777778</f>
        <v>45613.734899191695</v>
      </c>
      <c r="E271" s="6">
        <f>PlanetRiseSet(Lat,Long,B271,1,1)+TimeZone/24+0.00103009259259259</f>
        <v>45613.792982821971</v>
      </c>
      <c r="F271" s="6">
        <f>PlanetRiseSet(Lat,Long,B271+1,1,2)+TimeZone/24+0.00103009259259259</f>
        <v>45615.399307669293</v>
      </c>
      <c r="G271" s="17">
        <f>Panchanga!$C271-TimeZone/24</f>
        <v>45614.028685096186</v>
      </c>
      <c r="H271" s="13" t="str">
        <f>INT(P[[#This Row],[Sun]]/30)&amp;"s"&amp;ROUNDUP(MOD(P[[#This Row],[Sun]],30),2)</f>
        <v>7s1.96</v>
      </c>
      <c r="I271" s="13" t="str">
        <f>INT(P[[#This Row],[Moon]]/30)&amp;"s"&amp;ROUNDUP(MOD(P[[#This Row],[Moon]],30),2)</f>
        <v>2s1</v>
      </c>
      <c r="J271" s="14">
        <f t="shared" si="42"/>
        <v>45614.028685096186</v>
      </c>
      <c r="K271" s="10" t="str">
        <f>naks(P[[#This Row],[Moon]])</f>
        <v>Mrigashira</v>
      </c>
      <c r="L271" s="15">
        <f>(C272-P[[#This Row],[SunRise]])/(MOD(360+V272-P[[#This Row],[Moon]],360))*(13.3333333333333-MOD(P[[#This Row],[Moon]],13.333333333333))+P[[#This Row],[SunRise]]</f>
        <v>45614.662817016142</v>
      </c>
      <c r="M271" s="4" t="str">
        <f>IF(Panchanga!$R271&gt;15,"K","S")&amp;ROUNDUP(MOD(Panchanga!$R271,15),0)&amp;" ("&amp;ROUND(Panchanga!$R271,2)&amp;")"</f>
        <v>K3 (17.42)</v>
      </c>
      <c r="N271" s="4">
        <f>IF(AND(Panchanga!$R271&lt;28.5,Panchanga!$R271&gt;0.49999),MOD((Panchanga!$R271-0.5)*2,7),MOD((Panchanga!$R271+30-28.5),30)*2+7)</f>
        <v>5.8385999999999996</v>
      </c>
      <c r="O271" s="4" t="str">
        <f>CHOOSE(ROUNDUP(Panchanga!$N271,0),"Bhava","Baalava","Kaulava","Taitula","Garija","Vanija","Vishti","Shakuni","Chatushapda","Naaga","Kimstugna")</f>
        <v>Vanija</v>
      </c>
      <c r="P271" s="11" t="str">
        <f>CHOOSE(ROUNDUP(Panchanga!$S271,0),"viṣkambha","prīti","āyuṣmāna","saubhāgya","śobhana","atigaṇḍa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("&amp;Panchanga!$S271&amp;")"</f>
        <v>siddha (20.48)</v>
      </c>
      <c r="Q271" s="4">
        <f>IF(AND(Panchanga!$R271&lt;28.5,Panchanga!$R271&gt;0.49999),MOD((Panchanga!$R271-0.5)*2,7),MOD((Panchanga!$R271+30-28.5),30)*2+7)</f>
        <v>5.8385999999999996</v>
      </c>
      <c r="R271" s="4">
        <f>ROUNDUP(MOD(360+P[[#This Row],[Moon]]-P[[#This Row],[Sun]],360)/12,4)</f>
        <v>17.4193</v>
      </c>
      <c r="S271" s="4">
        <f>ROUNDUP(MOD(P[[#This Row],[Sun]]+P[[#This Row],[Moon]],360)/13.333333333,2)</f>
        <v>20.48</v>
      </c>
      <c r="T271" s="4" t="str">
        <f>SIGN(W272-Panchanga!$W271)*INT(Panchanga!$W271/30+1)&amp;"Ma,"&amp;SIGN(X272-Panchanga!$X271)*INT(Panchanga!$X271/30+1)&amp;"Me,"&amp;SIGN(Y272-Panchanga!$Y271)*INT(Panchanga!$Y271/30+1)&amp;"J, "&amp;SIGN(Z272-Panchanga!$Z271)*INT(Panchanga!$Z271/30+1)&amp;"V,"&amp;SIGN(AA272-Panchanga!$AA271)*INT(Panchanga!$AA271/30+1)&amp;"S,"&amp;INT(Panchanga!$AB271/30+1)&amp;"R"</f>
        <v>4Ma,8Me,-2J, 9V,11S,12R</v>
      </c>
      <c r="U271" s="4">
        <f t="shared" si="40"/>
        <v>211.95896342330079</v>
      </c>
      <c r="V271" s="4">
        <f t="shared" si="41"/>
        <v>60.990344634888693</v>
      </c>
      <c r="W271" s="4">
        <f>Planet(Panchanga!$G271,4)</f>
        <v>99.743245846908081</v>
      </c>
      <c r="X271" s="4">
        <f>Planet(Panchanga!$G271,2)</f>
        <v>234.28198820153227</v>
      </c>
      <c r="Y271" s="4">
        <f>Planet(Panchanga!$G271,5)</f>
        <v>54.628903380819693</v>
      </c>
      <c r="Z271" s="4">
        <f>Planet(Panchanga!$G271,3)</f>
        <v>253.24332124176598</v>
      </c>
      <c r="AA271" s="4">
        <f>Planet(Panchanga!$G271,6)</f>
        <v>318.49390970449087</v>
      </c>
      <c r="AB271" s="4">
        <f>Planet(Panchanga!$G271,10)</f>
        <v>339.62110915470828</v>
      </c>
      <c r="AC271" s="4" t="str">
        <f>TEXT(Panchanga!$C271+($C272-Panchanga!$C271)/ABS(IF($R272&lt;1,$R272+30,$R272)-Panchanga!$R271)*(ROUNDUP(Panchanga!$R271,0)-Panchanga!$R271),"hh:mm AM/PM")</f>
        <v>07:02 PM</v>
      </c>
      <c r="AD271" s="4"/>
    </row>
    <row r="272" spans="1:30" x14ac:dyDescent="0.2">
      <c r="A272" s="3">
        <f t="shared" si="43"/>
        <v>45615</v>
      </c>
      <c r="B272" s="3">
        <f t="shared" si="38"/>
        <v>45615.229166666664</v>
      </c>
      <c r="C272" s="6">
        <f t="shared" si="39"/>
        <v>45615.258174944356</v>
      </c>
      <c r="D272" s="6">
        <f>sunset(Lat,Long,B272)+TimeZone/24-0.000277777777777778</f>
        <v>45614.734871719076</v>
      </c>
      <c r="E272" s="6">
        <f>PlanetRiseSet(Lat,Long,B272,1,1)+TimeZone/24+0.00103009259259259</f>
        <v>45614.836015373621</v>
      </c>
      <c r="F272" s="6">
        <f>PlanetRiseSet(Lat,Long,B272+1,1,2)+TimeZone/24+0.00103009259259259</f>
        <v>45616.437579767931</v>
      </c>
      <c r="G272" s="17">
        <f>Panchanga!$C272-TimeZone/24</f>
        <v>45615.029008277692</v>
      </c>
      <c r="H272" s="13" t="str">
        <f>INT(P[[#This Row],[Sun]]/30)&amp;"s"&amp;ROUNDUP(MOD(P[[#This Row],[Sun]],30),2)</f>
        <v>7s2.97</v>
      </c>
      <c r="I272" s="13" t="str">
        <f>INT(P[[#This Row],[Moon]]/30)&amp;"s"&amp;ROUNDUP(MOD(P[[#This Row],[Moon]],30),2)</f>
        <v>2s15.02</v>
      </c>
      <c r="J272" s="14">
        <f t="shared" si="42"/>
        <v>45615.029008277692</v>
      </c>
      <c r="K272" s="10" t="str">
        <f>naks(P[[#This Row],[Moon]])</f>
        <v>Ardra</v>
      </c>
      <c r="L272" s="15">
        <f>(C273-P[[#This Row],[SunRise]])/(MOD(360+V273-P[[#This Row],[Moon]],360))*(13.3333333333333-MOD(P[[#This Row],[Moon]],13.333333333333))+P[[#This Row],[SunRise]]</f>
        <v>45615.626207909467</v>
      </c>
      <c r="M272" s="4" t="str">
        <f>IF(Panchanga!$R272&gt;15,"K","S")&amp;ROUNDUP(MOD(Panchanga!$R272,15),0)&amp;" ("&amp;ROUND(Panchanga!$R272,2)&amp;")"</f>
        <v>K4 (18.5)</v>
      </c>
      <c r="N272" s="4">
        <f>IF(AND(Panchanga!$R272&lt;28.5,Panchanga!$R272&gt;0.49999),MOD((Panchanga!$R272-0.5)*2,7),MOD((Panchanga!$R272+30-28.5),30)*2+7)</f>
        <v>1.007399999999997</v>
      </c>
      <c r="O272" s="4" t="str">
        <f>CHOOSE(ROUNDUP(Panchanga!$N272,0),"Bhava","Baalava","Kaulava","Taitula","Garija","Vanija","Vishti","Shakuni","Chatushapda","Naaga","Kimstugna")</f>
        <v>Baalava</v>
      </c>
      <c r="P272" s="11" t="str">
        <f>CHOOSE(ROUNDUP(Panchanga!$S272,0),"viṣkambha","prīti","āyuṣmāna","saubhāgya","śobhana","atigaṇḍa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("&amp;Panchanga!$S272&amp;")"</f>
        <v>sādhya (21.6)</v>
      </c>
      <c r="Q272" s="4">
        <f>IF(AND(Panchanga!$R272&lt;28.5,Panchanga!$R272&gt;0.49999),MOD((Panchanga!$R272-0.5)*2,7),MOD((Panchanga!$R272+30-28.5),30)*2+7)</f>
        <v>1.007399999999997</v>
      </c>
      <c r="R272" s="4">
        <f>ROUNDUP(MOD(360+P[[#This Row],[Moon]]-P[[#This Row],[Sun]],360)/12,4)</f>
        <v>18.503699999999998</v>
      </c>
      <c r="S272" s="4">
        <f>ROUNDUP(MOD(P[[#This Row],[Sun]]+P[[#This Row],[Moon]],360)/13.333333333,2)</f>
        <v>21.6</v>
      </c>
      <c r="T272" s="4" t="str">
        <f>SIGN(W273-Panchanga!$W272)*INT(Panchanga!$W272/30+1)&amp;"Ma,"&amp;SIGN(X273-Panchanga!$X272)*INT(Panchanga!$X272/30+1)&amp;"Me,"&amp;SIGN(Y273-Panchanga!$Y272)*INT(Panchanga!$Y272/30+1)&amp;"J, "&amp;SIGN(Z273-Panchanga!$Z272)*INT(Panchanga!$Z272/30+1)&amp;"V,"&amp;SIGN(AA273-Panchanga!$AA272)*INT(Panchanga!$AA272/30+1)&amp;"S,"&amp;INT(Panchanga!$AB272/30+1)&amp;"R"</f>
        <v>4Ma,8Me,-2J, 9V,11S,12R</v>
      </c>
      <c r="U272" s="4">
        <f t="shared" si="40"/>
        <v>212.96770392148295</v>
      </c>
      <c r="V272" s="4">
        <f t="shared" si="41"/>
        <v>75.011687127628505</v>
      </c>
      <c r="W272" s="4">
        <f>Planet(Panchanga!$G272,4)</f>
        <v>99.96134665125399</v>
      </c>
      <c r="X272" s="4">
        <f>Planet(Panchanga!$G272,2)</f>
        <v>235.15262009483575</v>
      </c>
      <c r="Y272" s="4">
        <f>Planet(Panchanga!$G272,5)</f>
        <v>54.51117162791887</v>
      </c>
      <c r="Z272" s="4">
        <f>Planet(Panchanga!$G272,3)</f>
        <v>254.42909010100436</v>
      </c>
      <c r="AA272" s="4">
        <f>Planet(Panchanga!$G272,6)</f>
        <v>318.49900307133987</v>
      </c>
      <c r="AB272" s="4">
        <f>Planet(Panchanga!$G272,10)</f>
        <v>339.568100041874</v>
      </c>
      <c r="AC272" s="4" t="str">
        <f>TEXT(Panchanga!$C272+($C273-Panchanga!$C272)/ABS(IF($R273&lt;1,$R273+30,$R273)-Panchanga!$R272)*(ROUNDUP(Panchanga!$R272,0)-Panchanga!$R272),"hh:mm AM/PM")</f>
        <v>05:35 PM</v>
      </c>
      <c r="AD272" s="4"/>
    </row>
    <row r="273" spans="1:30" x14ac:dyDescent="0.2">
      <c r="A273" s="3">
        <f t="shared" si="43"/>
        <v>45616</v>
      </c>
      <c r="B273" s="3">
        <f t="shared" si="38"/>
        <v>45616.229166666664</v>
      </c>
      <c r="C273" s="6">
        <f t="shared" si="39"/>
        <v>45616.258503919154</v>
      </c>
      <c r="D273" s="6">
        <f>sunset(Lat,Long,B273)+TimeZone/24-0.000277777777777778</f>
        <v>45615.734857699877</v>
      </c>
      <c r="E273" s="6">
        <f>PlanetRiseSet(Lat,Long,B273,1,1)+TimeZone/24+0.00103009259259259</f>
        <v>45615.878931881547</v>
      </c>
      <c r="F273" s="6">
        <f>PlanetRiseSet(Lat,Long,B273+1,1,2)+TimeZone/24+0.00103009259259259</f>
        <v>45617.471224942397</v>
      </c>
      <c r="G273" s="17">
        <f>Panchanga!$C273-TimeZone/24</f>
        <v>45616.02933725249</v>
      </c>
      <c r="H273" s="13" t="str">
        <f>INT(P[[#This Row],[Sun]]/30)&amp;"s"&amp;ROUNDUP(MOD(P[[#This Row],[Sun]],30),2)</f>
        <v>7s3.98</v>
      </c>
      <c r="I273" s="13" t="str">
        <f>INT(P[[#This Row],[Moon]]/30)&amp;"s"&amp;ROUNDUP(MOD(P[[#This Row],[Moon]],30),2)</f>
        <v>2s28.58</v>
      </c>
      <c r="J273" s="14">
        <f t="shared" si="42"/>
        <v>45616.02933725249</v>
      </c>
      <c r="K273" s="10" t="str">
        <f>naks(P[[#This Row],[Moon]])</f>
        <v>Punarvasu</v>
      </c>
      <c r="L273" s="15">
        <f>(C274-P[[#This Row],[SunRise]])/(MOD(360+V274-P[[#This Row],[Moon]],360))*(13.3333333333333-MOD(P[[#This Row],[Moon]],13.333333333333))+P[[#This Row],[SunRise]]</f>
        <v>45616.622316773864</v>
      </c>
      <c r="M273" s="4" t="str">
        <f>IF(Panchanga!$R273&gt;15,"K","S")&amp;ROUNDUP(MOD(Panchanga!$R273,15),0)&amp;" ("&amp;ROUND(Panchanga!$R273,2)&amp;")"</f>
        <v>K5 (19.55)</v>
      </c>
      <c r="N273" s="4">
        <f>IF(AND(Panchanga!$R273&lt;28.5,Panchanga!$R273&gt;0.49999),MOD((Panchanga!$R273-0.5)*2,7),MOD((Panchanga!$R273+30-28.5),30)*2+7)</f>
        <v>3.0989999999999966</v>
      </c>
      <c r="O273" s="4" t="str">
        <f>CHOOSE(ROUNDUP(Panchanga!$N273,0),"Bhava","Baalava","Kaulava","Taitula","Garija","Vanija","Vishti","Shakuni","Chatushapda","Naaga","Kimstugna")</f>
        <v>Taitula</v>
      </c>
      <c r="P273" s="11" t="str">
        <f>CHOOSE(ROUNDUP(Panchanga!$S273,0),"viṣkambha","prīti","āyuṣmāna","saubhāgya","śobhana","atigaṇḍa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("&amp;Panchanga!$S273&amp;")"</f>
        <v>śubha (22.7)</v>
      </c>
      <c r="Q273" s="4">
        <f>IF(AND(Panchanga!$R273&lt;28.5,Panchanga!$R273&gt;0.49999),MOD((Panchanga!$R273-0.5)*2,7),MOD((Panchanga!$R273+30-28.5),30)*2+7)</f>
        <v>3.0989999999999966</v>
      </c>
      <c r="R273" s="4">
        <f>ROUNDUP(MOD(360+P[[#This Row],[Moon]]-P[[#This Row],[Sun]],360)/12,4)</f>
        <v>19.549499999999998</v>
      </c>
      <c r="S273" s="4">
        <f>ROUNDUP(MOD(P[[#This Row],[Sun]]+P[[#This Row],[Moon]],360)/13.333333333,2)</f>
        <v>22.700000000000003</v>
      </c>
      <c r="T273" s="4" t="str">
        <f>SIGN(W274-Panchanga!$W273)*INT(Panchanga!$W273/30+1)&amp;"Ma,"&amp;SIGN(X274-Panchanga!$X273)*INT(Panchanga!$X273/30+1)&amp;"Me,"&amp;SIGN(Y274-Panchanga!$Y273)*INT(Panchanga!$Y273/30+1)&amp;"J, "&amp;SIGN(Z274-Panchanga!$Z273)*INT(Panchanga!$Z273/30+1)&amp;"V,"&amp;SIGN(AA274-Panchanga!$AA273)*INT(Panchanga!$AA273/30+1)&amp;"S,"&amp;INT(Panchanga!$AB273/30+1)&amp;"R"</f>
        <v>4Ma,8Me,-2J, 9V,11S,12R</v>
      </c>
      <c r="U273" s="4">
        <f t="shared" si="40"/>
        <v>213.97693137537075</v>
      </c>
      <c r="V273" s="4">
        <f t="shared" si="41"/>
        <v>88.570129915796713</v>
      </c>
      <c r="W273" s="4">
        <f>Planet(Panchanga!$G273,4)</f>
        <v>100.16942514615916</v>
      </c>
      <c r="X273" s="4">
        <f>Planet(Panchanga!$G273,2)</f>
        <v>235.94598865561684</v>
      </c>
      <c r="Y273" s="4">
        <f>Planet(Panchanga!$G273,5)</f>
        <v>54.391593397328528</v>
      </c>
      <c r="Z273" s="4">
        <f>Planet(Panchanga!$G273,3)</f>
        <v>255.61368654696773</v>
      </c>
      <c r="AA273" s="4">
        <f>Planet(Panchanga!$G273,6)</f>
        <v>318.50585844868584</v>
      </c>
      <c r="AB273" s="4">
        <f>Planet(Panchanga!$G273,10)</f>
        <v>339.51509062202268</v>
      </c>
      <c r="AC273" s="4" t="str">
        <f>TEXT(Panchanga!$C273+($C274-Panchanga!$C273)/ABS(IF($R274&lt;1,$R274+30,$R274)-Panchanga!$R273)*(ROUNDUP(Panchanga!$R273,0)-Panchanga!$R273),"hh:mm AM/PM")</f>
        <v>04:56 PM</v>
      </c>
      <c r="AD273" s="4"/>
    </row>
    <row r="274" spans="1:30" x14ac:dyDescent="0.2">
      <c r="A274" s="3">
        <f t="shared" si="43"/>
        <v>45617</v>
      </c>
      <c r="B274" s="3">
        <f t="shared" si="38"/>
        <v>45617.229166666664</v>
      </c>
      <c r="C274" s="6">
        <f t="shared" si="39"/>
        <v>45617.258838514485</v>
      </c>
      <c r="D274" s="6">
        <f>sunset(Lat,Long,B274)+TimeZone/24-0.000277777777777778</f>
        <v>45616.734857182062</v>
      </c>
      <c r="E274" s="6">
        <f>PlanetRiseSet(Lat,Long,B274,1,1)+TimeZone/24+0.00103009259259259</f>
        <v>45616.91994861063</v>
      </c>
      <c r="F274" s="6">
        <f>PlanetRiseSet(Lat,Long,B274+1,1,2)+TimeZone/24+0.00103009259259259</f>
        <v>45617.471224989429</v>
      </c>
      <c r="G274" s="17">
        <f>Panchanga!$C274-TimeZone/24</f>
        <v>45617.02967184782</v>
      </c>
      <c r="H274" s="13" t="str">
        <f>INT(P[[#This Row],[Sun]]/30)&amp;"s"&amp;ROUNDUP(MOD(P[[#This Row],[Sun]],30),2)</f>
        <v>7s4.99</v>
      </c>
      <c r="I274" s="13" t="str">
        <f>INT(P[[#This Row],[Moon]]/30)&amp;"s"&amp;ROUNDUP(MOD(P[[#This Row],[Moon]],30),2)</f>
        <v>3s11.67</v>
      </c>
      <c r="J274" s="14">
        <f t="shared" si="42"/>
        <v>45617.02967184782</v>
      </c>
      <c r="K274" s="10" t="str">
        <f>naks(P[[#This Row],[Moon]])</f>
        <v>Pushya</v>
      </c>
      <c r="L274" s="15">
        <f>(C275-P[[#This Row],[SunRise]])/(MOD(360+V275-P[[#This Row],[Moon]],360))*(13.3333333333333-MOD(P[[#This Row],[Moon]],13.333333333333))+P[[#This Row],[SunRise]]</f>
        <v>45617.653405046753</v>
      </c>
      <c r="M274" s="4" t="str">
        <f>IF(Panchanga!$R274&gt;15,"K","S")&amp;ROUNDUP(MOD(Panchanga!$R274,15),0)&amp;" ("&amp;ROUND(Panchanga!$R274,2)&amp;")"</f>
        <v>K6 (20.56)</v>
      </c>
      <c r="N274" s="4">
        <f>IF(AND(Panchanga!$R274&lt;28.5,Panchanga!$R274&gt;0.49999),MOD((Panchanga!$R274-0.5)*2,7),MOD((Panchanga!$R274+30-28.5),30)*2+7)</f>
        <v>5.1133999999999986</v>
      </c>
      <c r="O274" s="4" t="str">
        <f>CHOOSE(ROUNDUP(Panchanga!$N274,0),"Bhava","Baalava","Kaulava","Taitula","Garija","Vanija","Vishti","Shakuni","Chatushapda","Naaga","Kimstugna")</f>
        <v>Vanija</v>
      </c>
      <c r="P274" s="11" t="str">
        <f>CHOOSE(ROUNDUP(Panchanga!$S274,0),"viṣkambha","prīti","āyuṣmāna","saubhāgya","śobhana","atigaṇḍa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("&amp;Panchanga!$S274&amp;")"</f>
        <v>śukla (23.75)</v>
      </c>
      <c r="Q274" s="4">
        <f>IF(AND(Panchanga!$R274&lt;28.5,Panchanga!$R274&gt;0.49999),MOD((Panchanga!$R274-0.5)*2,7),MOD((Panchanga!$R274+30-28.5),30)*2+7)</f>
        <v>5.1133999999999986</v>
      </c>
      <c r="R274" s="4">
        <f>ROUNDUP(MOD(360+P[[#This Row],[Moon]]-P[[#This Row],[Sun]],360)/12,4)</f>
        <v>20.556699999999999</v>
      </c>
      <c r="S274" s="4">
        <f>ROUNDUP(MOD(P[[#This Row],[Sun]]+P[[#This Row],[Moon]],360)/13.333333333,2)</f>
        <v>23.75</v>
      </c>
      <c r="T274" s="4" t="str">
        <f>SIGN(W275-Panchanga!$W274)*INT(Panchanga!$W274/30+1)&amp;"Ma,"&amp;SIGN(X275-Panchanga!$X274)*INT(Panchanga!$X274/30+1)&amp;"Me,"&amp;SIGN(Y275-Panchanga!$Y274)*INT(Panchanga!$Y274/30+1)&amp;"J, "&amp;SIGN(Z275-Panchanga!$Z274)*INT(Panchanga!$Z274/30+1)&amp;"V,"&amp;SIGN(AA275-Panchanga!$AA274)*INT(Panchanga!$AA274/30+1)&amp;"S,"&amp;INT(Panchanga!$AB274/30+1)&amp;"R"</f>
        <v>4Ma,8Me,-2J, 9V,11S,12R</v>
      </c>
      <c r="U274" s="4">
        <f t="shared" si="40"/>
        <v>214.98664902577596</v>
      </c>
      <c r="V274" s="4">
        <f t="shared" si="41"/>
        <v>101.66696555942976</v>
      </c>
      <c r="W274" s="4">
        <f>Planet(Panchanga!$G274,4)</f>
        <v>100.36725957544553</v>
      </c>
      <c r="X274" s="4">
        <f>Planet(Panchanga!$G274,2)</f>
        <v>236.65222104321035</v>
      </c>
      <c r="Y274" s="4">
        <f>Planet(Panchanga!$G274,5)</f>
        <v>54.270249958556612</v>
      </c>
      <c r="Z274" s="4">
        <f>Planet(Panchanga!$G274,3)</f>
        <v>256.79708795826417</v>
      </c>
      <c r="AA274" s="4">
        <f>Planet(Panchanga!$G274,6)</f>
        <v>318.51447746057727</v>
      </c>
      <c r="AB274" s="4">
        <f>Planet(Panchanga!$G274,10)</f>
        <v>339.46208090433328</v>
      </c>
      <c r="AC274" s="4" t="str">
        <f>TEXT(Panchanga!$C274+($C275-Panchanga!$C274)/ABS(IF($R275&lt;1,$R275+30,$R275)-Panchanga!$R274)*(ROUNDUP(Panchanga!$R274,0)-Panchanga!$R274),"hh:mm AM/PM")</f>
        <v>05:09 PM</v>
      </c>
      <c r="AD274" s="4"/>
    </row>
    <row r="275" spans="1:30" x14ac:dyDescent="0.2">
      <c r="A275" s="3">
        <f t="shared" si="43"/>
        <v>45618</v>
      </c>
      <c r="B275" s="3">
        <f t="shared" si="38"/>
        <v>45618.229166666664</v>
      </c>
      <c r="C275" s="6">
        <f t="shared" si="39"/>
        <v>45618.259178533837</v>
      </c>
      <c r="D275" s="6">
        <f>sunset(Lat,Long,B275)+TimeZone/24-0.000277777777777778</f>
        <v>45617.73487019031</v>
      </c>
      <c r="E275" s="6">
        <f>PlanetRiseSet(Lat,Long,B275,1,1)+TimeZone/24+0.00103009259259259</f>
        <v>45617.958160745133</v>
      </c>
      <c r="F275" s="6">
        <f>PlanetRiseSet(Lat,Long,B275+1,1,2)+TimeZone/24+0.00103009259259259</f>
        <v>45618.500796764311</v>
      </c>
      <c r="G275" s="17">
        <f>Panchanga!$C275-TimeZone/24</f>
        <v>45618.030011867173</v>
      </c>
      <c r="H275" s="13" t="str">
        <f>INT(P[[#This Row],[Sun]]/30)&amp;"s"&amp;ROUNDUP(MOD(P[[#This Row],[Sun]],30),2)</f>
        <v>7s6</v>
      </c>
      <c r="I275" s="13" t="str">
        <f>INT(P[[#This Row],[Moon]]/30)&amp;"s"&amp;ROUNDUP(MOD(P[[#This Row],[Moon]],30),2)</f>
        <v>3s24.35</v>
      </c>
      <c r="J275" s="14">
        <f t="shared" si="42"/>
        <v>45618.030011867173</v>
      </c>
      <c r="K275" s="10" t="str">
        <f>naks(P[[#This Row],[Moon]])</f>
        <v>Aslesha</v>
      </c>
      <c r="L275" s="15">
        <f>(C276-P[[#This Row],[SunRise]])/(MOD(360+V276-P[[#This Row],[Moon]],360))*(13.3333333333333-MOD(P[[#This Row],[Moon]],13.333333333333))+P[[#This Row],[SunRise]]</f>
        <v>45618.718442380887</v>
      </c>
      <c r="M275" s="4" t="str">
        <f>IF(Panchanga!$R275&gt;15,"K","S")&amp;ROUNDUP(MOD(Panchanga!$R275,15),0)&amp;" ("&amp;ROUND(Panchanga!$R275,2)&amp;")"</f>
        <v>K7 (21.53)</v>
      </c>
      <c r="N275" s="4">
        <f>IF(AND(Panchanga!$R275&lt;28.5,Panchanga!$R275&gt;0.49999),MOD((Panchanga!$R275-0.5)*2,7),MOD((Panchanga!$R275+30-28.5),30)*2+7)</f>
        <v>5.7800000000000296E-2</v>
      </c>
      <c r="O275" s="4" t="str">
        <f>CHOOSE(ROUNDUP(Panchanga!$N275,0),"Bhava","Baalava","Kaulava","Taitula","Garija","Vanija","Vishti","Shakuni","Chatushapda","Naaga","Kimstugna")</f>
        <v>Bhava</v>
      </c>
      <c r="P275" s="11" t="str">
        <f>CHOOSE(ROUNDUP(Panchanga!$S275,0),"viṣkambha","prīti","āyuṣmāna","saubhāgya","śobhana","atigaṇḍa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("&amp;Panchanga!$S275&amp;")"</f>
        <v>brahma (24.78)</v>
      </c>
      <c r="Q275" s="4">
        <f>IF(AND(Panchanga!$R275&lt;28.5,Panchanga!$R275&gt;0.49999),MOD((Panchanga!$R275-0.5)*2,7),MOD((Panchanga!$R275+30-28.5),30)*2+7)</f>
        <v>5.7800000000000296E-2</v>
      </c>
      <c r="R275" s="4">
        <f>ROUNDUP(MOD(360+P[[#This Row],[Moon]]-P[[#This Row],[Sun]],360)/12,4)</f>
        <v>21.5289</v>
      </c>
      <c r="S275" s="4">
        <f>ROUNDUP(MOD(P[[#This Row],[Sun]]+P[[#This Row],[Moon]],360)/13.333333333,2)</f>
        <v>24.78</v>
      </c>
      <c r="T275" s="4" t="str">
        <f>SIGN(W276-Panchanga!$W275)*INT(Panchanga!$W275/30+1)&amp;"Ma,"&amp;SIGN(X276-Panchanga!$X275)*INT(Panchanga!$X275/30+1)&amp;"Me,"&amp;SIGN(Y276-Panchanga!$Y275)*INT(Panchanga!$Y275/30+1)&amp;"J, "&amp;SIGN(Z276-Panchanga!$Z275)*INT(Panchanga!$Z275/30+1)&amp;"V,"&amp;SIGN(AA276-Panchanga!$AA275)*INT(Panchanga!$AA275/30+1)&amp;"S,"&amp;INT(Panchanga!$AB275/30+1)&amp;"R"</f>
        <v>4Ma,8Me,-2J, 9V,11S,12R</v>
      </c>
      <c r="U275" s="4">
        <f t="shared" si="40"/>
        <v>215.99685594714904</v>
      </c>
      <c r="V275" s="4">
        <f t="shared" si="41"/>
        <v>114.34265062980768</v>
      </c>
      <c r="W275" s="4">
        <f>Planet(Panchanga!$G275,4)</f>
        <v>100.55462710999885</v>
      </c>
      <c r="X275" s="4">
        <f>Planet(Panchanga!$G275,2)</f>
        <v>237.26043650203229</v>
      </c>
      <c r="Y275" s="4">
        <f>Planet(Panchanga!$G275,5)</f>
        <v>54.147225655927009</v>
      </c>
      <c r="Z275" s="4">
        <f>Planet(Panchanga!$G275,3)</f>
        <v>257.97926832423792</v>
      </c>
      <c r="AA275" s="4">
        <f>Planet(Panchanga!$G275,6)</f>
        <v>318.52486137317771</v>
      </c>
      <c r="AB275" s="4">
        <f>Planet(Panchanga!$G275,10)</f>
        <v>339.40907089919449</v>
      </c>
      <c r="AC275" s="4" t="str">
        <f>TEXT(Panchanga!$C275+($C276-Panchanga!$C275)/ABS(IF($R276&lt;1,$R276+30,$R276)-Panchanga!$R275)*(ROUNDUP(Panchanga!$R275,0)-Panchanga!$R275),"hh:mm AM/PM")</f>
        <v>06:13 PM</v>
      </c>
      <c r="AD275" s="4"/>
    </row>
    <row r="276" spans="1:30" x14ac:dyDescent="0.2">
      <c r="A276" s="3">
        <f t="shared" si="43"/>
        <v>45619</v>
      </c>
      <c r="B276" s="3">
        <f t="shared" si="38"/>
        <v>45619.229166666664</v>
      </c>
      <c r="C276" s="6">
        <f t="shared" si="39"/>
        <v>45619.259523758818</v>
      </c>
      <c r="D276" s="6">
        <f>sunset(Lat,Long,B276)+TimeZone/24-0.000277777777777778</f>
        <v>45618.734896727881</v>
      </c>
      <c r="E276" s="6">
        <f>PlanetRiseSet(Lat,Long,B276,1,1)+TimeZone/24+0.00103009259259259</f>
        <v>45618.993547754049</v>
      </c>
      <c r="F276" s="6">
        <f>PlanetRiseSet(Lat,Long,B276+1,1,2)+TimeZone/24+0.00103009259259259</f>
        <v>45619.527241942626</v>
      </c>
      <c r="G276" s="17">
        <f>Panchanga!$C276-TimeZone/24</f>
        <v>45619.030357092153</v>
      </c>
      <c r="H276" s="13" t="str">
        <f>INT(P[[#This Row],[Sun]]/30)&amp;"s"&amp;ROUNDUP(MOD(P[[#This Row],[Sun]],30),2)</f>
        <v>7s7.01</v>
      </c>
      <c r="I276" s="13" t="str">
        <f>INT(P[[#This Row],[Moon]]/30)&amp;"s"&amp;ROUNDUP(MOD(P[[#This Row],[Moon]],30),2)</f>
        <v>4s6.67</v>
      </c>
      <c r="J276" s="14">
        <f t="shared" si="42"/>
        <v>45619.030357092153</v>
      </c>
      <c r="K276" s="10" t="str">
        <f>naks(P[[#This Row],[Moon]])</f>
        <v>Makha</v>
      </c>
      <c r="L276" s="15">
        <f>(C277-P[[#This Row],[SunRise]])/(MOD(360+V277-P[[#This Row],[Moon]],360))*(13.3333333333333-MOD(P[[#This Row],[Moon]],13.333333333333))+P[[#This Row],[SunRise]]</f>
        <v>45619.81292499353</v>
      </c>
      <c r="M276" s="4" t="str">
        <f>IF(Panchanga!$R276&gt;15,"K","S")&amp;ROUNDUP(MOD(Panchanga!$R276,15),0)&amp;" ("&amp;ROUND(Panchanga!$R276,2)&amp;")"</f>
        <v>K8 (22.47)</v>
      </c>
      <c r="N276" s="4">
        <f>IF(AND(Panchanga!$R276&lt;28.5,Panchanga!$R276&gt;0.49999),MOD((Panchanga!$R276-0.5)*2,7),MOD((Panchanga!$R276+30-28.5),30)*2+7)</f>
        <v>1.9429999999999978</v>
      </c>
      <c r="O276" s="4" t="str">
        <f>CHOOSE(ROUNDUP(Panchanga!$N276,0),"Bhava","Baalava","Kaulava","Taitula","Garija","Vanija","Vishti","Shakuni","Chatushapda","Naaga","Kimstugna")</f>
        <v>Baalava</v>
      </c>
      <c r="P276" s="11" t="str">
        <f>CHOOSE(ROUNDUP(Panchanga!$S276,0),"viṣkambha","prīti","āyuṣmāna","saubhāgya","śobhana","atigaṇḍa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("&amp;Panchanga!$S276&amp;")"</f>
        <v>mahendra (25.78)</v>
      </c>
      <c r="Q276" s="4">
        <f>IF(AND(Panchanga!$R276&lt;28.5,Panchanga!$R276&gt;0.49999),MOD((Panchanga!$R276-0.5)*2,7),MOD((Panchanga!$R276+30-28.5),30)*2+7)</f>
        <v>1.9429999999999978</v>
      </c>
      <c r="R276" s="4">
        <f>ROUNDUP(MOD(360+P[[#This Row],[Moon]]-P[[#This Row],[Sun]],360)/12,4)</f>
        <v>22.471499999999999</v>
      </c>
      <c r="S276" s="4">
        <f>ROUNDUP(MOD(P[[#This Row],[Sun]]+P[[#This Row],[Moon]],360)/13.333333333,2)</f>
        <v>25.78</v>
      </c>
      <c r="T276" s="4" t="str">
        <f>SIGN(W277-Panchanga!$W276)*INT(Panchanga!$W276/30+1)&amp;"Ma,"&amp;SIGN(X277-Panchanga!$X276)*INT(Panchanga!$X276/30+1)&amp;"Me,"&amp;SIGN(Y277-Panchanga!$Y276)*INT(Panchanga!$Y276/30+1)&amp;"J, "&amp;SIGN(Z277-Panchanga!$Z276)*INT(Panchanga!$Z276/30+1)&amp;"V,"&amp;SIGN(AA277-Panchanga!$AA276)*INT(Panchanga!$AA276/30+1)&amp;"S,"&amp;INT(Panchanga!$AB276/30+1)&amp;"R"</f>
        <v>4Ma,8Me,-2J, 9V,11S,12R</v>
      </c>
      <c r="U276" s="4">
        <f t="shared" si="40"/>
        <v>217.00754749215469</v>
      </c>
      <c r="V276" s="4">
        <f t="shared" si="41"/>
        <v>126.6652021758309</v>
      </c>
      <c r="W276" s="4">
        <f>Planet(Panchanga!$G276,4)</f>
        <v>100.7313053029406</v>
      </c>
      <c r="X276" s="4">
        <f>Planet(Panchanga!$G276,2)</f>
        <v>237.75881216381893</v>
      </c>
      <c r="Y276" s="4">
        <f>Planet(Panchanga!$G276,5)</f>
        <v>54.022607863778653</v>
      </c>
      <c r="Z276" s="4">
        <f>Planet(Panchanga!$G276,3)</f>
        <v>259.16019789609277</v>
      </c>
      <c r="AA276" s="4">
        <f>Planet(Panchanga!$G276,6)</f>
        <v>318.53701095319656</v>
      </c>
      <c r="AB276" s="4">
        <f>Planet(Panchanga!$G276,10)</f>
        <v>339.35606061823756</v>
      </c>
      <c r="AC276" s="4" t="str">
        <f>TEXT(Panchanga!$C276+($C277-Panchanga!$C276)/ABS(IF($R277&lt;1,$R277+30,$R277)-Panchanga!$R276)*(ROUNDUP(Panchanga!$R276,0)-Panchanga!$R276),"hh:mm AM/PM")</f>
        <v>08:01 PM</v>
      </c>
      <c r="AD276" s="4"/>
    </row>
    <row r="277" spans="1:30" x14ac:dyDescent="0.2">
      <c r="A277" s="3">
        <f t="shared" si="43"/>
        <v>45620</v>
      </c>
      <c r="B277" s="3">
        <f t="shared" si="38"/>
        <v>45620.229166666664</v>
      </c>
      <c r="C277" s="6">
        <f t="shared" si="39"/>
        <v>45620.259873948678</v>
      </c>
      <c r="D277" s="6">
        <f>sunset(Lat,Long,B277)+TimeZone/24-0.000277777777777778</f>
        <v>45619.734936776149</v>
      </c>
      <c r="E277" s="6">
        <f>PlanetRiseSet(Lat,Long,B277,1,1)+TimeZone/24+0.00103009259259259</f>
        <v>45620.0266394016</v>
      </c>
      <c r="F277" s="6">
        <f>PlanetRiseSet(Lat,Long,B277+1,1,2)+TimeZone/24+0.00103009259259259</f>
        <v>45620.551576145612</v>
      </c>
      <c r="G277" s="17">
        <f>Panchanga!$C277-TimeZone/24</f>
        <v>45620.030707282014</v>
      </c>
      <c r="H277" s="13" t="str">
        <f>INT(P[[#This Row],[Sun]]/30)&amp;"s"&amp;ROUNDUP(MOD(P[[#This Row],[Sun]],30),2)</f>
        <v>7s8.02</v>
      </c>
      <c r="I277" s="13" t="str">
        <f>INT(P[[#This Row],[Moon]]/30)&amp;"s"&amp;ROUNDUP(MOD(P[[#This Row],[Moon]],30),2)</f>
        <v>4s18.72</v>
      </c>
      <c r="J277" s="14">
        <f t="shared" si="42"/>
        <v>45620.030707282014</v>
      </c>
      <c r="K277" s="10" t="str">
        <f>naks(P[[#This Row],[Moon]])</f>
        <v>Purva Phalguni</v>
      </c>
      <c r="L277" s="15">
        <f>(C278-P[[#This Row],[SunRise]])/(MOD(360+V278-P[[#This Row],[Moon]],360))*(13.3333333333333-MOD(P[[#This Row],[Moon]],13.333333333333))+P[[#This Row],[SunRise]]</f>
        <v>45620.929394133818</v>
      </c>
      <c r="M277" s="4" t="str">
        <f>IF(Panchanga!$R277&gt;15,"K","S")&amp;ROUNDUP(MOD(Panchanga!$R277,15),0)&amp;" ("&amp;ROUND(Panchanga!$R277,2)&amp;")"</f>
        <v>K9 (23.39)</v>
      </c>
      <c r="N277" s="4">
        <f>IF(AND(Panchanga!$R277&lt;28.5,Panchanga!$R277&gt;0.49999),MOD((Panchanga!$R277-0.5)*2,7),MOD((Panchanga!$R277+30-28.5),30)*2+7)</f>
        <v>3.7834000000000003</v>
      </c>
      <c r="O277" s="4" t="str">
        <f>CHOOSE(ROUNDUP(Panchanga!$N277,0),"Bhava","Baalava","Kaulava","Taitula","Garija","Vanija","Vishti","Shakuni","Chatushapda","Naaga","Kimstugna")</f>
        <v>Taitula</v>
      </c>
      <c r="P277" s="11" t="str">
        <f>CHOOSE(ROUNDUP(Panchanga!$S277,0),"viṣkambha","prīti","āyuṣmāna","saubhāgya","śobhana","atigaṇḍa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("&amp;Panchanga!$S277&amp;")"</f>
        <v>vaidhṛti (26.76)</v>
      </c>
      <c r="Q277" s="4">
        <f>IF(AND(Panchanga!$R277&lt;28.5,Panchanga!$R277&gt;0.49999),MOD((Panchanga!$R277-0.5)*2,7),MOD((Panchanga!$R277+30-28.5),30)*2+7)</f>
        <v>3.7834000000000003</v>
      </c>
      <c r="R277" s="4">
        <f>ROUNDUP(MOD(360+P[[#This Row],[Moon]]-P[[#This Row],[Sun]],360)/12,4)</f>
        <v>23.3917</v>
      </c>
      <c r="S277" s="4">
        <f>ROUNDUP(MOD(P[[#This Row],[Sun]]+P[[#This Row],[Moon]],360)/13.333333333,2)</f>
        <v>26.76</v>
      </c>
      <c r="T277" s="4" t="str">
        <f>SIGN(W278-Panchanga!$W277)*INT(Panchanga!$W277/30+1)&amp;"Ma,"&amp;SIGN(X278-Panchanga!$X277)*INT(Panchanga!$X277/30+1)&amp;"Me,"&amp;SIGN(Y278-Panchanga!$Y277)*INT(Panchanga!$Y277/30+1)&amp;"J, "&amp;SIGN(Z278-Panchanga!$Z277)*INT(Panchanga!$Z277/30+1)&amp;"V,"&amp;SIGN(AA278-Panchanga!$AA277)*INT(Panchanga!$AA277/30+1)&amp;"S,"&amp;INT(Panchanga!$AB277/30+1)&amp;"R"</f>
        <v>4Ma,8Me,-2J, 9V,11S,12R</v>
      </c>
      <c r="U277" s="4">
        <f t="shared" si="40"/>
        <v>218.01871581924351</v>
      </c>
      <c r="V277" s="4">
        <f t="shared" si="41"/>
        <v>138.71878256387566</v>
      </c>
      <c r="W277" s="4">
        <f>Planet(Panchanga!$G277,4)</f>
        <v>100.89707315488991</v>
      </c>
      <c r="X277" s="4">
        <f>Planet(Panchanga!$G277,2)</f>
        <v>238.13474238174297</v>
      </c>
      <c r="Y277" s="4">
        <f>Planet(Panchanga!$G277,5)</f>
        <v>53.896486857505089</v>
      </c>
      <c r="Z277" s="4">
        <f>Planet(Panchanga!$G277,3)</f>
        <v>260.33984309435931</v>
      </c>
      <c r="AA277" s="4">
        <f>Planet(Panchanga!$G277,6)</f>
        <v>318.55092636571248</v>
      </c>
      <c r="AB277" s="4">
        <f>Planet(Panchanga!$G277,10)</f>
        <v>339.30305007415427</v>
      </c>
      <c r="AC277" s="4" t="str">
        <f>TEXT(Panchanga!$C277+($C278-Panchanga!$C277)/ABS(IF($R278&lt;1,$R278+30,$R278)-Panchanga!$R277)*(ROUNDUP(Panchanga!$R277,0)-Panchanga!$R277),"hh:mm AM/PM")</f>
        <v>10:22 PM</v>
      </c>
      <c r="AD277" s="4"/>
    </row>
    <row r="278" spans="1:30" x14ac:dyDescent="0.2">
      <c r="A278" s="3">
        <f t="shared" si="43"/>
        <v>45621</v>
      </c>
      <c r="B278" s="3">
        <f t="shared" si="38"/>
        <v>45621.229166666664</v>
      </c>
      <c r="C278" s="6">
        <f t="shared" si="39"/>
        <v>45621.26022884265</v>
      </c>
      <c r="D278" s="6">
        <f>sunset(Lat,Long,B278)+TimeZone/24-0.000277777777777778</f>
        <v>45620.734990294135</v>
      </c>
      <c r="E278" s="6">
        <f>PlanetRiseSet(Lat,Long,B278,1,1)+TimeZone/24+0.00103009259259259</f>
        <v>45621.058205404937</v>
      </c>
      <c r="F278" s="6">
        <f>PlanetRiseSet(Lat,Long,B278+1,1,2)+TimeZone/24+0.00103009259259259</f>
        <v>45621.574756514434</v>
      </c>
      <c r="G278" s="17">
        <f>Panchanga!$C278-TimeZone/24</f>
        <v>45621.031062175985</v>
      </c>
      <c r="H278" s="13" t="str">
        <f>INT(P[[#This Row],[Sun]]/30)&amp;"s"&amp;ROUNDUP(MOD(P[[#This Row],[Sun]],30),2)</f>
        <v>7s9.04</v>
      </c>
      <c r="I278" s="13" t="str">
        <f>INT(P[[#This Row],[Moon]]/30)&amp;"s"&amp;ROUNDUP(MOD(P[[#This Row],[Moon]],30),2)</f>
        <v>5s0.6</v>
      </c>
      <c r="J278" s="14">
        <f t="shared" si="42"/>
        <v>45621.031062175985</v>
      </c>
      <c r="K278" s="10" t="str">
        <f>naks(P[[#This Row],[Moon]])</f>
        <v>Uttara Phalguni</v>
      </c>
      <c r="L278" s="15">
        <f>(C279-P[[#This Row],[SunRise]])/(MOD(360+V279-P[[#This Row],[Moon]],360))*(13.3333333333333-MOD(P[[#This Row],[Moon]],13.333333333333))+P[[#This Row],[SunRise]]</f>
        <v>45622.058553093615</v>
      </c>
      <c r="M278" s="4" t="str">
        <f>IF(Panchanga!$R278&gt;15,"K","S")&amp;ROUNDUP(MOD(Panchanga!$R278,15),0)&amp;" ("&amp;ROUND(Panchanga!$R278,2)&amp;")"</f>
        <v>K10 (24.3)</v>
      </c>
      <c r="N278" s="4">
        <f>IF(AND(Panchanga!$R278&lt;28.5,Panchanga!$R278&gt;0.49999),MOD((Panchanga!$R278-0.5)*2,7),MOD((Panchanga!$R278+30-28.5),30)*2+7)</f>
        <v>5.5940000000000012</v>
      </c>
      <c r="O278" s="4" t="str">
        <f>CHOOSE(ROUNDUP(Panchanga!$N278,0),"Bhava","Baalava","Kaulava","Taitula","Garija","Vanija","Vishti","Shakuni","Chatushapda","Naaga","Kimstugna")</f>
        <v>Vanija</v>
      </c>
      <c r="P278" s="11" t="str">
        <f>CHOOSE(ROUNDUP(Panchanga!$S278,0),"viṣkambha","prīti","āyuṣmāna","saubhāgya","śobhana","atigaṇḍa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("&amp;Panchanga!$S278&amp;")"</f>
        <v>viṣkambha (0.73)</v>
      </c>
      <c r="Q278" s="4">
        <f>IF(AND(Panchanga!$R278&lt;28.5,Panchanga!$R278&gt;0.49999),MOD((Panchanga!$R278-0.5)*2,7),MOD((Panchanga!$R278+30-28.5),30)*2+7)</f>
        <v>5.5940000000000012</v>
      </c>
      <c r="R278" s="4">
        <f>ROUNDUP(MOD(360+P[[#This Row],[Moon]]-P[[#This Row],[Sun]],360)/12,4)</f>
        <v>24.297000000000001</v>
      </c>
      <c r="S278" s="4">
        <f>ROUNDUP(MOD(P[[#This Row],[Sun]]+P[[#This Row],[Moon]],360)/13.333333333,2)</f>
        <v>0.73</v>
      </c>
      <c r="T278" s="4" t="str">
        <f>SIGN(W279-Panchanga!$W278)*INT(Panchanga!$W278/30+1)&amp;"Ma,"&amp;SIGN(X279-Panchanga!$X278)*INT(Panchanga!$X278/30+1)&amp;"Me,"&amp;SIGN(Y279-Panchanga!$Y278)*INT(Panchanga!$Y278/30+1)&amp;"J, "&amp;SIGN(Z279-Panchanga!$Z278)*INT(Panchanga!$Z278/30+1)&amp;"V,"&amp;SIGN(AA279-Panchanga!$AA278)*INT(Panchanga!$AA278/30+1)&amp;"S,"&amp;INT(Panchanga!$AB278/30+1)&amp;"R"</f>
        <v>4Ma,8Me,-2J, 9V,11S,12R</v>
      </c>
      <c r="U278" s="4">
        <f t="shared" si="40"/>
        <v>219.03035039803777</v>
      </c>
      <c r="V278" s="4">
        <f t="shared" si="41"/>
        <v>150.59401042911131</v>
      </c>
      <c r="W278" s="4">
        <f>Planet(Panchanga!$G278,4)</f>
        <v>101.05171188873553</v>
      </c>
      <c r="X278" s="4">
        <f>Planet(Panchanga!$G278,2)</f>
        <v>238.37512949689037</v>
      </c>
      <c r="Y278" s="4">
        <f>Planet(Panchanga!$G278,5)</f>
        <v>53.768955641355468</v>
      </c>
      <c r="Z278" s="4">
        <f>Planet(Panchanga!$G278,3)</f>
        <v>261.51816658053735</v>
      </c>
      <c r="AA278" s="4">
        <f>Planet(Panchanga!$G278,6)</f>
        <v>318.5666071148022</v>
      </c>
      <c r="AB278" s="4">
        <f>Planet(Panchanga!$G278,10)</f>
        <v>339.25003928081264</v>
      </c>
      <c r="AC278" s="4" t="str">
        <f>TEXT(Panchanga!$C278+($C279-Panchanga!$C278)/ABS(IF($R279&lt;1,$R279+30,$R279)-Panchanga!$R278)*(ROUNDUP(Panchanga!$R278,0)-Panchanga!$R278),"hh:mm AM/PM")</f>
        <v>01:02 AM</v>
      </c>
      <c r="AD278" s="4"/>
    </row>
    <row r="279" spans="1:30" x14ac:dyDescent="0.2">
      <c r="A279" s="3">
        <f t="shared" si="43"/>
        <v>45622</v>
      </c>
      <c r="B279" s="3">
        <f t="shared" si="38"/>
        <v>45622.229166666664</v>
      </c>
      <c r="C279" s="6">
        <f t="shared" si="39"/>
        <v>45622.260588162731</v>
      </c>
      <c r="D279" s="6">
        <f>sunset(Lat,Long,B279)+TimeZone/24-0.000277777777777778</f>
        <v>45621.735057219907</v>
      </c>
      <c r="E279" s="6">
        <f>PlanetRiseSet(Lat,Long,B279,1,1)+TimeZone/24+0.00103009259259259</f>
        <v>45622.089078541067</v>
      </c>
      <c r="F279" s="6">
        <f>PlanetRiseSet(Lat,Long,B279+1,1,2)+TimeZone/24+0.00103009259259259</f>
        <v>45622.597667113565</v>
      </c>
      <c r="G279" s="17">
        <f>Panchanga!$C279-TimeZone/24</f>
        <v>45622.031421496067</v>
      </c>
      <c r="H279" s="13" t="str">
        <f>INT(P[[#This Row],[Sun]]/30)&amp;"s"&amp;ROUNDUP(MOD(P[[#This Row],[Sun]],30),2)</f>
        <v>7s10.05</v>
      </c>
      <c r="I279" s="13" t="str">
        <f>INT(P[[#This Row],[Moon]]/30)&amp;"s"&amp;ROUNDUP(MOD(P[[#This Row],[Moon]],30),2)</f>
        <v>5s12.39</v>
      </c>
      <c r="J279" s="14">
        <f t="shared" si="42"/>
        <v>45622.031421496067</v>
      </c>
      <c r="K279" s="10" t="str">
        <f>naks(P[[#This Row],[Moon]])</f>
        <v>Hasta</v>
      </c>
      <c r="L279" s="15">
        <f>(C280-P[[#This Row],[SunRise]])/(MOD(360+V280-P[[#This Row],[Moon]],360))*(13.3333333333333-MOD(P[[#This Row],[Moon]],13.333333333333))+P[[#This Row],[SunRise]]</f>
        <v>45623.190677445171</v>
      </c>
      <c r="M279" s="4" t="str">
        <f>IF(Panchanga!$R279&gt;15,"K","S")&amp;ROUNDUP(MOD(Panchanga!$R279,15),0)&amp;" ("&amp;ROUND(Panchanga!$R279,2)&amp;")"</f>
        <v>K11 (25.19)</v>
      </c>
      <c r="N279" s="4">
        <f>IF(AND(Panchanga!$R279&lt;28.5,Panchanga!$R279&gt;0.49999),MOD((Panchanga!$R279-0.5)*2,7),MOD((Panchanga!$R279+30-28.5),30)*2+7)</f>
        <v>0.38980000000000103</v>
      </c>
      <c r="O279" s="4" t="str">
        <f>CHOOSE(ROUNDUP(Panchanga!$N279,0),"Bhava","Baalava","Kaulava","Taitula","Garija","Vanija","Vishti","Shakuni","Chatushapda","Naaga","Kimstugna")</f>
        <v>Bhava</v>
      </c>
      <c r="P279" s="11" t="str">
        <f>CHOOSE(ROUNDUP(Panchanga!$S279,0),"viṣkambha","prīti","āyuṣmāna","saubhāgya","śobhana","atigaṇḍa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("&amp;Panchanga!$S279&amp;")"</f>
        <v>prīti (1.69)</v>
      </c>
      <c r="Q279" s="4">
        <f>IF(AND(Panchanga!$R279&lt;28.5,Panchanga!$R279&gt;0.49999),MOD((Panchanga!$R279-0.5)*2,7),MOD((Panchanga!$R279+30-28.5),30)*2+7)</f>
        <v>0.38980000000000103</v>
      </c>
      <c r="R279" s="4">
        <f>ROUNDUP(MOD(360+P[[#This Row],[Moon]]-P[[#This Row],[Sun]],360)/12,4)</f>
        <v>25.194900000000001</v>
      </c>
      <c r="S279" s="4">
        <f>ROUNDUP(MOD(P[[#This Row],[Sun]]+P[[#This Row],[Moon]],360)/13.333333333,2)</f>
        <v>1.69</v>
      </c>
      <c r="T279" s="4" t="str">
        <f>SIGN(W280-Panchanga!$W279)*INT(Panchanga!$W279/30+1)&amp;"Ma,"&amp;SIGN(X280-Panchanga!$X279)*INT(Panchanga!$X279/30+1)&amp;"Me,"&amp;SIGN(Y280-Panchanga!$Y279)*INT(Panchanga!$Y279/30+1)&amp;"J, "&amp;SIGN(Z280-Panchanga!$Z279)*INT(Panchanga!$Z279/30+1)&amp;"V,"&amp;SIGN(AA280-Panchanga!$AA279)*INT(Panchanga!$AA279/30+1)&amp;"S,"&amp;INT(Panchanga!$AB279/30+1)&amp;"R"</f>
        <v>4Ma,-8Me,-2J, 9V,11S,12R</v>
      </c>
      <c r="U279" s="4">
        <f t="shared" si="40"/>
        <v>220.04243842648589</v>
      </c>
      <c r="V279" s="4">
        <f t="shared" si="41"/>
        <v>162.38041090546616</v>
      </c>
      <c r="W279" s="4">
        <f>Planet(Panchanga!$G279,4)</f>
        <v>101.19500554557976</v>
      </c>
      <c r="X279" s="4">
        <f>Planet(Panchanga!$G279,2)</f>
        <v>238.46685034018103</v>
      </c>
      <c r="Y279" s="4">
        <f>Planet(Panchanga!$G279,5)</f>
        <v>53.640109758364709</v>
      </c>
      <c r="Z279" s="4">
        <f>Planet(Panchanga!$G279,3)</f>
        <v>262.6951274066115</v>
      </c>
      <c r="AA279" s="4">
        <f>Planet(Panchanga!$G279,6)</f>
        <v>318.58405200877337</v>
      </c>
      <c r="AB279" s="4">
        <f>Planet(Panchanga!$G279,10)</f>
        <v>339.19702825290921</v>
      </c>
      <c r="AC279" s="4" t="str">
        <f>TEXT(Panchanga!$C279+($C280-Panchanga!$C279)/ABS(IF($R280&lt;1,$R280+30,$R280)-Panchanga!$R279)*(ROUNDUP(Panchanga!$R279,0)-Panchanga!$R279),"hh:mm AM/PM")</f>
        <v>03:47 AM</v>
      </c>
      <c r="AD279" s="4"/>
    </row>
    <row r="280" spans="1:30" x14ac:dyDescent="0.2">
      <c r="A280" s="3">
        <f t="shared" si="43"/>
        <v>45623</v>
      </c>
      <c r="B280" s="3">
        <f t="shared" si="38"/>
        <v>45623.229166666664</v>
      </c>
      <c r="C280" s="6">
        <f t="shared" si="39"/>
        <v>45623.260951611366</v>
      </c>
      <c r="D280" s="6">
        <f>sunset(Lat,Long,B280)+TimeZone/24-0.000277777777777778</f>
        <v>45622.735137471507</v>
      </c>
      <c r="E280" s="6">
        <f>PlanetRiseSet(Lat,Long,B280,1,1)+TimeZone/24+0.00103009259259259</f>
        <v>45623.120076339379</v>
      </c>
      <c r="F280" s="6">
        <f>PlanetRiseSet(Lat,Long,B280+1,1,2)+TimeZone/24+0.00103009259259259</f>
        <v>45623.621146869998</v>
      </c>
      <c r="G280" s="17">
        <f>Panchanga!$C280-TimeZone/24</f>
        <v>45623.031784944702</v>
      </c>
      <c r="H280" s="13" t="str">
        <f>INT(P[[#This Row],[Sun]]/30)&amp;"s"&amp;ROUNDUP(MOD(P[[#This Row],[Sun]],30),2)</f>
        <v>7s11.06</v>
      </c>
      <c r="I280" s="13" t="str">
        <f>INT(P[[#This Row],[Moon]]/30)&amp;"s"&amp;ROUNDUP(MOD(P[[#This Row],[Moon]],30),2)</f>
        <v>5s24.17</v>
      </c>
      <c r="J280" s="14">
        <f t="shared" si="42"/>
        <v>45623.031784944702</v>
      </c>
      <c r="K280" s="10" t="str">
        <f>naks(P[[#This Row],[Moon]])</f>
        <v>Chitra</v>
      </c>
      <c r="L280" s="15">
        <f>(C281-P[[#This Row],[SunRise]])/(MOD(360+V281-P[[#This Row],[Moon]],360))*(13.3333333333333-MOD(P[[#This Row],[Moon]],13.333333333333))+P[[#This Row],[SunRise]]</f>
        <v>45624.316952315792</v>
      </c>
      <c r="M280" s="4" t="str">
        <f>IF(Panchanga!$R280&gt;15,"K","S")&amp;ROUNDUP(MOD(Panchanga!$R280,15),0)&amp;" ("&amp;ROUND(Panchanga!$R280,2)&amp;")"</f>
        <v>K12 (26.09)</v>
      </c>
      <c r="N280" s="4">
        <f>IF(AND(Panchanga!$R280&lt;28.5,Panchanga!$R280&gt;0.49999),MOD((Panchanga!$R280-0.5)*2,7),MOD((Panchanga!$R280+30-28.5),30)*2+7)</f>
        <v>2.1843999999999966</v>
      </c>
      <c r="O280" s="4" t="str">
        <f>CHOOSE(ROUNDUP(Panchanga!$N280,0),"Bhava","Baalava","Kaulava","Taitula","Garija","Vanija","Vishti","Shakuni","Chatushapda","Naaga","Kimstugna")</f>
        <v>Kaulava</v>
      </c>
      <c r="P280" s="11" t="str">
        <f>CHOOSE(ROUNDUP(Panchanga!$S280,0),"viṣkambha","prīti","āyuṣmāna","saubhāgya","śobhana","atigaṇḍa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("&amp;Panchanga!$S280&amp;")"</f>
        <v>āyuṣmāna (2.65)</v>
      </c>
      <c r="Q280" s="4">
        <f>IF(AND(Panchanga!$R280&lt;28.5,Panchanga!$R280&gt;0.49999),MOD((Panchanga!$R280-0.5)*2,7),MOD((Panchanga!$R280+30-28.5),30)*2+7)</f>
        <v>2.1843999999999966</v>
      </c>
      <c r="R280" s="4">
        <f>ROUNDUP(MOD(360+P[[#This Row],[Moon]]-P[[#This Row],[Sun]],360)/12,4)</f>
        <v>26.092199999999998</v>
      </c>
      <c r="S280" s="4">
        <f>ROUNDUP(MOD(P[[#This Row],[Sun]]+P[[#This Row],[Moon]],360)/13.333333333,2)</f>
        <v>2.65</v>
      </c>
      <c r="T280" s="4" t="str">
        <f>SIGN(W281-Panchanga!$W280)*INT(Panchanga!$W280/30+1)&amp;"Ma,"&amp;SIGN(X281-Panchanga!$X280)*INT(Panchanga!$X280/30+1)&amp;"Me,"&amp;SIGN(Y281-Panchanga!$Y280)*INT(Panchanga!$Y280/30+1)&amp;"J, "&amp;SIGN(Z281-Panchanga!$Z280)*INT(Panchanga!$Z280/30+1)&amp;"V,"&amp;SIGN(AA281-Panchanga!$AA280)*INT(Panchanga!$AA280/30+1)&amp;"S,"&amp;INT(Panchanga!$AB280/30+1)&amp;"R"</f>
        <v>4Ma,-8Me,-2J, 9V,11S,12R</v>
      </c>
      <c r="U280" s="4">
        <f t="shared" si="40"/>
        <v>221.05496510584067</v>
      </c>
      <c r="V280" s="4">
        <f t="shared" si="41"/>
        <v>174.16089634861544</v>
      </c>
      <c r="W280" s="4">
        <f>Planet(Panchanga!$G280,4)</f>
        <v>101.32674154052553</v>
      </c>
      <c r="X280" s="4">
        <f>Planet(Panchanga!$G280,2)</f>
        <v>238.39744459646533</v>
      </c>
      <c r="Y280" s="4">
        <f>Planet(Panchanga!$G280,5)</f>
        <v>53.510047112771332</v>
      </c>
      <c r="Z280" s="4">
        <f>Planet(Panchanga!$G280,3)</f>
        <v>263.87068114222603</v>
      </c>
      <c r="AA280" s="4">
        <f>Planet(Panchanga!$G280,6)</f>
        <v>318.60325915050424</v>
      </c>
      <c r="AB280" s="4">
        <f>Planet(Panchanga!$G280,10)</f>
        <v>339.14401700625064</v>
      </c>
      <c r="AC280" s="4" t="str">
        <f>TEXT(Panchanga!$C280+($C281-Panchanga!$C280)/ABS(IF($R281&lt;1,$R281+30,$R281)-Panchanga!$R280)*(ROUNDUP(Panchanga!$R280,0)-Panchanga!$R280),"hh:mm AM/PM")</f>
        <v>06:24 AM</v>
      </c>
      <c r="AD280" s="4"/>
    </row>
    <row r="281" spans="1:30" x14ac:dyDescent="0.2">
      <c r="A281" s="3">
        <f t="shared" si="43"/>
        <v>45624</v>
      </c>
      <c r="B281" s="3">
        <f t="shared" si="38"/>
        <v>45624.229166666664</v>
      </c>
      <c r="C281" s="6">
        <f t="shared" si="39"/>
        <v>45624.261318874698</v>
      </c>
      <c r="D281" s="6">
        <f>sunset(Lat,Long,B281)+TimeZone/24-0.000277777777777778</f>
        <v>45623.735230946026</v>
      </c>
      <c r="E281" s="6">
        <f>PlanetRiseSet(Lat,Long,B281,1,1)+TimeZone/24+0.00103009259259259</f>
        <v>45624.151960610099</v>
      </c>
      <c r="F281" s="6">
        <f>PlanetRiseSet(Lat,Long,B281+1,1,2)+TimeZone/24+0.00103009259259259</f>
        <v>45624.646018106643</v>
      </c>
      <c r="G281" s="17">
        <f>Panchanga!$C281-TimeZone/24</f>
        <v>45624.032152208034</v>
      </c>
      <c r="H281" s="13" t="str">
        <f>INT(P[[#This Row],[Sun]]/30)&amp;"s"&amp;ROUNDUP(MOD(P[[#This Row],[Sun]],30),2)</f>
        <v>7s12.07</v>
      </c>
      <c r="I281" s="13" t="str">
        <f>INT(P[[#This Row],[Moon]]/30)&amp;"s"&amp;ROUNDUP(MOD(P[[#This Row],[Moon]],30),2)</f>
        <v>6s6.01</v>
      </c>
      <c r="J281" s="14">
        <f t="shared" si="42"/>
        <v>45624.032152208034</v>
      </c>
      <c r="K281" s="10" t="str">
        <f>naks(P[[#This Row],[Moon]])</f>
        <v>Chitra</v>
      </c>
      <c r="L281" s="15">
        <f>(C282-P[[#This Row],[SunRise]])/(MOD(360+V282-P[[#This Row],[Moon]],360))*(13.3333333333333-MOD(P[[#This Row],[Moon]],13.333333333333))+P[[#This Row],[SunRise]]</f>
        <v>45624.316370076456</v>
      </c>
      <c r="M281" s="4" t="str">
        <f>IF(Panchanga!$R281&gt;15,"K","S")&amp;ROUNDUP(MOD(Panchanga!$R281,15),0)&amp;" ("&amp;ROUND(Panchanga!$R281,2)&amp;")"</f>
        <v>K12 (27)</v>
      </c>
      <c r="N281" s="4">
        <f>IF(AND(Panchanga!$R281&lt;28.5,Panchanga!$R281&gt;0.49999),MOD((Panchanga!$R281-0.5)*2,7),MOD((Panchanga!$R281+30-28.5),30)*2+7)</f>
        <v>3.990000000000002</v>
      </c>
      <c r="O281" s="4" t="str">
        <f>CHOOSE(ROUNDUP(Panchanga!$N281,0),"Bhava","Baalava","Kaulava","Taitula","Garija","Vanija","Vishti","Shakuni","Chatushapda","Naaga","Kimstugna")</f>
        <v>Taitula</v>
      </c>
      <c r="P281" s="11" t="str">
        <f>CHOOSE(ROUNDUP(Panchanga!$S281,0),"viṣkambha","prīti","āyuṣmāna","saubhāgya","śobhana","atigaṇḍa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("&amp;Panchanga!$S281&amp;")"</f>
        <v>saubhāgya (3.61)</v>
      </c>
      <c r="Q281" s="4">
        <f>IF(AND(Panchanga!$R281&lt;28.5,Panchanga!$R281&gt;0.49999),MOD((Panchanga!$R281-0.5)*2,7),MOD((Panchanga!$R281+30-28.5),30)*2+7)</f>
        <v>3.990000000000002</v>
      </c>
      <c r="R281" s="4">
        <f>ROUNDUP(MOD(360+P[[#This Row],[Moon]]-P[[#This Row],[Sun]],360)/12,4)</f>
        <v>26.995000000000001</v>
      </c>
      <c r="S281" s="4">
        <f>ROUNDUP(MOD(P[[#This Row],[Sun]]+P[[#This Row],[Moon]],360)/13.333333333,2)</f>
        <v>3.61</v>
      </c>
      <c r="T281" s="4" t="str">
        <f>SIGN(W282-Panchanga!$W281)*INT(Panchanga!$W281/30+1)&amp;"Ma,"&amp;SIGN(X282-Panchanga!$X281)*INT(Panchanga!$X281/30+1)&amp;"Me,"&amp;SIGN(Y282-Panchanga!$Y281)*INT(Panchanga!$Y281/30+1)&amp;"J, "&amp;SIGN(Z282-Panchanga!$Z281)*INT(Panchanga!$Z281/30+1)&amp;"V,"&amp;SIGN(AA282-Panchanga!$AA281)*INT(Panchanga!$AA281/30+1)&amp;"S,"&amp;INT(Panchanga!$AB281/30+1)&amp;"R"</f>
        <v>4Ma,-8Me,-2J, 9V,11S,12R</v>
      </c>
      <c r="U281" s="4">
        <f t="shared" si="40"/>
        <v>222.06791376911846</v>
      </c>
      <c r="V281" s="4">
        <f t="shared" si="41"/>
        <v>186.00782332179801</v>
      </c>
      <c r="W281" s="4">
        <f>Planet(Panchanga!$G281,4)</f>
        <v>101.4467113353757</v>
      </c>
      <c r="X281" s="4">
        <f>Planet(Panchanga!$G281,2)</f>
        <v>238.15606352465775</v>
      </c>
      <c r="Y281" s="4">
        <f>Planet(Panchanga!$G281,5)</f>
        <v>53.378867818158454</v>
      </c>
      <c r="Z281" s="4">
        <f>Planet(Panchanga!$G281,3)</f>
        <v>265.04477990114304</v>
      </c>
      <c r="AA281" s="4">
        <f>Planet(Panchanga!$G281,6)</f>
        <v>318.62422593169339</v>
      </c>
      <c r="AB281" s="4">
        <f>Planet(Panchanga!$G281,10)</f>
        <v>339.09100555743885</v>
      </c>
      <c r="AC281" s="4" t="str">
        <f>TEXT(Panchanga!$C281+($C282-Panchanga!$C281)/ABS(IF($R282&lt;1,$R282+30,$R282)-Panchanga!$R281)*(ROUNDUP(Panchanga!$R281,0)-Panchanga!$R281),"hh:mm AM/PM")</f>
        <v>06:24 AM</v>
      </c>
      <c r="AD281" s="4"/>
    </row>
    <row r="282" spans="1:30" x14ac:dyDescent="0.2">
      <c r="A282" s="3">
        <f t="shared" si="43"/>
        <v>45625</v>
      </c>
      <c r="B282" s="3">
        <f t="shared" si="38"/>
        <v>45625.229166666664</v>
      </c>
      <c r="C282" s="6">
        <f t="shared" si="39"/>
        <v>45625.261689621642</v>
      </c>
      <c r="D282" s="6">
        <f>sunset(Lat,Long,B282)+TimeZone/24-0.000277777777777778</f>
        <v>45624.735337518665</v>
      </c>
      <c r="E282" s="6">
        <f>PlanetRiseSet(Lat,Long,B282,1,1)+TimeZone/24+0.00103009259259259</f>
        <v>45625.185383151438</v>
      </c>
      <c r="F282" s="6">
        <f>PlanetRiseSet(Lat,Long,B282+1,1,2)+TimeZone/24+0.00103009259259259</f>
        <v>45625.6730842373</v>
      </c>
      <c r="G282" s="17">
        <f>Panchanga!$C282-TimeZone/24</f>
        <v>45625.032522954978</v>
      </c>
      <c r="H282" s="13" t="str">
        <f>INT(P[[#This Row],[Sun]]/30)&amp;"s"&amp;ROUNDUP(MOD(P[[#This Row],[Sun]],30),2)</f>
        <v>7s13.09</v>
      </c>
      <c r="I282" s="13" t="str">
        <f>INT(P[[#This Row],[Moon]]/30)&amp;"s"&amp;ROUNDUP(MOD(P[[#This Row],[Moon]],30),2)</f>
        <v>6s17.99</v>
      </c>
      <c r="J282" s="14">
        <f t="shared" si="42"/>
        <v>45625.032522954978</v>
      </c>
      <c r="K282" s="10" t="str">
        <f>naks(P[[#This Row],[Moon]])</f>
        <v>Swati</v>
      </c>
      <c r="L282" s="15">
        <f>(C283-P[[#This Row],[SunRise]])/(MOD(360+V283-P[[#This Row],[Moon]],360))*(13.3333333333333-MOD(P[[#This Row],[Moon]],13.333333333333))+P[[#This Row],[SunRise]]</f>
        <v>45625.428122572346</v>
      </c>
      <c r="M282" s="4" t="str">
        <f>IF(Panchanga!$R282&gt;15,"K","S")&amp;ROUNDUP(MOD(Panchanga!$R282,15),0)&amp;" ("&amp;ROUND(Panchanga!$R282,2)&amp;")"</f>
        <v>K13 (27.91)</v>
      </c>
      <c r="N282" s="4">
        <f>IF(AND(Panchanga!$R282&lt;28.5,Panchanga!$R282&gt;0.49999),MOD((Panchanga!$R282-0.5)*2,7),MOD((Panchanga!$R282+30-28.5),30)*2+7)</f>
        <v>5.8166000000000011</v>
      </c>
      <c r="O282" s="4" t="str">
        <f>CHOOSE(ROUNDUP(Panchanga!$N282,0),"Bhava","Baalava","Kaulava","Taitula","Garija","Vanija","Vishti","Shakuni","Chatushapda","Naaga","Kimstugna")</f>
        <v>Vanija</v>
      </c>
      <c r="P282" s="11" t="str">
        <f>CHOOSE(ROUNDUP(Panchanga!$S282,0),"viṣkambha","prīti","āyuṣmāna","saubhāgya","śobhana","atigaṇḍa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("&amp;Panchanga!$S282&amp;")"</f>
        <v>śobhana (4.58)</v>
      </c>
      <c r="Q282" s="4">
        <f>IF(AND(Panchanga!$R282&lt;28.5,Panchanga!$R282&gt;0.49999),MOD((Panchanga!$R282-0.5)*2,7),MOD((Panchanga!$R282+30-28.5),30)*2+7)</f>
        <v>5.8166000000000011</v>
      </c>
      <c r="R282" s="4">
        <f>ROUNDUP(MOD(360+P[[#This Row],[Moon]]-P[[#This Row],[Sun]],360)/12,4)</f>
        <v>27.908300000000001</v>
      </c>
      <c r="S282" s="4">
        <f>ROUNDUP(MOD(P[[#This Row],[Sun]]+P[[#This Row],[Moon]],360)/13.333333333,2)</f>
        <v>4.58</v>
      </c>
      <c r="T282" s="4" t="str">
        <f>SIGN(W283-Panchanga!$W282)*INT(Panchanga!$W282/30+1)&amp;"Ma,"&amp;SIGN(X283-Panchanga!$X282)*INT(Panchanga!$X282/30+1)&amp;"Me,"&amp;SIGN(Y283-Panchanga!$Y282)*INT(Panchanga!$Y282/30+1)&amp;"J, "&amp;SIGN(Z283-Panchanga!$Z282)*INT(Panchanga!$Z282/30+1)&amp;"V,"&amp;SIGN(AA283-Panchanga!$AA282)*INT(Panchanga!$AA282/30+1)&amp;"S,"&amp;INT(Panchanga!$AB282/30+1)&amp;"R"</f>
        <v>4Ma,-8Me,-2J, 9V,11S,12R</v>
      </c>
      <c r="U282" s="4">
        <f t="shared" si="40"/>
        <v>223.0812658870301</v>
      </c>
      <c r="V282" s="4">
        <f t="shared" si="41"/>
        <v>197.98008892054858</v>
      </c>
      <c r="W282" s="4">
        <f>Planet(Panchanga!$G282,4)</f>
        <v>101.55471135478973</v>
      </c>
      <c r="X282" s="4">
        <f>Planet(Panchanga!$G282,2)</f>
        <v>237.73469384610726</v>
      </c>
      <c r="Y282" s="4">
        <f>Planet(Panchanga!$G282,5)</f>
        <v>53.246674070676498</v>
      </c>
      <c r="Z282" s="4">
        <f>Planet(Panchanga!$G282,3)</f>
        <v>266.21737219276844</v>
      </c>
      <c r="AA282" s="4">
        <f>Planet(Panchanga!$G282,6)</f>
        <v>318.64694901976122</v>
      </c>
      <c r="AB282" s="4">
        <f>Planet(Panchanga!$G282,10)</f>
        <v>339.0379939240367</v>
      </c>
      <c r="AC282" s="4" t="str">
        <f>TEXT(Panchanga!$C282+($C283-Panchanga!$C282)/ABS(IF($R283&lt;1,$R283+30,$R283)-Panchanga!$R282)*(ROUNDUP(Panchanga!$R282,0)-Panchanga!$R282),"hh:mm AM/PM")</f>
        <v>08:39 AM</v>
      </c>
      <c r="AD282" s="4"/>
    </row>
    <row r="283" spans="1:30" x14ac:dyDescent="0.2">
      <c r="A283" s="3">
        <f t="shared" si="43"/>
        <v>45626</v>
      </c>
      <c r="B283" s="3">
        <f t="shared" si="38"/>
        <v>45626.229166666664</v>
      </c>
      <c r="C283" s="6">
        <f t="shared" si="39"/>
        <v>45626.262063502953</v>
      </c>
      <c r="D283" s="6">
        <f>sunset(Lat,Long,B283)+TimeZone/24-0.000277777777777778</f>
        <v>45625.735457045535</v>
      </c>
      <c r="E283" s="6">
        <f>PlanetRiseSet(Lat,Long,B283,1,1)+TimeZone/24+0.00103009259259259</f>
        <v>45626.220778162744</v>
      </c>
      <c r="F283" s="6">
        <f>PlanetRiseSet(Lat,Long,B283+1,1,2)+TimeZone/24+0.00103009259259259</f>
        <v>45626.703061770801</v>
      </c>
      <c r="G283" s="17">
        <f>Panchanga!$C283-TimeZone/24</f>
        <v>45626.032896836288</v>
      </c>
      <c r="H283" s="13" t="str">
        <f>INT(P[[#This Row],[Sun]]/30)&amp;"s"&amp;ROUNDUP(MOD(P[[#This Row],[Sun]],30),2)</f>
        <v>7s14.1</v>
      </c>
      <c r="I283" s="13" t="str">
        <f>INT(P[[#This Row],[Moon]]/30)&amp;"s"&amp;ROUNDUP(MOD(P[[#This Row],[Moon]],30),2)</f>
        <v>7s0.13</v>
      </c>
      <c r="J283" s="14">
        <f t="shared" si="42"/>
        <v>45626.032896836288</v>
      </c>
      <c r="K283" s="10" t="str">
        <f>naks(P[[#This Row],[Moon]])</f>
        <v>Visakha</v>
      </c>
      <c r="L283" s="15">
        <f>(C284-P[[#This Row],[SunRise]])/(MOD(360+V284-P[[#This Row],[Moon]],360))*(13.3333333333333-MOD(P[[#This Row],[Moon]],13.333333333333))+P[[#This Row],[SunRise]]</f>
        <v>45626.522535035307</v>
      </c>
      <c r="M283" s="4" t="str">
        <f>IF(Panchanga!$R283&gt;15,"K","S")&amp;ROUNDUP(MOD(Panchanga!$R283,15),0)&amp;" ("&amp;ROUND(Panchanga!$R283,2)&amp;")"</f>
        <v>K14 (28.84)</v>
      </c>
      <c r="N283" s="4">
        <f>IF(AND(Panchanga!$R283&lt;28.5,Panchanga!$R283&gt;0.49999),MOD((Panchanga!$R283-0.5)*2,7),MOD((Panchanga!$R283+30-28.5),30)*2+7)</f>
        <v>7.6711999999999989</v>
      </c>
      <c r="O283" s="4" t="str">
        <f>CHOOSE(ROUNDUP(Panchanga!$N283,0),"Bhava","Baalava","Kaulava","Taitula","Garija","Vanija","Vishti","Shakuni","Chatushapda","Naaga","Kimstugna")</f>
        <v>Shakuni</v>
      </c>
      <c r="P283" s="11" t="str">
        <f>CHOOSE(ROUNDUP(Panchanga!$S283,0),"viṣkambha","prīti","āyuṣmāna","saubhāgya","śobhana","atigaṇḍa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("&amp;Panchanga!$S283&amp;")"</f>
        <v>atigaṇḍa  (5.57)</v>
      </c>
      <c r="Q283" s="4">
        <f>IF(AND(Panchanga!$R283&lt;28.5,Panchanga!$R283&gt;0.49999),MOD((Panchanga!$R283-0.5)*2,7),MOD((Panchanga!$R283+30-28.5),30)*2+7)</f>
        <v>7.6711999999999989</v>
      </c>
      <c r="R283" s="4">
        <f>ROUNDUP(MOD(360+P[[#This Row],[Moon]]-P[[#This Row],[Sun]],360)/12,4)</f>
        <v>28.835599999999999</v>
      </c>
      <c r="S283" s="4">
        <f>ROUNDUP(MOD(P[[#This Row],[Sun]]+P[[#This Row],[Moon]],360)/13.333333333,2)</f>
        <v>5.5699999999999994</v>
      </c>
      <c r="T283" s="4" t="str">
        <f>SIGN(W284-Panchanga!$W283)*INT(Panchanga!$W283/30+1)&amp;"Ma,"&amp;SIGN(X284-Panchanga!$X283)*INT(Panchanga!$X283/30+1)&amp;"Me,"&amp;SIGN(Y284-Panchanga!$Y283)*INT(Panchanga!$Y283/30+1)&amp;"J, "&amp;SIGN(Z284-Panchanga!$Z283)*INT(Panchanga!$Z283/30+1)&amp;"V,"&amp;SIGN(AA284-Panchanga!$AA283)*INT(Panchanga!$AA283/30+1)&amp;"S,"&amp;INT(Panchanga!$AB283/30+1)&amp;"R"</f>
        <v>4Ma,-8Me,-2J, 9V,11S,12R</v>
      </c>
      <c r="U283" s="4">
        <f t="shared" si="40"/>
        <v>224.09500105386826</v>
      </c>
      <c r="V283" s="4">
        <f t="shared" si="41"/>
        <v>210.12111194480443</v>
      </c>
      <c r="W283" s="4">
        <f>Planet(Panchanga!$G283,4)</f>
        <v>101.65054417814618</v>
      </c>
      <c r="X283" s="4">
        <f>Planet(Panchanga!$G283,2)</f>
        <v>237.12962490043097</v>
      </c>
      <c r="Y283" s="4">
        <f>Planet(Panchanga!$G283,5)</f>
        <v>53.113570026364165</v>
      </c>
      <c r="Z283" s="4">
        <f>Planet(Panchanga!$G283,3)</f>
        <v>267.38840261640911</v>
      </c>
      <c r="AA283" s="4">
        <f>Planet(Panchanga!$G283,6)</f>
        <v>318.67142432814296</v>
      </c>
      <c r="AB283" s="4">
        <f>Planet(Panchanga!$G283,10)</f>
        <v>338.98498212451852</v>
      </c>
      <c r="AC283" s="4" t="str">
        <f>TEXT(Panchanga!$C283+($C284-Panchanga!$C283)/ABS(IF($R284&lt;1,$R284+30,$R284)-Panchanga!$R283)*(ROUNDUP(Panchanga!$R283,0)-Panchanga!$R283),"hh:mm AM/PM")</f>
        <v>10:28 AM</v>
      </c>
      <c r="AD283" s="4"/>
    </row>
    <row r="284" spans="1:30" x14ac:dyDescent="0.2">
      <c r="A284" s="3">
        <f t="shared" si="43"/>
        <v>45627</v>
      </c>
      <c r="B284" s="3">
        <f t="shared" si="38"/>
        <v>45627.229166666664</v>
      </c>
      <c r="C284" s="6">
        <f t="shared" si="39"/>
        <v>45627.262440154016</v>
      </c>
      <c r="D284" s="6">
        <f>sunset(Lat,Long,B284)+TimeZone/24-0.000277777777777778</f>
        <v>45626.735589360862</v>
      </c>
      <c r="E284" s="6">
        <f>PlanetRiseSet(Lat,Long,B284,1,1)+TimeZone/24+0.00103009259259259</f>
        <v>45627.258188696265</v>
      </c>
      <c r="F284" s="6">
        <f>PlanetRiseSet(Lat,Long,B284+1,1,2)+TimeZone/24+0.00103009259259259</f>
        <v>45627.73641388832</v>
      </c>
      <c r="G284" s="17">
        <f>Panchanga!$C284-TimeZone/24</f>
        <v>45627.033273487352</v>
      </c>
      <c r="H284" s="13" t="str">
        <f>INT(P[[#This Row],[Sun]]/30)&amp;"s"&amp;ROUNDUP(MOD(P[[#This Row],[Sun]],30),2)</f>
        <v>7s15.11</v>
      </c>
      <c r="I284" s="13" t="str">
        <f>INT(P[[#This Row],[Moon]]/30)&amp;"s"&amp;ROUNDUP(MOD(P[[#This Row],[Moon]],30),2)</f>
        <v>7s12.46</v>
      </c>
      <c r="J284" s="14">
        <f t="shared" si="42"/>
        <v>45627.033273487352</v>
      </c>
      <c r="K284" s="10" t="str">
        <f>naks(P[[#This Row],[Moon]])</f>
        <v>Anuradha</v>
      </c>
      <c r="L284" s="15">
        <f>(C285-P[[#This Row],[SunRise]])/(MOD(360+V285-P[[#This Row],[Moon]],360))*(13.3333333333333-MOD(P[[#This Row],[Moon]],13.333333333333))+P[[#This Row],[SunRise]]</f>
        <v>45627.598046353924</v>
      </c>
      <c r="M284" s="4" t="str">
        <f>IF(Panchanga!$R284&gt;15,"K","S")&amp;ROUNDUP(MOD(Panchanga!$R284,15),0)&amp;" ("&amp;ROUND(Panchanga!$R284,2)&amp;")"</f>
        <v>K15 (29.78)</v>
      </c>
      <c r="N284" s="4">
        <f>IF(AND(Panchanga!$R284&lt;28.5,Panchanga!$R284&gt;0.49999),MOD((Panchanga!$R284-0.5)*2,7),MOD((Panchanga!$R284+30-28.5),30)*2+7)</f>
        <v>9.5581999999999994</v>
      </c>
      <c r="O284" s="4" t="str">
        <f>CHOOSE(ROUNDUP(Panchanga!$N284,0),"Bhava","Baalava","Kaulava","Taitula","Garija","Vanija","Vishti","Shakuni","Chatushapda","Naaga","Kimstugna")</f>
        <v>Naaga</v>
      </c>
      <c r="P284" s="11" t="str">
        <f>CHOOSE(ROUNDUP(Panchanga!$S284,0),"viṣkambha","prīti","āyuṣmāna","saubhāgya","śobhana","atigaṇḍa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("&amp;Panchanga!$S284&amp;")"</f>
        <v>sukarmā  (6.57)</v>
      </c>
      <c r="Q284" s="4">
        <f>IF(AND(Panchanga!$R284&lt;28.5,Panchanga!$R284&gt;0.49999),MOD((Panchanga!$R284-0.5)*2,7),MOD((Panchanga!$R284+30-28.5),30)*2+7)</f>
        <v>9.5581999999999994</v>
      </c>
      <c r="R284" s="4">
        <f>ROUNDUP(MOD(360+P[[#This Row],[Moon]]-P[[#This Row],[Sun]],360)/12,4)</f>
        <v>29.7791</v>
      </c>
      <c r="S284" s="4">
        <f>ROUNDUP(MOD(P[[#This Row],[Sun]]+P[[#This Row],[Moon]],360)/13.333333333,2)</f>
        <v>6.5699999999999994</v>
      </c>
      <c r="T284" s="4" t="str">
        <f>SIGN(W285-Panchanga!$W284)*INT(Panchanga!$W284/30+1)&amp;"Ma,"&amp;SIGN(X285-Panchanga!$X284)*INT(Panchanga!$X284/30+1)&amp;"Me,"&amp;SIGN(Y285-Panchanga!$Y284)*INT(Panchanga!$Y284/30+1)&amp;"J, "&amp;SIGN(Z285-Panchanga!$Z284)*INT(Panchanga!$Z284/30+1)&amp;"V,"&amp;SIGN(AA285-Panchanga!$AA284)*INT(Panchanga!$AA284/30+1)&amp;"S,"&amp;INT(Panchanga!$AB284/30+1)&amp;"R"</f>
        <v>4Ma,-8Me,-2J, 9V,11S,12R</v>
      </c>
      <c r="U284" s="4">
        <f t="shared" si="40"/>
        <v>225.1090970750536</v>
      </c>
      <c r="V284" s="4">
        <f t="shared" si="41"/>
        <v>222.45808883460992</v>
      </c>
      <c r="W284" s="4">
        <f>Planet(Panchanga!$G284,4)</f>
        <v>101.73401990772578</v>
      </c>
      <c r="X284" s="4">
        <f>Planet(Panchanga!$G284,2)</f>
        <v>236.34305333523281</v>
      </c>
      <c r="Y284" s="4">
        <f>Planet(Panchanga!$G284,5)</f>
        <v>52.979661644879464</v>
      </c>
      <c r="Z284" s="4">
        <f>Planet(Panchanga!$G284,3)</f>
        <v>268.55781148520225</v>
      </c>
      <c r="AA284" s="4">
        <f>Planet(Panchanga!$G284,6)</f>
        <v>318.69764696165845</v>
      </c>
      <c r="AB284" s="4">
        <f>Planet(Panchanga!$G284,10)</f>
        <v>338.93197017825304</v>
      </c>
      <c r="AC284" s="4" t="str">
        <f>TEXT(Panchanga!$C284+($C285-Panchanga!$C284)/ABS(IF($R285&lt;1,$R285+30,$R285)-Panchanga!$R284)*(ROUNDUP(Panchanga!$R284,0)-Panchanga!$R284),"hh:mm AM/PM")</f>
        <v>11:49 AM</v>
      </c>
      <c r="AD284" s="4"/>
    </row>
    <row r="285" spans="1:30" x14ac:dyDescent="0.2">
      <c r="A285" s="3">
        <f t="shared" si="43"/>
        <v>45628</v>
      </c>
      <c r="B285" s="3">
        <f t="shared" si="38"/>
        <v>45628.229166666664</v>
      </c>
      <c r="C285" s="6">
        <f t="shared" si="39"/>
        <v>45628.262819193456</v>
      </c>
      <c r="D285" s="6">
        <f>sunset(Lat,Long,B285)+TimeZone/24-0.000277777777777778</f>
        <v>45627.735734277449</v>
      </c>
      <c r="E285" s="6">
        <f>PlanetRiseSet(Lat,Long,B285,1,1)+TimeZone/24+0.00103009259259259</f>
        <v>45628.297086652055</v>
      </c>
      <c r="F285" s="6">
        <f>PlanetRiseSet(Lat,Long,B285+1,1,2)+TimeZone/24+0.00103009259259259</f>
        <v>45628.7731031316</v>
      </c>
      <c r="G285" s="17">
        <f>Panchanga!$C285-TimeZone/24</f>
        <v>45628.033652526792</v>
      </c>
      <c r="H285" s="13" t="str">
        <f>INT(P[[#This Row],[Sun]]/30)&amp;"s"&amp;ROUNDUP(MOD(P[[#This Row],[Sun]],30),2)</f>
        <v>7s16.13</v>
      </c>
      <c r="I285" s="13" t="str">
        <f>INT(P[[#This Row],[Moon]]/30)&amp;"s"&amp;ROUNDUP(MOD(P[[#This Row],[Moon]],30),2)</f>
        <v>7s25.01</v>
      </c>
      <c r="J285" s="14">
        <f t="shared" si="42"/>
        <v>45628.033652526792</v>
      </c>
      <c r="K285" s="10" t="str">
        <f>naks(P[[#This Row],[Moon]])</f>
        <v>Jyestha</v>
      </c>
      <c r="L285" s="15">
        <f>(C286-P[[#This Row],[SunRise]])/(MOD(360+V286-P[[#This Row],[Moon]],360))*(13.3333333333333-MOD(P[[#This Row],[Moon]],13.333333333333))+P[[#This Row],[SunRise]]</f>
        <v>45628.654793712813</v>
      </c>
      <c r="M285" s="4" t="str">
        <f>IF(Panchanga!$R285&gt;15,"K","S")&amp;ROUNDUP(MOD(Panchanga!$R285,15),0)&amp;" ("&amp;ROUND(Panchanga!$R285,2)&amp;")"</f>
        <v>S1 (0.74)</v>
      </c>
      <c r="N285" s="4">
        <f>IF(AND(Panchanga!$R285&lt;28.5,Panchanga!$R285&gt;0.49999),MOD((Panchanga!$R285-0.5)*2,7),MOD((Panchanga!$R285+30-28.5),30)*2+7)</f>
        <v>0.48</v>
      </c>
      <c r="O285" s="4" t="str">
        <f>CHOOSE(ROUNDUP(Panchanga!$N285,0),"Bhava","Baalava","Kaulava","Taitula","Garija","Vanija","Vishti","Shakuni","Chatushapda","Naaga","Kimstugna")</f>
        <v>Bhava</v>
      </c>
      <c r="P285" s="11" t="str">
        <f>CHOOSE(ROUNDUP(Panchanga!$S285,0),"viṣkambha","prīti","āyuṣmāna","saubhāgya","śobhana","atigaṇḍa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("&amp;Panchanga!$S285&amp;")"</f>
        <v>dhṛti  (7.59)</v>
      </c>
      <c r="Q285" s="4">
        <f>IF(AND(Panchanga!$R285&lt;28.5,Panchanga!$R285&gt;0.49999),MOD((Panchanga!$R285-0.5)*2,7),MOD((Panchanga!$R285+30-28.5),30)*2+7)</f>
        <v>0.48</v>
      </c>
      <c r="R285" s="4">
        <f>ROUNDUP(MOD(360+P[[#This Row],[Moon]]-P[[#This Row],[Sun]],360)/12,4)</f>
        <v>0.74</v>
      </c>
      <c r="S285" s="4">
        <f>ROUNDUP(MOD(P[[#This Row],[Sun]]+P[[#This Row],[Moon]],360)/13.333333333,2)</f>
        <v>7.59</v>
      </c>
      <c r="T285" s="4" t="str">
        <f>SIGN(W286-Panchanga!$W285)*INT(Panchanga!$W285/30+1)&amp;"Ma,"&amp;SIGN(X286-Panchanga!$X285)*INT(Panchanga!$X285/30+1)&amp;"Me,"&amp;SIGN(Y286-Panchanga!$Y285)*INT(Panchanga!$Y285/30+1)&amp;"J, "&amp;SIGN(Z286-Panchanga!$Z285)*INT(Panchanga!$Z285/30+1)&amp;"V,"&amp;SIGN(AA286-Panchanga!$AA285)*INT(Panchanga!$AA285/30+1)&amp;"S,"&amp;INT(Panchanga!$AB285/30+1)&amp;"R"</f>
        <v>4Ma,-8Me,-2J, 9V,11S,12R</v>
      </c>
      <c r="U285" s="4">
        <f t="shared" si="40"/>
        <v>226.12353025217328</v>
      </c>
      <c r="V285" s="4">
        <f t="shared" si="41"/>
        <v>235.00306878479341</v>
      </c>
      <c r="W285" s="4">
        <f>Planet(Panchanga!$G285,4)</f>
        <v>101.80495752518637</v>
      </c>
      <c r="X285" s="4">
        <f>Planet(Panchanga!$G285,2)</f>
        <v>235.38462367576457</v>
      </c>
      <c r="Y285" s="4">
        <f>Planet(Panchanga!$G285,5)</f>
        <v>52.845056469101984</v>
      </c>
      <c r="Z285" s="4">
        <f>Planet(Panchanga!$G285,3)</f>
        <v>269.72553451502802</v>
      </c>
      <c r="AA285" s="4">
        <f>Planet(Panchanga!$G285,6)</f>
        <v>318.72561116014634</v>
      </c>
      <c r="AB285" s="4">
        <f>Planet(Panchanga!$G285,10)</f>
        <v>338.87895810540471</v>
      </c>
      <c r="AC285" s="4" t="str">
        <f>TEXT(Panchanga!$C285+($C286-Panchanga!$C285)/ABS(IF($R286&lt;1,$R286+30,$R286)-Panchanga!$R285)*(ROUNDUP(Panchanga!$R285,0)-Panchanga!$R285),"hh:mm AM/PM")</f>
        <v>12:41 PM</v>
      </c>
      <c r="AD285" s="4"/>
    </row>
    <row r="286" spans="1:30" x14ac:dyDescent="0.2">
      <c r="A286" s="3">
        <f t="shared" si="43"/>
        <v>45629</v>
      </c>
      <c r="B286" s="3">
        <f t="shared" si="38"/>
        <v>45629.229166666664</v>
      </c>
      <c r="C286" s="6">
        <f t="shared" si="39"/>
        <v>45629.263200225927</v>
      </c>
      <c r="D286" s="6">
        <f>sunset(Lat,Long,B286)+TimeZone/24-0.000277777777777778</f>
        <v>45628.735891589939</v>
      </c>
      <c r="E286" s="6">
        <f>PlanetRiseSet(Lat,Long,B286,1,1)+TimeZone/24+0.00103009259259259</f>
        <v>45629.336353759434</v>
      </c>
      <c r="F286" s="6">
        <f>PlanetRiseSet(Lat,Long,B286+1,1,2)+TimeZone/24+0.00103009259259259</f>
        <v>45629.812409861166</v>
      </c>
      <c r="G286" s="17">
        <f>Panchanga!$C286-TimeZone/24</f>
        <v>45629.034033559263</v>
      </c>
      <c r="H286" s="13" t="str">
        <f>INT(P[[#This Row],[Sun]]/30)&amp;"s"&amp;ROUNDUP(MOD(P[[#This Row],[Sun]],30),2)</f>
        <v>7s17.14</v>
      </c>
      <c r="I286" s="13" t="str">
        <f>INT(P[[#This Row],[Moon]]/30)&amp;"s"&amp;ROUNDUP(MOD(P[[#This Row],[Moon]],30),2)</f>
        <v>8s7.76</v>
      </c>
      <c r="J286" s="14">
        <f t="shared" si="42"/>
        <v>45629.034033559263</v>
      </c>
      <c r="K286" s="10" t="str">
        <f>naks(P[[#This Row],[Moon]])</f>
        <v>Moola</v>
      </c>
      <c r="L286" s="15">
        <f>(C287-P[[#This Row],[SunRise]])/(MOD(360+V287-P[[#This Row],[Moon]],360))*(13.3333333333333-MOD(P[[#This Row],[Moon]],13.333333333333))+P[[#This Row],[SunRise]]</f>
        <v>45629.693926782711</v>
      </c>
      <c r="M286" s="4" t="str">
        <f>IF(Panchanga!$R286&gt;15,"K","S")&amp;ROUNDUP(MOD(Panchanga!$R286,15),0)&amp;" ("&amp;ROUND(Panchanga!$R286,2)&amp;")"</f>
        <v>S2 (1.72)</v>
      </c>
      <c r="N286" s="4">
        <f>IF(AND(Panchanga!$R286&lt;28.5,Panchanga!$R286&gt;0.49999),MOD((Panchanga!$R286-0.5)*2,7),MOD((Panchanga!$R286+30-28.5),30)*2+7)</f>
        <v>2.4363999999999999</v>
      </c>
      <c r="O286" s="4" t="str">
        <f>CHOOSE(ROUNDUP(Panchanga!$N286,0),"Bhava","Baalava","Kaulava","Taitula","Garija","Vanija","Vishti","Shakuni","Chatushapda","Naaga","Kimstugna")</f>
        <v>Kaulava</v>
      </c>
      <c r="P286" s="11" t="str">
        <f>CHOOSE(ROUNDUP(Panchanga!$S286,0),"viṣkambha","prīti","āyuṣmāna","saubhāgya","śobhana","atigaṇḍa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("&amp;Panchanga!$S286&amp;")"</f>
        <v>śūla  (8.62)</v>
      </c>
      <c r="Q286" s="4">
        <f>IF(AND(Panchanga!$R286&lt;28.5,Panchanga!$R286&gt;0.49999),MOD((Panchanga!$R286-0.5)*2,7),MOD((Panchanga!$R286+30-28.5),30)*2+7)</f>
        <v>2.4363999999999999</v>
      </c>
      <c r="R286" s="4">
        <f>ROUNDUP(MOD(360+P[[#This Row],[Moon]]-P[[#This Row],[Sun]],360)/12,4)</f>
        <v>1.7181999999999999</v>
      </c>
      <c r="S286" s="4">
        <f>ROUNDUP(MOD(P[[#This Row],[Sun]]+P[[#This Row],[Moon]],360)/13.333333333,2)</f>
        <v>8.6199999999999992</v>
      </c>
      <c r="T286" s="4" t="str">
        <f>SIGN(W287-Panchanga!$W286)*INT(Panchanga!$W286/30+1)&amp;"Ma,"&amp;SIGN(X287-Panchanga!$X286)*INT(Panchanga!$X286/30+1)&amp;"Me,"&amp;SIGN(Y287-Panchanga!$Y286)*INT(Panchanga!$Y286/30+1)&amp;"J, "&amp;SIGN(Z287-Panchanga!$Z286)*INT(Panchanga!$Z286/30+1)&amp;"V,"&amp;SIGN(AA287-Panchanga!$AA286)*INT(Panchanga!$AA286/30+1)&amp;"S,"&amp;INT(Panchanga!$AB286/30+1)&amp;"R"</f>
        <v>4Ma,-8Me,-2J, 10V,11S,12R</v>
      </c>
      <c r="U286" s="4">
        <f t="shared" si="40"/>
        <v>227.13827588238996</v>
      </c>
      <c r="V286" s="4">
        <f t="shared" si="41"/>
        <v>247.75602838141469</v>
      </c>
      <c r="W286" s="4">
        <f>Planet(Panchanga!$G286,4)</f>
        <v>101.86318604170521</v>
      </c>
      <c r="X286" s="4">
        <f>Planet(Panchanga!$G286,2)</f>
        <v>234.27260631918011</v>
      </c>
      <c r="Y286" s="4">
        <f>Planet(Panchanga!$G286,5)</f>
        <v>52.709863328361543</v>
      </c>
      <c r="Z286" s="4">
        <f>Planet(Panchanga!$G286,3)</f>
        <v>270.89150268865217</v>
      </c>
      <c r="AA286" s="4">
        <f>Planet(Panchanga!$G286,6)</f>
        <v>318.75531024628913</v>
      </c>
      <c r="AB286" s="4">
        <f>Planet(Panchanga!$G286,10)</f>
        <v>338.825945926933</v>
      </c>
      <c r="AC286" s="4" t="str">
        <f>TEXT(Panchanga!$C286+($C287-Panchanga!$C286)/ABS(IF($R287&lt;1,$R287+30,$R287)-Panchanga!$R286)*(ROUNDUP(Panchanga!$R286,0)-Panchanga!$R286),"hh:mm AM/PM")</f>
        <v>01:07 PM</v>
      </c>
      <c r="AD286" s="4"/>
    </row>
    <row r="287" spans="1:30" x14ac:dyDescent="0.2">
      <c r="A287" s="3">
        <f t="shared" si="43"/>
        <v>45630</v>
      </c>
      <c r="B287" s="3">
        <f t="shared" si="38"/>
        <v>45630.229166666664</v>
      </c>
      <c r="C287" s="6">
        <f t="shared" si="39"/>
        <v>45630.263582846768</v>
      </c>
      <c r="D287" s="6">
        <f>sunset(Lat,Long,B287)+TimeZone/24-0.000277777777777778</f>
        <v>45629.736061075746</v>
      </c>
      <c r="E287" s="6">
        <f>PlanetRiseSet(Lat,Long,B287,1,1)+TimeZone/24+0.00103009259259259</f>
        <v>45630.374589069434</v>
      </c>
      <c r="F287" s="6">
        <f>PlanetRiseSet(Lat,Long,B287+1,1,2)+TimeZone/24+0.00103009259259259</f>
        <v>45630.853056075204</v>
      </c>
      <c r="G287" s="17">
        <f>Panchanga!$C287-TimeZone/24</f>
        <v>45630.034416180104</v>
      </c>
      <c r="H287" s="13" t="str">
        <f>INT(P[[#This Row],[Sun]]/30)&amp;"s"&amp;ROUNDUP(MOD(P[[#This Row],[Sun]],30),2)</f>
        <v>7s18.16</v>
      </c>
      <c r="I287" s="13" t="str">
        <f>INT(P[[#This Row],[Moon]]/30)&amp;"s"&amp;ROUNDUP(MOD(P[[#This Row],[Moon]],30),2)</f>
        <v>8s20.71</v>
      </c>
      <c r="J287" s="14">
        <f t="shared" si="42"/>
        <v>45630.034416180104</v>
      </c>
      <c r="K287" s="10" t="str">
        <f>naks(P[[#This Row],[Moon]])</f>
        <v>Purva Asadha</v>
      </c>
      <c r="L287" s="15">
        <f>(C288-P[[#This Row],[SunRise]])/(MOD(360+V288-P[[#This Row],[Moon]],360))*(13.3333333333333-MOD(P[[#This Row],[Moon]],13.333333333333))+P[[#This Row],[SunRise]]</f>
        <v>45630.71694260255</v>
      </c>
      <c r="M287" s="4" t="str">
        <f>IF(Panchanga!$R287&gt;15,"K","S")&amp;ROUNDUP(MOD(Panchanga!$R287,15),0)&amp;" ("&amp;ROUND(Panchanga!$R287,2)&amp;")"</f>
        <v>S3 (2.71)</v>
      </c>
      <c r="N287" s="4">
        <f>IF(AND(Panchanga!$R287&lt;28.5,Panchanga!$R287&gt;0.49999),MOD((Panchanga!$R287-0.5)*2,7),MOD((Panchanga!$R287+30-28.5),30)*2+7)</f>
        <v>4.4262000000000006</v>
      </c>
      <c r="O287" s="4" t="str">
        <f>CHOOSE(ROUNDUP(Panchanga!$N287,0),"Bhava","Baalava","Kaulava","Taitula","Garija","Vanija","Vishti","Shakuni","Chatushapda","Naaga","Kimstugna")</f>
        <v>Garija</v>
      </c>
      <c r="P287" s="11" t="str">
        <f>CHOOSE(ROUNDUP(Panchanga!$S287,0),"viṣkambha","prīti","āyuṣmāna","saubhāgya","śobhana","atigaṇḍa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("&amp;Panchanga!$S287&amp;")"</f>
        <v>gaṇḍa  (9.67)</v>
      </c>
      <c r="Q287" s="4">
        <f>IF(AND(Panchanga!$R287&lt;28.5,Panchanga!$R287&gt;0.49999),MOD((Panchanga!$R287-0.5)*2,7),MOD((Panchanga!$R287+30-28.5),30)*2+7)</f>
        <v>4.4262000000000006</v>
      </c>
      <c r="R287" s="4">
        <f>ROUNDUP(MOD(360+P[[#This Row],[Moon]]-P[[#This Row],[Sun]],360)/12,4)</f>
        <v>2.7131000000000003</v>
      </c>
      <c r="S287" s="4">
        <f>ROUNDUP(MOD(P[[#This Row],[Sun]]+P[[#This Row],[Moon]],360)/13.333333333,2)</f>
        <v>9.67</v>
      </c>
      <c r="T287" s="4" t="str">
        <f>SIGN(W288-Panchanga!$W287)*INT(Panchanga!$W287/30+1)&amp;"Ma,"&amp;SIGN(X288-Panchanga!$X287)*INT(Panchanga!$X287/30+1)&amp;"Me,"&amp;SIGN(Y288-Panchanga!$Y287)*INT(Panchanga!$Y287/30+1)&amp;"J, "&amp;SIGN(Z288-Panchanga!$Z287)*INT(Panchanga!$Z287/30+1)&amp;"V,"&amp;SIGN(AA288-Panchanga!$AA287)*INT(Panchanga!$AA287/30+1)&amp;"S,"&amp;INT(Panchanga!$AB287/30+1)&amp;"R"</f>
        <v>4Ma,-8Me,-2J, 10V,11S,12R</v>
      </c>
      <c r="U287" s="4">
        <f t="shared" si="40"/>
        <v>228.15330890758659</v>
      </c>
      <c r="V287" s="4">
        <f t="shared" si="41"/>
        <v>260.7095805994627</v>
      </c>
      <c r="W287" s="4">
        <f>Planet(Panchanga!$G287,4)</f>
        <v>101.90854534356633</v>
      </c>
      <c r="X287" s="4">
        <f>Planet(Panchanga!$G287,2)</f>
        <v>233.03435746120465</v>
      </c>
      <c r="Y287" s="4">
        <f>Planet(Panchanga!$G287,5)</f>
        <v>52.574191981334508</v>
      </c>
      <c r="Z287" s="4">
        <f>Planet(Panchanga!$G287,3)</f>
        <v>272.05564232959932</v>
      </c>
      <c r="AA287" s="4">
        <f>Planet(Panchanga!$G287,6)</f>
        <v>318.78673660030421</v>
      </c>
      <c r="AB287" s="4">
        <f>Planet(Panchanga!$G287,10)</f>
        <v>338.77293366432747</v>
      </c>
      <c r="AC287" s="4" t="str">
        <f>TEXT(Panchanga!$C287+($C288-Panchanga!$C287)/ABS(IF($R288&lt;1,$R288+30,$R288)-Panchanga!$R287)*(ROUNDUP(Panchanga!$R287,0)-Panchanga!$R287),"hh:mm AM/PM")</f>
        <v>01:08 PM</v>
      </c>
      <c r="AD287" s="4"/>
    </row>
    <row r="288" spans="1:30" x14ac:dyDescent="0.2">
      <c r="A288" s="3">
        <f t="shared" si="43"/>
        <v>45631</v>
      </c>
      <c r="B288" s="3">
        <f t="shared" si="38"/>
        <v>45631.229166666664</v>
      </c>
      <c r="C288" s="6">
        <f t="shared" si="39"/>
        <v>45631.263966641076</v>
      </c>
      <c r="D288" s="6">
        <f>sunset(Lat,Long,B288)+TimeZone/24-0.000277777777777778</f>
        <v>45630.736242496452</v>
      </c>
      <c r="E288" s="6">
        <f>PlanetRiseSet(Lat,Long,B288,1,1)+TimeZone/24+0.00103009259259259</f>
        <v>45631.410645097181</v>
      </c>
      <c r="F288" s="6">
        <f>PlanetRiseSet(Lat,Long,B288+1,1,2)+TimeZone/24+0.00103009259259259</f>
        <v>45631.893685957104</v>
      </c>
      <c r="G288" s="17">
        <f>Panchanga!$C288-TimeZone/24</f>
        <v>45631.034799974412</v>
      </c>
      <c r="H288" s="13" t="str">
        <f>INT(P[[#This Row],[Sun]]/30)&amp;"s"&amp;ROUNDUP(MOD(P[[#This Row],[Sun]],30),2)</f>
        <v>7s19.17</v>
      </c>
      <c r="I288" s="13" t="str">
        <f>INT(P[[#This Row],[Moon]]/30)&amp;"s"&amp;ROUNDUP(MOD(P[[#This Row],[Moon]],30),2)</f>
        <v>9s3.86</v>
      </c>
      <c r="J288" s="14">
        <f t="shared" si="42"/>
        <v>45631.034799974412</v>
      </c>
      <c r="K288" s="10" t="str">
        <f>naks(P[[#This Row],[Moon]])</f>
        <v>Uttara Asadha</v>
      </c>
      <c r="L288" s="15">
        <f>(C289-P[[#This Row],[SunRise]])/(MOD(360+V289-P[[#This Row],[Moon]],360))*(13.3333333333333-MOD(P[[#This Row],[Moon]],13.333333333333))+P[[#This Row],[SunRise]]</f>
        <v>45631.725163102077</v>
      </c>
      <c r="M288" s="4" t="str">
        <f>IF(Panchanga!$R288&gt;15,"K","S")&amp;ROUNDUP(MOD(Panchanga!$R288,15),0)&amp;" ("&amp;ROUND(Panchanga!$R288,2)&amp;")"</f>
        <v>S4 (3.72)</v>
      </c>
      <c r="N288" s="4">
        <f>IF(AND(Panchanga!$R288&lt;28.5,Panchanga!$R288&gt;0.49999),MOD((Panchanga!$R288-0.5)*2,7),MOD((Panchanga!$R288+30-28.5),30)*2+7)</f>
        <v>6.4478000000000009</v>
      </c>
      <c r="O288" s="4" t="str">
        <f>CHOOSE(ROUNDUP(Panchanga!$N288,0),"Bhava","Baalava","Kaulava","Taitula","Garija","Vanija","Vishti","Shakuni","Chatushapda","Naaga","Kimstugna")</f>
        <v>Vishti</v>
      </c>
      <c r="P288" s="11" t="str">
        <f>CHOOSE(ROUNDUP(Panchanga!$S288,0),"viṣkambha","prīti","āyuṣmāna","saubhāgya","śobhana","atigaṇḍa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("&amp;Panchanga!$S288&amp;")"</f>
        <v>vṛddhi  (10.73)</v>
      </c>
      <c r="Q288" s="4">
        <f>IF(AND(Panchanga!$R288&lt;28.5,Panchanga!$R288&gt;0.49999),MOD((Panchanga!$R288-0.5)*2,7),MOD((Panchanga!$R288+30-28.5),30)*2+7)</f>
        <v>6.4478000000000009</v>
      </c>
      <c r="R288" s="4">
        <f>ROUNDUP(MOD(360+P[[#This Row],[Moon]]-P[[#This Row],[Sun]],360)/12,4)</f>
        <v>3.7239000000000004</v>
      </c>
      <c r="S288" s="4">
        <f>ROUNDUP(MOD(P[[#This Row],[Sun]]+P[[#This Row],[Moon]],360)/13.333333333,2)</f>
        <v>10.73</v>
      </c>
      <c r="T288" s="4" t="str">
        <f>SIGN(W289-Panchanga!$W288)*INT(Panchanga!$W288/30+1)&amp;"Ma,"&amp;SIGN(X289-Panchanga!$X288)*INT(Panchanga!$X288/30+1)&amp;"Me,"&amp;SIGN(Y289-Panchanga!$Y288)*INT(Panchanga!$Y288/30+1)&amp;"J, "&amp;SIGN(Z289-Panchanga!$Z288)*INT(Panchanga!$Z288/30+1)&amp;"V,"&amp;SIGN(AA289-Panchanga!$AA288)*INT(Panchanga!$AA288/30+1)&amp;"S,"&amp;INT(Panchanga!$AB288/30+1)&amp;"R"</f>
        <v>4Ma,-8Me,-2J, 10V,11S,12R</v>
      </c>
      <c r="U288" s="4">
        <f t="shared" si="40"/>
        <v>229.16860461079622</v>
      </c>
      <c r="V288" s="4">
        <f t="shared" si="41"/>
        <v>273.85448878083929</v>
      </c>
      <c r="W288" s="4">
        <f>Planet(Panchanga!$G288,4)</f>
        <v>101.94088674959362</v>
      </c>
      <c r="X288" s="4">
        <f>Planet(Panchanga!$G288,2)</f>
        <v>231.70573911097344</v>
      </c>
      <c r="Y288" s="4">
        <f>Planet(Panchanga!$G288,5)</f>
        <v>52.438152729734604</v>
      </c>
      <c r="Z288" s="4">
        <f>Planet(Panchanga!$G288,3)</f>
        <v>273.21787533599593</v>
      </c>
      <c r="AA288" s="4">
        <f>Planet(Panchanga!$G288,6)</f>
        <v>318.81988165640837</v>
      </c>
      <c r="AB288" s="4">
        <f>Planet(Panchanga!$G288,10)</f>
        <v>338.71992133947577</v>
      </c>
      <c r="AC288" s="4" t="str">
        <f>TEXT(Panchanga!$C288+($C289-Panchanga!$C288)/ABS(IF($R289&lt;1,$R289+30,$R289)-Panchanga!$R288)*(ROUNDUP(Panchanga!$R288,0)-Panchanga!$R288),"hh:mm AM/PM")</f>
        <v>12:47 PM</v>
      </c>
      <c r="AD288" s="4"/>
    </row>
    <row r="289" spans="1:30" x14ac:dyDescent="0.2">
      <c r="A289" s="3">
        <f t="shared" si="43"/>
        <v>45632</v>
      </c>
      <c r="B289" s="3">
        <f t="shared" si="38"/>
        <v>45632.229166666664</v>
      </c>
      <c r="C289" s="6">
        <f t="shared" si="39"/>
        <v>45632.264351191618</v>
      </c>
      <c r="D289" s="6">
        <f>sunset(Lat,Long,B289)+TimeZone/24-0.000277777777777778</f>
        <v>45631.736435602463</v>
      </c>
      <c r="E289" s="6">
        <f>PlanetRiseSet(Lat,Long,B289,1,1)+TimeZone/24+0.00103009259259259</f>
        <v>45632.44402489873</v>
      </c>
      <c r="F289" s="6">
        <f>PlanetRiseSet(Lat,Long,B289+1,1,2)+TimeZone/24+0.00103009259259259</f>
        <v>45632.933389980964</v>
      </c>
      <c r="G289" s="17">
        <f>Panchanga!$C289-TimeZone/24</f>
        <v>45632.035184524953</v>
      </c>
      <c r="H289" s="13" t="str">
        <f>INT(P[[#This Row],[Sun]]/30)&amp;"s"&amp;ROUNDUP(MOD(P[[#This Row],[Sun]],30),2)</f>
        <v>7s20.19</v>
      </c>
      <c r="I289" s="13" t="str">
        <f>INT(P[[#This Row],[Moon]]/30)&amp;"s"&amp;ROUNDUP(MOD(P[[#This Row],[Moon]],30),2)</f>
        <v>9s17.19</v>
      </c>
      <c r="J289" s="14">
        <f t="shared" si="42"/>
        <v>45632.035184524953</v>
      </c>
      <c r="K289" s="10" t="str">
        <f>naks(P[[#This Row],[Moon]])</f>
        <v>Sravana</v>
      </c>
      <c r="L289" s="15">
        <f>(C290-P[[#This Row],[SunRise]])/(MOD(360+V290-P[[#This Row],[Moon]],360))*(13.3333333333333-MOD(P[[#This Row],[Moon]],13.333333333333))+P[[#This Row],[SunRise]]</f>
        <v>45632.719434253944</v>
      </c>
      <c r="M289" s="4" t="str">
        <f>IF(Panchanga!$R289&gt;15,"K","S")&amp;ROUNDUP(MOD(Panchanga!$R289,15),0)&amp;" ("&amp;ROUND(Panchanga!$R289,2)&amp;")"</f>
        <v>S5 (4.75)</v>
      </c>
      <c r="N289" s="4">
        <f>IF(AND(Panchanga!$R289&lt;28.5,Panchanga!$R289&gt;0.49999),MOD((Panchanga!$R289-0.5)*2,7),MOD((Panchanga!$R289+30-28.5),30)*2+7)</f>
        <v>1.5001999999999995</v>
      </c>
      <c r="O289" s="4" t="str">
        <f>CHOOSE(ROUNDUP(Panchanga!$N289,0),"Bhava","Baalava","Kaulava","Taitula","Garija","Vanija","Vishti","Shakuni","Chatushapda","Naaga","Kimstugna")</f>
        <v>Baalava</v>
      </c>
      <c r="P289" s="11" t="str">
        <f>CHOOSE(ROUNDUP(Panchanga!$S289,0),"viṣkambha","prīti","āyuṣmāna","saubhāgya","śobhana","atigaṇḍa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("&amp;Panchanga!$S289&amp;")"</f>
        <v>dhruva  (11.81)</v>
      </c>
      <c r="Q289" s="4">
        <f>IF(AND(Panchanga!$R289&lt;28.5,Panchanga!$R289&gt;0.49999),MOD((Panchanga!$R289-0.5)*2,7),MOD((Panchanga!$R289+30-28.5),30)*2+7)</f>
        <v>1.5001999999999995</v>
      </c>
      <c r="R289" s="4">
        <f>ROUNDUP(MOD(360+P[[#This Row],[Moon]]-P[[#This Row],[Sun]],360)/12,4)</f>
        <v>4.7500999999999998</v>
      </c>
      <c r="S289" s="4">
        <f>ROUNDUP(MOD(P[[#This Row],[Sun]]+P[[#This Row],[Moon]],360)/13.333333333,2)</f>
        <v>11.81</v>
      </c>
      <c r="T289" s="4" t="str">
        <f>SIGN(W290-Panchanga!$W289)*INT(Panchanga!$W289/30+1)&amp;"Ma,"&amp;SIGN(X290-Panchanga!$X289)*INT(Panchanga!$X289/30+1)&amp;"Me,"&amp;SIGN(Y290-Panchanga!$Y289)*INT(Panchanga!$Y289/30+1)&amp;"J, "&amp;SIGN(Z290-Panchanga!$Z289)*INT(Panchanga!$Z289/30+1)&amp;"V,"&amp;SIGN(AA290-Panchanga!$AA289)*INT(Panchanga!$AA289/30+1)&amp;"S,"&amp;INT(Panchanga!$AB289/30+1)&amp;"R"</f>
        <v>4Ma,-8Me,-2J, 10V,11S,12R</v>
      </c>
      <c r="U289" s="4">
        <f t="shared" si="40"/>
        <v>230.18413931501806</v>
      </c>
      <c r="V289" s="4">
        <f t="shared" si="41"/>
        <v>287.18476123225923</v>
      </c>
      <c r="W289" s="4">
        <f>Planet(Panchanga!$G289,4)</f>
        <v>101.96007335354074</v>
      </c>
      <c r="X289" s="4">
        <f>Planet(Panchanga!$G289,2)</f>
        <v>230.32933703605585</v>
      </c>
      <c r="Y289" s="4">
        <f>Planet(Panchanga!$G289,5)</f>
        <v>52.30185602223829</v>
      </c>
      <c r="Z289" s="4">
        <f>Planet(Panchanga!$G289,3)</f>
        <v>274.37811952605028</v>
      </c>
      <c r="AA289" s="4">
        <f>Planet(Panchanga!$G289,6)</f>
        <v>318.85473593230023</v>
      </c>
      <c r="AB289" s="4">
        <f>Planet(Panchanga!$G289,10)</f>
        <v>338.66690897464599</v>
      </c>
      <c r="AC289" s="4" t="str">
        <f>TEXT(Panchanga!$C289+($C290-Panchanga!$C289)/ABS(IF($R290&lt;1,$R290+30,$R290)-Panchanga!$R289)*(ROUNDUP(Panchanga!$R289,0)-Panchanga!$R289),"hh:mm AM/PM")</f>
        <v>12:06 PM</v>
      </c>
      <c r="AD289" s="4"/>
    </row>
    <row r="290" spans="1:30" x14ac:dyDescent="0.2">
      <c r="A290" s="3">
        <f t="shared" si="43"/>
        <v>45633</v>
      </c>
      <c r="B290" s="3">
        <f t="shared" si="38"/>
        <v>45633.229166666664</v>
      </c>
      <c r="C290" s="6">
        <f t="shared" si="39"/>
        <v>45633.264736077901</v>
      </c>
      <c r="D290" s="6">
        <f>sunset(Lat,Long,B290)+TimeZone/24-0.000277777777777778</f>
        <v>45632.736640132542</v>
      </c>
      <c r="E290" s="6">
        <f>PlanetRiseSet(Lat,Long,B290,1,1)+TimeZone/24+0.00103009259259259</f>
        <v>45633.474915426377</v>
      </c>
      <c r="F290" s="6">
        <f>PlanetRiseSet(Lat,Long,B290+1,1,2)+TimeZone/24+0.00103009259259259</f>
        <v>45633.971930969659</v>
      </c>
      <c r="G290" s="17">
        <f>Panchanga!$C290-TimeZone/24</f>
        <v>45633.035569411237</v>
      </c>
      <c r="H290" s="13" t="str">
        <f>INT(P[[#This Row],[Sun]]/30)&amp;"s"&amp;ROUNDUP(MOD(P[[#This Row],[Sun]],30),2)</f>
        <v>7s21.2</v>
      </c>
      <c r="I290" s="13" t="str">
        <f>INT(P[[#This Row],[Moon]]/30)&amp;"s"&amp;ROUNDUP(MOD(P[[#This Row],[Moon]],30),2)</f>
        <v>10s0.71</v>
      </c>
      <c r="J290" s="14">
        <f t="shared" si="42"/>
        <v>45633.035569411237</v>
      </c>
      <c r="K290" s="10" t="str">
        <f>naks(P[[#This Row],[Moon]])</f>
        <v>Dhanistha</v>
      </c>
      <c r="L290" s="15">
        <f>(C291-P[[#This Row],[SunRise]])/(MOD(360+V291-P[[#This Row],[Moon]],360))*(13.3333333333333-MOD(P[[#This Row],[Moon]],13.333333333333))+P[[#This Row],[SunRise]]</f>
        <v>45633.700088255093</v>
      </c>
      <c r="M290" s="4" t="str">
        <f>IF(Panchanga!$R290&gt;15,"K","S")&amp;ROUNDUP(MOD(Panchanga!$R290,15),0)&amp;" ("&amp;ROUND(Panchanga!$R290,2)&amp;")"</f>
        <v>S6 (5.79)</v>
      </c>
      <c r="N290" s="4">
        <f>IF(AND(Panchanga!$R290&lt;28.5,Panchanga!$R290&gt;0.49999),MOD((Panchanga!$R290-0.5)*2,7),MOD((Panchanga!$R290+30-28.5),30)*2+7)</f>
        <v>3.5835999999999988</v>
      </c>
      <c r="O290" s="4" t="str">
        <f>CHOOSE(ROUNDUP(Panchanga!$N290,0),"Bhava","Baalava","Kaulava","Taitula","Garija","Vanija","Vishti","Shakuni","Chatushapda","Naaga","Kimstugna")</f>
        <v>Taitula</v>
      </c>
      <c r="P290" s="11" t="str">
        <f>CHOOSE(ROUNDUP(Panchanga!$S290,0),"viṣkambha","prīti","āyuṣmāna","saubhāgya","śobhana","atigaṇḍa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("&amp;Panchanga!$S290&amp;")"</f>
        <v>vyāghāta (12.9)</v>
      </c>
      <c r="Q290" s="4">
        <f>IF(AND(Panchanga!$R290&lt;28.5,Panchanga!$R290&gt;0.49999),MOD((Panchanga!$R290-0.5)*2,7),MOD((Panchanga!$R290+30-28.5),30)*2+7)</f>
        <v>3.5835999999999988</v>
      </c>
      <c r="R290" s="4">
        <f>ROUNDUP(MOD(360+P[[#This Row],[Moon]]-P[[#This Row],[Sun]],360)/12,4)</f>
        <v>5.7917999999999994</v>
      </c>
      <c r="S290" s="4">
        <f>ROUNDUP(MOD(P[[#This Row],[Sun]]+P[[#This Row],[Moon]],360)/13.333333333,2)</f>
        <v>12.9</v>
      </c>
      <c r="T290" s="4" t="str">
        <f>SIGN(W291-Panchanga!$W290)*INT(Panchanga!$W290/30+1)&amp;"Ma,"&amp;SIGN(X291-Panchanga!$X290)*INT(Panchanga!$X290/30+1)&amp;"Me,"&amp;SIGN(Y291-Panchanga!$Y290)*INT(Panchanga!$Y290/30+1)&amp;"J, "&amp;SIGN(Z291-Panchanga!$Z290)*INT(Panchanga!$Z290/30+1)&amp;"V,"&amp;SIGN(AA291-Panchanga!$AA290)*INT(Panchanga!$AA290/30+1)&amp;"S,"&amp;INT(Panchanga!$AB290/30+1)&amp;"R"</f>
        <v>-4Ma,-8Me,-2J, 10V,11S,12R</v>
      </c>
      <c r="U290" s="4">
        <f t="shared" si="40"/>
        <v>231.19989107679015</v>
      </c>
      <c r="V290" s="4">
        <f t="shared" si="41"/>
        <v>300.70084018874957</v>
      </c>
      <c r="W290" s="4">
        <f>Planet(Panchanga!$G290,4)</f>
        <v>101.96598018990267</v>
      </c>
      <c r="X290" s="4">
        <f>Planet(Panchanga!$G290,2)</f>
        <v>228.9515858017314</v>
      </c>
      <c r="Y290" s="4">
        <f>Planet(Panchanga!$G290,5)</f>
        <v>52.165412059014415</v>
      </c>
      <c r="Z290" s="4">
        <f>Planet(Panchanga!$G290,3)</f>
        <v>275.5362890540506</v>
      </c>
      <c r="AA290" s="4">
        <f>Planet(Panchanga!$G290,6)</f>
        <v>318.89128906739398</v>
      </c>
      <c r="AB290" s="4">
        <f>Planet(Panchanga!$G290,10)</f>
        <v>338.61389659195788</v>
      </c>
      <c r="AC290" s="4" t="str">
        <f>TEXT(Panchanga!$C290+($C291-Panchanga!$C290)/ABS(IF($R291&lt;1,$R291+30,$R291)-Panchanga!$R290)*(ROUNDUP(Panchanga!$R290,0)-Panchanga!$R290),"hh:mm AM/PM")</f>
        <v>11:04 AM</v>
      </c>
      <c r="AD290" s="4"/>
    </row>
    <row r="291" spans="1:30" x14ac:dyDescent="0.2">
      <c r="A291" s="3">
        <f t="shared" si="43"/>
        <v>45634</v>
      </c>
      <c r="B291" s="3">
        <f t="shared" si="38"/>
        <v>45634.229166666664</v>
      </c>
      <c r="C291" s="6">
        <f t="shared" si="39"/>
        <v>45634.265120884556</v>
      </c>
      <c r="D291" s="6">
        <f>sunset(Lat,Long,B291)+TimeZone/24-0.000277777777777778</f>
        <v>45633.736855820331</v>
      </c>
      <c r="E291" s="6">
        <f>PlanetRiseSet(Lat,Long,B291,1,1)+TimeZone/24+0.00103009259259259</f>
        <v>45633.474915461768</v>
      </c>
      <c r="F291" s="6">
        <f>PlanetRiseSet(Lat,Long,B291+1,1,2)+TimeZone/24+0.00103009259259259</f>
        <v>45635.009659457639</v>
      </c>
      <c r="G291" s="17">
        <f>Panchanga!$C291-TimeZone/24</f>
        <v>45634.035954217892</v>
      </c>
      <c r="H291" s="13" t="str">
        <f>INT(P[[#This Row],[Sun]]/30)&amp;"s"&amp;ROUNDUP(MOD(P[[#This Row],[Sun]],30),2)</f>
        <v>7s22.22</v>
      </c>
      <c r="I291" s="13" t="str">
        <f>INT(P[[#This Row],[Moon]]/30)&amp;"s"&amp;ROUNDUP(MOD(P[[#This Row],[Moon]],30),2)</f>
        <v>10s14.41</v>
      </c>
      <c r="J291" s="14">
        <f t="shared" si="42"/>
        <v>45634.035954217892</v>
      </c>
      <c r="K291" s="10" t="str">
        <f>naks(P[[#This Row],[Moon]])</f>
        <v>Satabhisaj</v>
      </c>
      <c r="L291" s="15">
        <f>(C292-P[[#This Row],[SunRise]])/(MOD(360+V292-P[[#This Row],[Moon]],360))*(13.3333333333333-MOD(P[[#This Row],[Moon]],13.333333333333))+P[[#This Row],[SunRise]]</f>
        <v>45634.667155337615</v>
      </c>
      <c r="M291" s="4" t="str">
        <f>IF(Panchanga!$R291&gt;15,"K","S")&amp;ROUNDUP(MOD(Panchanga!$R291,15),0)&amp;" ("&amp;ROUND(Panchanga!$R291,2)&amp;")"</f>
        <v>S7 (6.85)</v>
      </c>
      <c r="N291" s="4">
        <f>IF(AND(Panchanga!$R291&lt;28.5,Panchanga!$R291&gt;0.49999),MOD((Panchanga!$R291-0.5)*2,7),MOD((Panchanga!$R291+30-28.5),30)*2+7)</f>
        <v>5.6989999999999998</v>
      </c>
      <c r="O291" s="4" t="str">
        <f>CHOOSE(ROUNDUP(Panchanga!$N291,0),"Bhava","Baalava","Kaulava","Taitula","Garija","Vanija","Vishti","Shakuni","Chatushapda","Naaga","Kimstugna")</f>
        <v>Vanija</v>
      </c>
      <c r="P291" s="11" t="str">
        <f>CHOOSE(ROUNDUP(Panchanga!$S291,0),"viṣkambha","prīti","āyuṣmāna","saubhāgya","śobhana","atigaṇḍa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("&amp;Panchanga!$S291&amp;")"</f>
        <v>harṣaṇa (14)</v>
      </c>
      <c r="Q291" s="4">
        <f>IF(AND(Panchanga!$R291&lt;28.5,Panchanga!$R291&gt;0.49999),MOD((Panchanga!$R291-0.5)*2,7),MOD((Panchanga!$R291+30-28.5),30)*2+7)</f>
        <v>5.6989999999999998</v>
      </c>
      <c r="R291" s="4">
        <f>ROUNDUP(MOD(360+P[[#This Row],[Moon]]-P[[#This Row],[Sun]],360)/12,4)</f>
        <v>6.8494999999999999</v>
      </c>
      <c r="S291" s="4">
        <f>ROUNDUP(MOD(P[[#This Row],[Sun]]+P[[#This Row],[Moon]],360)/13.333333333,2)</f>
        <v>14</v>
      </c>
      <c r="T291" s="4" t="str">
        <f>SIGN(W292-Panchanga!$W291)*INT(Panchanga!$W291/30+1)&amp;"Ma,"&amp;SIGN(X292-Panchanga!$X291)*INT(Panchanga!$X291/30+1)&amp;"Me,"&amp;SIGN(Y292-Panchanga!$Y291)*INT(Panchanga!$Y291/30+1)&amp;"J, "&amp;SIGN(Z292-Panchanga!$Z291)*INT(Panchanga!$Z291/30+1)&amp;"V,"&amp;SIGN(AA292-Panchanga!$AA291)*INT(Panchanga!$AA291/30+1)&amp;"S,"&amp;INT(Panchanga!$AB291/30+1)&amp;"R"</f>
        <v>-4Ma,-8Me,-2J, 10V,11S,12R</v>
      </c>
      <c r="U291" s="4">
        <f t="shared" si="40"/>
        <v>232.21584045015737</v>
      </c>
      <c r="V291" s="4">
        <f t="shared" si="41"/>
        <v>314.40956264453723</v>
      </c>
      <c r="W291" s="4">
        <f>Planet(Panchanga!$G291,4)</f>
        <v>101.95849416096543</v>
      </c>
      <c r="X291" s="4">
        <f>Planet(Panchanga!$G291,2)</f>
        <v>227.6192114148634</v>
      </c>
      <c r="Y291" s="4">
        <f>Planet(Panchanga!$G291,5)</f>
        <v>52.028930384218917</v>
      </c>
      <c r="Z291" s="4">
        <f>Planet(Panchanga!$G291,3)</f>
        <v>276.69229497647632</v>
      </c>
      <c r="AA291" s="4">
        <f>Planet(Panchanga!$G291,6)</f>
        <v>318.92952988800789</v>
      </c>
      <c r="AB291" s="4">
        <f>Planet(Panchanga!$G291,10)</f>
        <v>338.56088421354718</v>
      </c>
      <c r="AC291" s="4" t="str">
        <f>TEXT(Panchanga!$C291+($C292-Panchanga!$C291)/ABS(IF($R292&lt;1,$R292+30,$R292)-Panchanga!$R291)*(ROUNDUP(Panchanga!$R291,0)-Panchanga!$R291),"hh:mm AM/PM")</f>
        <v>09:43 AM</v>
      </c>
      <c r="AD291" s="4"/>
    </row>
    <row r="292" spans="1:30" x14ac:dyDescent="0.2">
      <c r="A292" s="3">
        <f t="shared" si="43"/>
        <v>45635</v>
      </c>
      <c r="B292" s="3">
        <f t="shared" si="38"/>
        <v>45635.229166666664</v>
      </c>
      <c r="C292" s="6">
        <f t="shared" si="39"/>
        <v>45635.26550520087</v>
      </c>
      <c r="D292" s="6">
        <f>sunset(Lat,Long,B292)+TimeZone/24-0.000277777777777778</f>
        <v>45634.737082393418</v>
      </c>
      <c r="E292" s="6">
        <f>PlanetRiseSet(Lat,Long,B292,1,1)+TimeZone/24+0.00103009259259259</f>
        <v>45634.503982592061</v>
      </c>
      <c r="F292" s="6">
        <f>PlanetRiseSet(Lat,Long,B292+1,1,2)+TimeZone/24+0.00103009259259259</f>
        <v>45636.047306758504</v>
      </c>
      <c r="G292" s="17">
        <f>Panchanga!$C292-TimeZone/24</f>
        <v>45635.036338534206</v>
      </c>
      <c r="H292" s="13" t="str">
        <f>INT(P[[#This Row],[Sun]]/30)&amp;"s"&amp;ROUNDUP(MOD(P[[#This Row],[Sun]],30),2)</f>
        <v>7s23.24</v>
      </c>
      <c r="I292" s="13" t="str">
        <f>INT(P[[#This Row],[Moon]]/30)&amp;"s"&amp;ROUNDUP(MOD(P[[#This Row],[Moon]],30),2)</f>
        <v>10s28.33</v>
      </c>
      <c r="J292" s="14">
        <f t="shared" si="42"/>
        <v>45635.036338534206</v>
      </c>
      <c r="K292" s="10" t="str">
        <f>naks(P[[#This Row],[Moon]])</f>
        <v>Purva Bhadrapada</v>
      </c>
      <c r="L292" s="15">
        <f>(C293-P[[#This Row],[SunRise]])/(MOD(360+V293-P[[#This Row],[Moon]],360))*(13.3333333333333-MOD(P[[#This Row],[Moon]],13.333333333333))+P[[#This Row],[SunRise]]</f>
        <v>45635.6207451144</v>
      </c>
      <c r="M292" s="4" t="str">
        <f>IF(Panchanga!$R292&gt;15,"K","S")&amp;ROUNDUP(MOD(Panchanga!$R292,15),0)&amp;" ("&amp;ROUND(Panchanga!$R292,2)&amp;")"</f>
        <v>S8 (7.92)</v>
      </c>
      <c r="N292" s="4">
        <f>IF(AND(Panchanga!$R292&lt;28.5,Panchanga!$R292&gt;0.49999),MOD((Panchanga!$R292-0.5)*2,7),MOD((Panchanga!$R292+30-28.5),30)*2+7)</f>
        <v>0.84820000000000029</v>
      </c>
      <c r="O292" s="4" t="str">
        <f>CHOOSE(ROUNDUP(Panchanga!$N292,0),"Bhava","Baalava","Kaulava","Taitula","Garija","Vanija","Vishti","Shakuni","Chatushapda","Naaga","Kimstugna")</f>
        <v>Bhava</v>
      </c>
      <c r="P292" s="11" t="str">
        <f>CHOOSE(ROUNDUP(Panchanga!$S292,0),"viṣkambha","prīti","āyuṣmāna","saubhāgya","śobhana","atigaṇḍa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("&amp;Panchanga!$S292&amp;")"</f>
        <v>siddhi (15.12)</v>
      </c>
      <c r="Q292" s="4">
        <f>IF(AND(Panchanga!$R292&lt;28.5,Panchanga!$R292&gt;0.49999),MOD((Panchanga!$R292-0.5)*2,7),MOD((Panchanga!$R292+30-28.5),30)*2+7)</f>
        <v>0.84820000000000029</v>
      </c>
      <c r="R292" s="4">
        <f>ROUNDUP(MOD(360+P[[#This Row],[Moon]]-P[[#This Row],[Sun]],360)/12,4)</f>
        <v>7.9241000000000001</v>
      </c>
      <c r="S292" s="4">
        <f>ROUNDUP(MOD(P[[#This Row],[Sun]]+P[[#This Row],[Moon]],360)/13.333333333,2)</f>
        <v>15.12</v>
      </c>
      <c r="T292" s="4" t="str">
        <f>SIGN(W293-Panchanga!$W292)*INT(Panchanga!$W292/30+1)&amp;"Ma,"&amp;SIGN(X293-Panchanga!$X292)*INT(Panchanga!$X292/30+1)&amp;"Me,"&amp;SIGN(Y293-Panchanga!$Y292)*INT(Panchanga!$Y292/30+1)&amp;"J, "&amp;SIGN(Z293-Panchanga!$Z292)*INT(Panchanga!$Z292/30+1)&amp;"V,"&amp;SIGN(AA293-Panchanga!$AA292)*INT(Panchanga!$AA292/30+1)&amp;"S,"&amp;INT(Panchanga!$AB292/30+1)&amp;"R"</f>
        <v>-4Ma,-8Me,-2J, 10V,11S,12R</v>
      </c>
      <c r="U292" s="4">
        <f t="shared" si="40"/>
        <v>233.23197132702634</v>
      </c>
      <c r="V292" s="4">
        <f t="shared" si="41"/>
        <v>328.32027554291926</v>
      </c>
      <c r="W292" s="4">
        <f>Planet(Panchanga!$G292,4)</f>
        <v>101.93751360188874</v>
      </c>
      <c r="X292" s="4">
        <f>Planet(Panchanga!$G292,2)</f>
        <v>226.37561156471628</v>
      </c>
      <c r="Y292" s="4">
        <f>Planet(Panchanga!$G292,5)</f>
        <v>51.892519470223988</v>
      </c>
      <c r="Z292" s="4">
        <f>Planet(Panchanga!$G292,3)</f>
        <v>277.84604604489044</v>
      </c>
      <c r="AA292" s="4">
        <f>Planet(Panchanga!$G292,6)</f>
        <v>318.96944649573936</v>
      </c>
      <c r="AB292" s="4">
        <f>Planet(Panchanga!$G292,10)</f>
        <v>338.50787186108573</v>
      </c>
      <c r="AC292" s="4" t="str">
        <f>TEXT(Panchanga!$C292+($C293-Panchanga!$C292)/ABS(IF($R293&lt;1,$R293+30,$R293)-Panchanga!$R292)*(ROUNDUP(Panchanga!$R292,0)-Panchanga!$R292),"hh:mm AM/PM")</f>
        <v>08:02 AM</v>
      </c>
      <c r="AD292" s="4"/>
    </row>
    <row r="293" spans="1:30" x14ac:dyDescent="0.2">
      <c r="A293" s="3">
        <f t="shared" si="43"/>
        <v>45636</v>
      </c>
      <c r="B293" s="3">
        <f t="shared" si="38"/>
        <v>45636.229166666664</v>
      </c>
      <c r="C293" s="6">
        <f t="shared" si="39"/>
        <v>45636.265888627306</v>
      </c>
      <c r="D293" s="6">
        <f>sunset(Lat,Long,B293)+TimeZone/24-0.000277777777777778</f>
        <v>45635.737319577529</v>
      </c>
      <c r="E293" s="6">
        <f>PlanetRiseSet(Lat,Long,B293,1,1)+TimeZone/24+0.00103009259259259</f>
        <v>45635.532152824257</v>
      </c>
      <c r="F293" s="6">
        <f>PlanetRiseSet(Lat,Long,B293+1,1,2)+TimeZone/24+0.00103009259259259</f>
        <v>45637.085781044014</v>
      </c>
      <c r="G293" s="17">
        <f>Panchanga!$C293-TimeZone/24</f>
        <v>45636.036721960641</v>
      </c>
      <c r="H293" s="13" t="str">
        <f>INT(P[[#This Row],[Sun]]/30)&amp;"s"&amp;ROUNDUP(MOD(P[[#This Row],[Sun]],30),2)</f>
        <v>7s24.25</v>
      </c>
      <c r="I293" s="13" t="str">
        <f>INT(P[[#This Row],[Moon]]/30)&amp;"s"&amp;ROUNDUP(MOD(P[[#This Row],[Moon]],30),2)</f>
        <v>11s12.44</v>
      </c>
      <c r="J293" s="14">
        <f t="shared" si="42"/>
        <v>45636.036721960641</v>
      </c>
      <c r="K293" s="10" t="str">
        <f>naks(P[[#This Row],[Moon]])</f>
        <v>Uttara Bhadrapada</v>
      </c>
      <c r="L293" s="15">
        <f>(C294-P[[#This Row],[SunRise]])/(MOD(360+V294-P[[#This Row],[Moon]],360))*(13.3333333333333-MOD(P[[#This Row],[Moon]],13.333333333333))+P[[#This Row],[SunRise]]</f>
        <v>45636.561472165435</v>
      </c>
      <c r="M293" s="4" t="str">
        <f>IF(Panchanga!$R293&gt;15,"K","S")&amp;ROUNDUP(MOD(Panchanga!$R293,15),0)&amp;" ("&amp;ROUND(Panchanga!$R293,2)&amp;")"</f>
        <v>S10 (9.02)</v>
      </c>
      <c r="N293" s="4">
        <f>IF(AND(Panchanga!$R293&lt;28.5,Panchanga!$R293&gt;0.49999),MOD((Panchanga!$R293-0.5)*2,7),MOD((Panchanga!$R293+30-28.5),30)*2+7)</f>
        <v>3.031600000000001</v>
      </c>
      <c r="O293" s="4" t="str">
        <f>CHOOSE(ROUNDUP(Panchanga!$N293,0),"Bhava","Baalava","Kaulava","Taitula","Garija","Vanija","Vishti","Shakuni","Chatushapda","Naaga","Kimstugna")</f>
        <v>Taitula</v>
      </c>
      <c r="P293" s="11" t="str">
        <f>CHOOSE(ROUNDUP(Panchanga!$S293,0),"viṣkambha","prīti","āyuṣmāna","saubhāgya","śobhana","atigaṇḍa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("&amp;Panchanga!$S293&amp;")"</f>
        <v>vyatipāta (16.26)</v>
      </c>
      <c r="Q293" s="4">
        <f>IF(AND(Panchanga!$R293&lt;28.5,Panchanga!$R293&gt;0.49999),MOD((Panchanga!$R293-0.5)*2,7),MOD((Panchanga!$R293+30-28.5),30)*2+7)</f>
        <v>3.031600000000001</v>
      </c>
      <c r="R293" s="4">
        <f>ROUNDUP(MOD(360+P[[#This Row],[Moon]]-P[[#This Row],[Sun]],360)/12,4)</f>
        <v>9.0158000000000005</v>
      </c>
      <c r="S293" s="4">
        <f>ROUNDUP(MOD(P[[#This Row],[Sun]]+P[[#This Row],[Moon]],360)/13.333333333,2)</f>
        <v>16.260000000000002</v>
      </c>
      <c r="T293" s="4" t="str">
        <f>SIGN(W294-Panchanga!$W293)*INT(Panchanga!$W293/30+1)&amp;"Ma,"&amp;SIGN(X294-Panchanga!$X293)*INT(Panchanga!$X293/30+1)&amp;"Me,"&amp;SIGN(Y294-Panchanga!$Y293)*INT(Panchanga!$Y293/30+1)&amp;"J, "&amp;SIGN(Z294-Panchanga!$Z293)*INT(Panchanga!$Z293/30+1)&amp;"V,"&amp;SIGN(AA294-Panchanga!$AA293)*INT(Panchanga!$AA293/30+1)&amp;"S,"&amp;INT(Panchanga!$AB293/30+1)&amp;"R"</f>
        <v>-4Ma,-8Me,-2J, 10V,11S,12R</v>
      </c>
      <c r="U293" s="4">
        <f t="shared" si="40"/>
        <v>234.24827179427533</v>
      </c>
      <c r="V293" s="4">
        <f t="shared" si="41"/>
        <v>342.43743900981576</v>
      </c>
      <c r="W293" s="4">
        <f>Planet(Panchanga!$G293,4)</f>
        <v>101.90294741347343</v>
      </c>
      <c r="X293" s="4">
        <f>Planet(Panchanga!$G293,2)</f>
        <v>225.25781419649016</v>
      </c>
      <c r="Y293" s="4">
        <f>Planet(Panchanga!$G293,5)</f>
        <v>51.756286320839592</v>
      </c>
      <c r="Z293" s="4">
        <f>Planet(Panchanga!$G293,3)</f>
        <v>278.99744979594175</v>
      </c>
      <c r="AA293" s="4">
        <f>Planet(Panchanga!$G293,6)</f>
        <v>319.01102640233955</v>
      </c>
      <c r="AB293" s="4">
        <f>Planet(Panchanga!$G293,10)</f>
        <v>338.45485955576527</v>
      </c>
      <c r="AC293" s="4" t="str">
        <f>TEXT(Panchanga!$C293+($C294-Panchanga!$C293)/ABS(IF($R294&lt;1,$R294+30,$R294)-Panchanga!$R293)*(ROUNDUP(Panchanga!$R293,0)-Panchanga!$R293),"hh:mm AM/PM")</f>
        <v>03:42 AM</v>
      </c>
      <c r="AD293" s="4"/>
    </row>
    <row r="294" spans="1:30" x14ac:dyDescent="0.2">
      <c r="A294" s="3">
        <f t="shared" si="43"/>
        <v>45637</v>
      </c>
      <c r="B294" s="3">
        <f t="shared" si="38"/>
        <v>45637.229166666664</v>
      </c>
      <c r="C294" s="6">
        <f t="shared" si="39"/>
        <v>45637.266270776898</v>
      </c>
      <c r="D294" s="6">
        <f>sunset(Lat,Long,B294)+TimeZone/24-0.000277777777777778</f>
        <v>45636.737567098855</v>
      </c>
      <c r="E294" s="6">
        <f>PlanetRiseSet(Lat,Long,B294,1,1)+TimeZone/24+0.00103009259259259</f>
        <v>45636.560482133333</v>
      </c>
      <c r="F294" s="6">
        <f>PlanetRiseSet(Lat,Long,B294+1,1,2)+TimeZone/24+0.00103009259259259</f>
        <v>45638.125961491525</v>
      </c>
      <c r="G294" s="17">
        <f>Panchanga!$C294-TimeZone/24</f>
        <v>45637.037104110233</v>
      </c>
      <c r="H294" s="13" t="str">
        <f>INT(P[[#This Row],[Sun]]/30)&amp;"s"&amp;ROUNDUP(MOD(P[[#This Row],[Sun]],30),2)</f>
        <v>7s25.27</v>
      </c>
      <c r="I294" s="13" t="str">
        <f>INT(P[[#This Row],[Moon]]/30)&amp;"s"&amp;ROUNDUP(MOD(P[[#This Row],[Moon]],30),2)</f>
        <v>11s26.76</v>
      </c>
      <c r="J294" s="14">
        <f t="shared" si="42"/>
        <v>45637.037104110233</v>
      </c>
      <c r="K294" s="10" t="str">
        <f>naks(P[[#This Row],[Moon]])</f>
        <v>Revati</v>
      </c>
      <c r="L294" s="15">
        <f>(C295-P[[#This Row],[SunRise]])/(MOD(360+V295-P[[#This Row],[Moon]],360))*(13.3333333333333-MOD(P[[#This Row],[Moon]],13.333333333333))+P[[#This Row],[SunRise]]</f>
        <v>45637.490804760346</v>
      </c>
      <c r="M294" s="4" t="str">
        <f>IF(Panchanga!$R294&gt;15,"K","S")&amp;ROUNDUP(MOD(Panchanga!$R294,15),0)&amp;" ("&amp;ROUND(Panchanga!$R294,2)&amp;")"</f>
        <v>S11 (10.12)</v>
      </c>
      <c r="N294" s="4">
        <f>IF(AND(Panchanga!$R294&lt;28.5,Panchanga!$R294&gt;0.49999),MOD((Panchanga!$R294-0.5)*2,7),MOD((Panchanga!$R294+30-28.5),30)*2+7)</f>
        <v>5.247799999999998</v>
      </c>
      <c r="O294" s="4" t="str">
        <f>CHOOSE(ROUNDUP(Panchanga!$N294,0),"Bhava","Baalava","Kaulava","Taitula","Garija","Vanija","Vishti","Shakuni","Chatushapda","Naaga","Kimstugna")</f>
        <v>Vanija</v>
      </c>
      <c r="P294" s="11" t="str">
        <f>CHOOSE(ROUNDUP(Panchanga!$S294,0),"viṣkambha","prīti","āyuṣmāna","saubhāgya","śobhana","atigaṇḍa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("&amp;Panchanga!$S294&amp;")"</f>
        <v>varīyas (17.41)</v>
      </c>
      <c r="Q294" s="4">
        <f>IF(AND(Panchanga!$R294&lt;28.5,Panchanga!$R294&gt;0.49999),MOD((Panchanga!$R294-0.5)*2,7),MOD((Panchanga!$R294+30-28.5),30)*2+7)</f>
        <v>5.247799999999998</v>
      </c>
      <c r="R294" s="4">
        <f>ROUNDUP(MOD(360+P[[#This Row],[Moon]]-P[[#This Row],[Sun]],360)/12,4)</f>
        <v>10.123899999999999</v>
      </c>
      <c r="S294" s="4">
        <f>ROUNDUP(MOD(P[[#This Row],[Sun]]+P[[#This Row],[Moon]],360)/13.333333333,2)</f>
        <v>17.41</v>
      </c>
      <c r="T294" s="4" t="str">
        <f>SIGN(W295-Panchanga!$W294)*INT(Panchanga!$W294/30+1)&amp;"Ma,"&amp;SIGN(X295-Panchanga!$X294)*INT(Panchanga!$X294/30+1)&amp;"Me,"&amp;SIGN(Y295-Panchanga!$Y294)*INT(Panchanga!$Y294/30+1)&amp;"J, "&amp;SIGN(Z295-Panchanga!$Z294)*INT(Panchanga!$Z294/30+1)&amp;"V,"&amp;SIGN(AA295-Panchanga!$AA294)*INT(Panchanga!$AA294/30+1)&amp;"S,"&amp;INT(Panchanga!$AB294/30+1)&amp;"R"</f>
        <v>-4Ma,-8Me,-2J, 10V,11S,12R</v>
      </c>
      <c r="U294" s="4">
        <f t="shared" si="40"/>
        <v>235.26473482403853</v>
      </c>
      <c r="V294" s="4">
        <f t="shared" si="41"/>
        <v>356.75096905694716</v>
      </c>
      <c r="W294" s="4">
        <f>Planet(Panchanga!$G294,4)</f>
        <v>101.85471387487306</v>
      </c>
      <c r="X294" s="4">
        <f>Planet(Panchanga!$G294,2)</f>
        <v>224.29447719157955</v>
      </c>
      <c r="Y294" s="4">
        <f>Planet(Panchanga!$G294,5)</f>
        <v>51.620336149275246</v>
      </c>
      <c r="Z294" s="4">
        <f>Planet(Panchanga!$G294,3)</f>
        <v>280.14641387380448</v>
      </c>
      <c r="AA294" s="4">
        <f>Planet(Panchanga!$G294,6)</f>
        <v>319.05425670291044</v>
      </c>
      <c r="AB294" s="4">
        <f>Planet(Panchanga!$G294,10)</f>
        <v>338.40184731814747</v>
      </c>
      <c r="AC294" s="4" t="str">
        <f>TEXT(Panchanga!$C294+($C295-Panchanga!$C294)/ABS(IF($R295&lt;1,$R295+30,$R295)-Panchanga!$R294)*(ROUNDUP(Panchanga!$R294,0)-Panchanga!$R294),"hh:mm AM/PM")</f>
        <v>01:08 AM</v>
      </c>
      <c r="AD294" s="4"/>
    </row>
    <row r="295" spans="1:30" x14ac:dyDescent="0.2">
      <c r="A295" s="3">
        <f t="shared" si="43"/>
        <v>45638</v>
      </c>
      <c r="B295" s="3">
        <f t="shared" si="38"/>
        <v>45638.229166666664</v>
      </c>
      <c r="C295" s="6">
        <f t="shared" si="39"/>
        <v>45638.266651275255</v>
      </c>
      <c r="D295" s="6">
        <f>sunset(Lat,Long,B295)+TimeZone/24-0.000277777777777778</f>
        <v>45637.737824684053</v>
      </c>
      <c r="E295" s="6">
        <f>PlanetRiseSet(Lat,Long,B295,1,1)+TimeZone/24+0.00103009259259259</f>
        <v>45637.59009266986</v>
      </c>
      <c r="F295" s="6">
        <f>PlanetRiseSet(Lat,Long,B295+1,1,2)+TimeZone/24+0.00103009259259259</f>
        <v>45639.168413960062</v>
      </c>
      <c r="G295" s="17">
        <f>Panchanga!$C295-TimeZone/24</f>
        <v>45638.037484608591</v>
      </c>
      <c r="H295" s="13" t="str">
        <f>INT(P[[#This Row],[Sun]]/30)&amp;"s"&amp;ROUNDUP(MOD(P[[#This Row],[Sun]],30),2)</f>
        <v>7s26.29</v>
      </c>
      <c r="I295" s="13" t="str">
        <f>INT(P[[#This Row],[Moon]]/30)&amp;"s"&amp;ROUNDUP(MOD(P[[#This Row],[Moon]],30),2)</f>
        <v>0s11.23</v>
      </c>
      <c r="J295" s="14">
        <f t="shared" si="42"/>
        <v>45638.037484608591</v>
      </c>
      <c r="K295" s="10" t="str">
        <f>naks(P[[#This Row],[Moon]])</f>
        <v>Aswini</v>
      </c>
      <c r="L295" s="15">
        <f>(C296-P[[#This Row],[SunRise]])/(MOD(360+V296-P[[#This Row],[Moon]],360))*(13.3333333333333-MOD(P[[#This Row],[Moon]],13.333333333333))+P[[#This Row],[SunRise]]</f>
        <v>45638.411271852805</v>
      </c>
      <c r="M295" s="4" t="str">
        <f>IF(Panchanga!$R295&gt;15,"K","S")&amp;ROUNDUP(MOD(Panchanga!$R295,15),0)&amp;" ("&amp;ROUND(Panchanga!$R295,2)&amp;")"</f>
        <v>S12 (11.25)</v>
      </c>
      <c r="N295" s="4">
        <f>IF(AND(Panchanga!$R295&lt;28.5,Panchanga!$R295&gt;0.49999),MOD((Panchanga!$R295-0.5)*2,7),MOD((Panchanga!$R295+30-28.5),30)*2+7)</f>
        <v>0.49099999999999966</v>
      </c>
      <c r="O295" s="4" t="str">
        <f>CHOOSE(ROUNDUP(Panchanga!$N295,0),"Bhava","Baalava","Kaulava","Taitula","Garija","Vanija","Vishti","Shakuni","Chatushapda","Naaga","Kimstugna")</f>
        <v>Bhava</v>
      </c>
      <c r="P295" s="11" t="str">
        <f>CHOOSE(ROUNDUP(Panchanga!$S295,0),"viṣkambha","prīti","āyuṣmāna","saubhāgya","śobhana","atigaṇḍa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("&amp;Panchanga!$S295&amp;")"</f>
        <v>parigha (18.57)</v>
      </c>
      <c r="Q295" s="4">
        <f>IF(AND(Panchanga!$R295&lt;28.5,Panchanga!$R295&gt;0.49999),MOD((Panchanga!$R295-0.5)*2,7),MOD((Panchanga!$R295+30-28.5),30)*2+7)</f>
        <v>0.49099999999999966</v>
      </c>
      <c r="R295" s="4">
        <f>ROUNDUP(MOD(360+P[[#This Row],[Moon]]-P[[#This Row],[Sun]],360)/12,4)</f>
        <v>11.2455</v>
      </c>
      <c r="S295" s="4">
        <f>ROUNDUP(MOD(P[[#This Row],[Sun]]+P[[#This Row],[Moon]],360)/13.333333333,2)</f>
        <v>18.57</v>
      </c>
      <c r="T295" s="4" t="str">
        <f>SIGN(W296-Panchanga!$W295)*INT(Panchanga!$W295/30+1)&amp;"Ma,"&amp;SIGN(X296-Panchanga!$X295)*INT(Panchanga!$X295/30+1)&amp;"Me,"&amp;SIGN(Y296-Panchanga!$Y295)*INT(Panchanga!$Y295/30+1)&amp;"J, "&amp;SIGN(Z296-Panchanga!$Z295)*INT(Panchanga!$Z295/30+1)&amp;"V,"&amp;SIGN(AA296-Panchanga!$AA295)*INT(Panchanga!$AA295/30+1)&amp;"S,"&amp;INT(Panchanga!$AB295/30+1)&amp;"R"</f>
        <v>-4Ma,-8Me,-2J, 10V,11S,12R</v>
      </c>
      <c r="U295" s="4">
        <f t="shared" si="40"/>
        <v>236.2813585628115</v>
      </c>
      <c r="V295" s="4">
        <f t="shared" si="41"/>
        <v>11.226582699520666</v>
      </c>
      <c r="W295" s="4">
        <f>Planet(Panchanga!$G295,4)</f>
        <v>101.79273947247771</v>
      </c>
      <c r="X295" s="4">
        <f>Planet(Panchanga!$G295,2)</f>
        <v>223.50509845835668</v>
      </c>
      <c r="Y295" s="4">
        <f>Planet(Panchanga!$G295,5)</f>
        <v>51.484772201670602</v>
      </c>
      <c r="Z295" s="4">
        <f>Planet(Panchanga!$G295,3)</f>
        <v>281.29284737694684</v>
      </c>
      <c r="AA295" s="4">
        <f>Planet(Panchanga!$G295,6)</f>
        <v>319.09912429350533</v>
      </c>
      <c r="AB295" s="4">
        <f>Planet(Panchanga!$G295,10)</f>
        <v>338.34883516799908</v>
      </c>
      <c r="AC295" s="4" t="str">
        <f>TEXT(Panchanga!$C295+($C296-Panchanga!$C295)/ABS(IF($R296&lt;1,$R296+30,$R296)-Panchanga!$R295)*(ROUNDUP(Panchanga!$R295,0)-Panchanga!$R295),"hh:mm AM/PM")</f>
        <v>10:26 PM</v>
      </c>
      <c r="AD295" s="4"/>
    </row>
    <row r="296" spans="1:30" x14ac:dyDescent="0.2">
      <c r="A296" s="3">
        <f t="shared" si="43"/>
        <v>45639</v>
      </c>
      <c r="B296" s="3">
        <f t="shared" si="38"/>
        <v>45639.229166666664</v>
      </c>
      <c r="C296" s="6">
        <f t="shared" si="39"/>
        <v>45639.267029760093</v>
      </c>
      <c r="D296" s="6">
        <f>sunset(Lat,Long,B296)+TimeZone/24-0.000277777777777778</f>
        <v>45638.738092062573</v>
      </c>
      <c r="E296" s="6">
        <f>PlanetRiseSet(Lat,Long,B296,1,1)+TimeZone/24+0.00103009259259259</f>
        <v>45638.622102639325</v>
      </c>
      <c r="F296" s="6">
        <f>PlanetRiseSet(Lat,Long,B296+1,1,2)+TimeZone/24+0.00103009259259259</f>
        <v>45640.21298752135</v>
      </c>
      <c r="G296" s="17">
        <f>Panchanga!$C296-TimeZone/24</f>
        <v>45639.037863093428</v>
      </c>
      <c r="H296" s="13" t="str">
        <f>INT(P[[#This Row],[Sun]]/30)&amp;"s"&amp;ROUNDUP(MOD(P[[#This Row],[Sun]],30),2)</f>
        <v>7s27.3</v>
      </c>
      <c r="I296" s="13" t="str">
        <f>INT(P[[#This Row],[Moon]]/30)&amp;"s"&amp;ROUNDUP(MOD(P[[#This Row],[Moon]],30),2)</f>
        <v>0s25.8</v>
      </c>
      <c r="J296" s="14">
        <f t="shared" si="42"/>
        <v>45639.037863093428</v>
      </c>
      <c r="K296" s="10" t="str">
        <f>naks(P[[#This Row],[Moon]])</f>
        <v>Bharani</v>
      </c>
      <c r="L296" s="15">
        <f>(C297-P[[#This Row],[SunRise]])/(MOD(360+V297-P[[#This Row],[Moon]],360))*(13.3333333333333-MOD(P[[#This Row],[Moon]],13.333333333333))+P[[#This Row],[SunRise]]</f>
        <v>45639.326543168572</v>
      </c>
      <c r="M296" s="4" t="str">
        <f>IF(Panchanga!$R296&gt;15,"K","S")&amp;ROUNDUP(MOD(Panchanga!$R296,15),0)&amp;" ("&amp;ROUND(Panchanga!$R296,2)&amp;")"</f>
        <v>S13 (12.38)</v>
      </c>
      <c r="N296" s="4">
        <f>IF(AND(Panchanga!$R296&lt;28.5,Panchanga!$R296&gt;0.49999),MOD((Panchanga!$R296-0.5)*2,7),MOD((Panchanga!$R296+30-28.5),30)*2+7)</f>
        <v>2.7503999999999991</v>
      </c>
      <c r="O296" s="4" t="str">
        <f>CHOOSE(ROUNDUP(Panchanga!$N296,0),"Bhava","Baalava","Kaulava","Taitula","Garija","Vanija","Vishti","Shakuni","Chatushapda","Naaga","Kimstugna")</f>
        <v>Kaulava</v>
      </c>
      <c r="P296" s="11" t="str">
        <f>CHOOSE(ROUNDUP(Panchanga!$S296,0),"viṣkambha","prīti","āyuṣmāna","saubhāgya","śobhana","atigaṇḍa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("&amp;Panchanga!$S296&amp;")"</f>
        <v>śiva (19.74)</v>
      </c>
      <c r="Q296" s="4">
        <f>IF(AND(Panchanga!$R296&lt;28.5,Panchanga!$R296&gt;0.49999),MOD((Panchanga!$R296-0.5)*2,7),MOD((Panchanga!$R296+30-28.5),30)*2+7)</f>
        <v>2.7503999999999991</v>
      </c>
      <c r="R296" s="4">
        <f>ROUNDUP(MOD(360+P[[#This Row],[Moon]]-P[[#This Row],[Sun]],360)/12,4)</f>
        <v>12.3752</v>
      </c>
      <c r="S296" s="4">
        <f>ROUNDUP(MOD(P[[#This Row],[Sun]]+P[[#This Row],[Moon]],360)/13.333333333,2)</f>
        <v>19.740000000000002</v>
      </c>
      <c r="T296" s="4" t="str">
        <f>SIGN(W297-Panchanga!$W296)*INT(Panchanga!$W296/30+1)&amp;"Ma,"&amp;SIGN(X297-Panchanga!$X296)*INT(Panchanga!$X296/30+1)&amp;"Me,"&amp;SIGN(Y297-Panchanga!$Y296)*INT(Panchanga!$Y296/30+1)&amp;"J, "&amp;SIGN(Z297-Panchanga!$Z296)*INT(Panchanga!$Z296/30+1)&amp;"V,"&amp;SIGN(AA297-Panchanga!$AA296)*INT(Panchanga!$AA296/30+1)&amp;"S,"&amp;INT(Panchanga!$AB296/30+1)&amp;"R"</f>
        <v>-4Ma,-8Me,-2J, 10V,11S,12R</v>
      </c>
      <c r="U296" s="4">
        <f t="shared" si="40"/>
        <v>237.29814604554539</v>
      </c>
      <c r="V296" s="4">
        <f t="shared" si="41"/>
        <v>25.799529666580845</v>
      </c>
      <c r="W296" s="4">
        <f>Planet(Panchanga!$G296,4)</f>
        <v>101.71695821684774</v>
      </c>
      <c r="X296" s="4">
        <f>Planet(Panchanga!$G296,2)</f>
        <v>222.90031957211951</v>
      </c>
      <c r="Y296" s="4">
        <f>Planet(Panchanga!$G296,5)</f>
        <v>51.3496957778097</v>
      </c>
      <c r="Z296" s="4">
        <f>Planet(Panchanga!$G296,3)</f>
        <v>282.4366619449172</v>
      </c>
      <c r="AA296" s="4">
        <f>Planet(Panchanga!$G296,6)</f>
        <v>319.14561608561331</v>
      </c>
      <c r="AB296" s="4">
        <f>Planet(Panchanga!$G296,10)</f>
        <v>338.29582312458945</v>
      </c>
      <c r="AC296" s="4" t="str">
        <f>TEXT(Panchanga!$C296+($C297-Panchanga!$C296)/ABS(IF($R297&lt;1,$R297+30,$R297)-Panchanga!$R296)*(ROUNDUP(Panchanga!$R296,0)-Panchanga!$R296),"hh:mm AM/PM")</f>
        <v>07:41 PM</v>
      </c>
      <c r="AD296" s="4"/>
    </row>
    <row r="297" spans="1:30" x14ac:dyDescent="0.2">
      <c r="A297" s="3">
        <f t="shared" si="43"/>
        <v>45640</v>
      </c>
      <c r="B297" s="3">
        <f t="shared" si="38"/>
        <v>45640.229166666664</v>
      </c>
      <c r="C297" s="6">
        <f t="shared" si="39"/>
        <v>45640.267405877043</v>
      </c>
      <c r="D297" s="6">
        <f>sunset(Lat,Long,B297)+TimeZone/24-0.000277777777777778</f>
        <v>45639.738368962004</v>
      </c>
      <c r="E297" s="6">
        <f>PlanetRiseSet(Lat,Long,B297,1,1)+TimeZone/24+0.00103009259259259</f>
        <v>45639.657448699851</v>
      </c>
      <c r="F297" s="6">
        <f>PlanetRiseSet(Lat,Long,B297+1,1,2)+TimeZone/24+0.00103009259259259</f>
        <v>45641.258468187567</v>
      </c>
      <c r="G297" s="17">
        <f>Panchanga!$C297-TimeZone/24</f>
        <v>45640.038239210378</v>
      </c>
      <c r="H297" s="13" t="str">
        <f>INT(P[[#This Row],[Sun]]/30)&amp;"s"&amp;ROUNDUP(MOD(P[[#This Row],[Sun]],30),2)</f>
        <v>7s28.32</v>
      </c>
      <c r="I297" s="13" t="str">
        <f>INT(P[[#This Row],[Moon]]/30)&amp;"s"&amp;ROUNDUP(MOD(P[[#This Row],[Moon]],30),2)</f>
        <v>1s10.38</v>
      </c>
      <c r="J297" s="14">
        <f t="shared" si="42"/>
        <v>45640.038239210378</v>
      </c>
      <c r="K297" s="10" t="str">
        <f>naks(P[[#This Row],[Moon]])</f>
        <v>Rohini</v>
      </c>
      <c r="L297" s="15">
        <f>(C298-P[[#This Row],[SunRise]])/(MOD(360+V298-P[[#This Row],[Moon]],360))*(13.3333333333333-MOD(P[[#This Row],[Moon]],13.333333333333))+P[[#This Row],[SunRise]]</f>
        <v>45641.163548079297</v>
      </c>
      <c r="M297" s="4" t="str">
        <f>IF(Panchanga!$R297&gt;15,"K","S")&amp;ROUNDUP(MOD(Panchanga!$R297,15),0)&amp;" ("&amp;ROUND(Panchanga!$R297,2)&amp;")"</f>
        <v>S14 (13.51)</v>
      </c>
      <c r="N297" s="4">
        <f>IF(AND(Panchanga!$R297&lt;28.5,Panchanga!$R297&gt;0.49999),MOD((Panchanga!$R297-0.5)*2,7),MOD((Panchanga!$R297+30-28.5),30)*2+7)</f>
        <v>5.0102000000000011</v>
      </c>
      <c r="O297" s="4" t="str">
        <f>CHOOSE(ROUNDUP(Panchanga!$N297,0),"Bhava","Baalava","Kaulava","Taitula","Garija","Vanija","Vishti","Shakuni","Chatushapda","Naaga","Kimstugna")</f>
        <v>Vanija</v>
      </c>
      <c r="P297" s="11" t="str">
        <f>CHOOSE(ROUNDUP(Panchanga!$S297,0),"viṣkambha","prīti","āyuṣmāna","saubhāgya","śobhana","atigaṇḍa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("&amp;Panchanga!$S297&amp;")"</f>
        <v>siddha (20.91)</v>
      </c>
      <c r="Q297" s="4">
        <f>IF(AND(Panchanga!$R297&lt;28.5,Panchanga!$R297&gt;0.49999),MOD((Panchanga!$R297-0.5)*2,7),MOD((Panchanga!$R297+30-28.5),30)*2+7)</f>
        <v>5.0102000000000011</v>
      </c>
      <c r="R297" s="4">
        <f>ROUNDUP(MOD(360+P[[#This Row],[Moon]]-P[[#This Row],[Sun]],360)/12,4)</f>
        <v>13.505100000000001</v>
      </c>
      <c r="S297" s="4">
        <f>ROUNDUP(MOD(P[[#This Row],[Sun]]+P[[#This Row],[Moon]],360)/13.333333333,2)</f>
        <v>20.91</v>
      </c>
      <c r="T297" s="4" t="str">
        <f>SIGN(W298-Panchanga!$W297)*INT(Panchanga!$W297/30+1)&amp;"Ma,"&amp;SIGN(X298-Panchanga!$X297)*INT(Panchanga!$X297/30+1)&amp;"Me,"&amp;SIGN(Y298-Panchanga!$Y297)*INT(Panchanga!$Y297/30+1)&amp;"J, "&amp;SIGN(Z298-Panchanga!$Z297)*INT(Panchanga!$Z297/30+1)&amp;"V,"&amp;SIGN(AA298-Panchanga!$AA297)*INT(Panchanga!$AA297/30+1)&amp;"S,"&amp;INT(Panchanga!$AB297/30+1)&amp;"R"</f>
        <v>-4Ma,-8Me,-2J, 10V,11S,12R</v>
      </c>
      <c r="U297" s="4">
        <f t="shared" si="40"/>
        <v>238.315104291257</v>
      </c>
      <c r="V297" s="4">
        <f t="shared" si="41"/>
        <v>40.375457464794664</v>
      </c>
      <c r="W297" s="4">
        <f>Planet(Panchanga!$G297,4)</f>
        <v>101.62731190172623</v>
      </c>
      <c r="X297" s="4">
        <f>Planet(Panchanga!$G297,2)</f>
        <v>222.48302038734701</v>
      </c>
      <c r="Y297" s="4">
        <f>Planet(Panchanga!$G297,5)</f>
        <v>51.215206449453433</v>
      </c>
      <c r="Z297" s="4">
        <f>Planet(Panchanga!$G297,3)</f>
        <v>283.57777231173884</v>
      </c>
      <c r="AA297" s="4">
        <f>Planet(Panchanga!$G297,6)</f>
        <v>319.19371919461844</v>
      </c>
      <c r="AB297" s="4">
        <f>Planet(Panchanga!$G297,10)</f>
        <v>338.24281120664148</v>
      </c>
      <c r="AC297" s="4" t="str">
        <f>TEXT(Panchanga!$C297+($C298-Panchanga!$C297)/ABS(IF($R298&lt;1,$R298+30,$R298)-Panchanga!$R297)*(ROUNDUP(Panchanga!$R297,0)-Panchanga!$R297),"hh:mm AM/PM")</f>
        <v>05:01 PM</v>
      </c>
      <c r="AD297" s="4"/>
    </row>
    <row r="298" spans="1:30" x14ac:dyDescent="0.2">
      <c r="A298" s="3">
        <f t="shared" si="43"/>
        <v>45641</v>
      </c>
      <c r="B298" s="3">
        <f t="shared" si="38"/>
        <v>45641.229166666664</v>
      </c>
      <c r="C298" s="6">
        <f t="shared" si="39"/>
        <v>45641.267779274531</v>
      </c>
      <c r="D298" s="6">
        <f>sunset(Lat,Long,B298)+TimeZone/24-0.000277777777777778</f>
        <v>45640.738655109002</v>
      </c>
      <c r="E298" s="6">
        <f>PlanetRiseSet(Lat,Long,B298,1,1)+TimeZone/24+0.00103009259259259</f>
        <v>45640.696519393627</v>
      </c>
      <c r="F298" s="6">
        <f>PlanetRiseSet(Lat,Long,B298+1,1,2)+TimeZone/24+0.00103009259259259</f>
        <v>45642.302750469804</v>
      </c>
      <c r="G298" s="17">
        <f>Panchanga!$C298-TimeZone/24</f>
        <v>45641.038612607867</v>
      </c>
      <c r="H298" s="13" t="str">
        <f>INT(P[[#This Row],[Sun]]/30)&amp;"s"&amp;ROUNDUP(MOD(P[[#This Row],[Sun]],30),2)</f>
        <v>7s29.34</v>
      </c>
      <c r="I298" s="13" t="str">
        <f>INT(P[[#This Row],[Moon]]/30)&amp;"s"&amp;ROUNDUP(MOD(P[[#This Row],[Moon]],30),2)</f>
        <v>1s24.85</v>
      </c>
      <c r="J298" s="14">
        <f t="shared" si="42"/>
        <v>45641.038612607867</v>
      </c>
      <c r="K298" s="10" t="str">
        <f>naks(P[[#This Row],[Moon]])</f>
        <v>Mrigashira</v>
      </c>
      <c r="L298" s="15">
        <f>(C299-P[[#This Row],[SunRise]])/(MOD(360+V299-P[[#This Row],[Moon]],360))*(13.3333333333333-MOD(P[[#This Row],[Moon]],13.333333333333))+P[[#This Row],[SunRise]]</f>
        <v>45642.098677976544</v>
      </c>
      <c r="M298" s="4" t="str">
        <f>IF(Panchanga!$R298&gt;15,"K","S")&amp;ROUNDUP(MOD(Panchanga!$R298,15),0)&amp;" ("&amp;ROUND(Panchanga!$R298,2)&amp;")"</f>
        <v>S15 (14.63)</v>
      </c>
      <c r="N298" s="4">
        <f>IF(AND(Panchanga!$R298&lt;28.5,Panchanga!$R298&gt;0.49999),MOD((Panchanga!$R298-0.5)*2,7),MOD((Panchanga!$R298+30-28.5),30)*2+7)</f>
        <v>0.25140000000000029</v>
      </c>
      <c r="O298" s="4" t="str">
        <f>CHOOSE(ROUNDUP(Panchanga!$N298,0),"Bhava","Baalava","Kaulava","Taitula","Garija","Vanija","Vishti","Shakuni","Chatushapda","Naaga","Kimstugna")</f>
        <v>Bhava</v>
      </c>
      <c r="P298" s="11" t="str">
        <f>CHOOSE(ROUNDUP(Panchanga!$S298,0),"viṣkambha","prīti","āyuṣmāna","saubhāgya","śobhana","atigaṇḍa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("&amp;Panchanga!$S298&amp;")"</f>
        <v>śubha (22.07)</v>
      </c>
      <c r="Q298" s="4">
        <f>IF(AND(Panchanga!$R298&lt;28.5,Panchanga!$R298&gt;0.49999),MOD((Panchanga!$R298-0.5)*2,7),MOD((Panchanga!$R298+30-28.5),30)*2+7)</f>
        <v>0.25140000000000029</v>
      </c>
      <c r="R298" s="4">
        <f>ROUNDUP(MOD(360+P[[#This Row],[Moon]]-P[[#This Row],[Sun]],360)/12,4)</f>
        <v>14.6257</v>
      </c>
      <c r="S298" s="4">
        <f>ROUNDUP(MOD(P[[#This Row],[Sun]]+P[[#This Row],[Moon]],360)/13.333333333,2)</f>
        <v>22.07</v>
      </c>
      <c r="T298" s="4" t="str">
        <f>SIGN(W299-Panchanga!$W298)*INT(Panchanga!$W298/30+1)&amp;"Ma,"&amp;SIGN(X299-Panchanga!$X298)*INT(Panchanga!$X298/30+1)&amp;"Me,"&amp;SIGN(Y299-Panchanga!$Y298)*INT(Panchanga!$Y298/30+1)&amp;"J, "&amp;SIGN(Z299-Panchanga!$Z298)*INT(Panchanga!$Z298/30+1)&amp;"V,"&amp;SIGN(AA299-Panchanga!$AA298)*INT(Panchanga!$AA298/30+1)&amp;"S,"&amp;INT(Panchanga!$AB298/30+1)&amp;"R"</f>
        <v>-4Ma,-8Me,-2J, 10V,11S,12R</v>
      </c>
      <c r="U298" s="4">
        <f t="shared" si="40"/>
        <v>239.33224290569188</v>
      </c>
      <c r="V298" s="4">
        <f t="shared" si="41"/>
        <v>54.840476826951566</v>
      </c>
      <c r="W298" s="4">
        <f>Planet(Panchanga!$G298,4)</f>
        <v>101.5237515565386</v>
      </c>
      <c r="X298" s="4">
        <f>Planet(Panchanga!$G298,2)</f>
        <v>222.24984448720286</v>
      </c>
      <c r="Y298" s="4">
        <f>Planet(Panchanga!$G298,5)</f>
        <v>51.081402430318221</v>
      </c>
      <c r="Z298" s="4">
        <f>Planet(Panchanga!$G298,3)</f>
        <v>284.71609618101138</v>
      </c>
      <c r="AA298" s="4">
        <f>Planet(Panchanga!$G298,6)</f>
        <v>319.24342105871239</v>
      </c>
      <c r="AB298" s="4">
        <f>Planet(Panchanga!$G298,10)</f>
        <v>338.18979943281147</v>
      </c>
      <c r="AC298" s="4" t="str">
        <f>TEXT(Panchanga!$C298+($C299-Panchanga!$C298)/ABS(IF($R299&lt;1,$R299+30,$R299)-Panchanga!$R298)*(ROUNDUP(Panchanga!$R298,0)-Panchanga!$R298),"hh:mm AM/PM")</f>
        <v>02:34 PM</v>
      </c>
      <c r="AD298" s="4"/>
    </row>
    <row r="299" spans="1:30" x14ac:dyDescent="0.2">
      <c r="A299" s="3">
        <f t="shared" si="43"/>
        <v>45642</v>
      </c>
      <c r="B299" s="3">
        <f t="shared" si="38"/>
        <v>45642.229166666664</v>
      </c>
      <c r="C299" s="6">
        <f t="shared" si="39"/>
        <v>45642.268149599586</v>
      </c>
      <c r="D299" s="6">
        <f>sunset(Lat,Long,B299)+TimeZone/24-0.000277777777777778</f>
        <v>45641.738950225103</v>
      </c>
      <c r="E299" s="6">
        <f>PlanetRiseSet(Lat,Long,B299,1,1)+TimeZone/24+0.00103009259259259</f>
        <v>45641.738701041941</v>
      </c>
      <c r="F299" s="6">
        <f>PlanetRiseSet(Lat,Long,B299+1,1,2)+TimeZone/24+0.00103009259259259</f>
        <v>45643.343733451482</v>
      </c>
      <c r="G299" s="17">
        <f>Panchanga!$C299-TimeZone/24</f>
        <v>45642.038982932921</v>
      </c>
      <c r="H299" s="13" t="str">
        <f>INT(P[[#This Row],[Sun]]/30)&amp;"s"&amp;ROUNDUP(MOD(P[[#This Row],[Sun]],30),2)</f>
        <v>8s0.35</v>
      </c>
      <c r="I299" s="13" t="str">
        <f>INT(P[[#This Row],[Moon]]/30)&amp;"s"&amp;ROUNDUP(MOD(P[[#This Row],[Moon]],30),2)</f>
        <v>2s9.08</v>
      </c>
      <c r="J299" s="14">
        <f t="shared" si="42"/>
        <v>45642.038982932921</v>
      </c>
      <c r="K299" s="10" t="str">
        <f>naks(P[[#This Row],[Moon]])</f>
        <v>Ardra</v>
      </c>
      <c r="L299" s="15">
        <f>(C300-P[[#This Row],[SunRise]])/(MOD(360+V300-P[[#This Row],[Moon]],360))*(13.3333333333333-MOD(P[[#This Row],[Moon]],13.333333333333))+P[[#This Row],[SunRise]]</f>
        <v>45643.05337457078</v>
      </c>
      <c r="M299" s="4" t="str">
        <f>IF(Panchanga!$R299&gt;15,"K","S")&amp;ROUNDUP(MOD(Panchanga!$R299,15),0)&amp;" ("&amp;ROUND(Panchanga!$R299,2)&amp;")"</f>
        <v>K1 (15.73)</v>
      </c>
      <c r="N299" s="4">
        <f>IF(AND(Panchanga!$R299&lt;28.5,Panchanga!$R299&gt;0.49999),MOD((Panchanga!$R299-0.5)*2,7),MOD((Panchanga!$R299+30-28.5),30)*2+7)</f>
        <v>2.4549999999999983</v>
      </c>
      <c r="O299" s="4" t="str">
        <f>CHOOSE(ROUNDUP(Panchanga!$N299,0),"Bhava","Baalava","Kaulava","Taitula","Garija","Vanija","Vishti","Shakuni","Chatushapda","Naaga","Kimstugna")</f>
        <v>Kaulava</v>
      </c>
      <c r="P299" s="11" t="str">
        <f>CHOOSE(ROUNDUP(Panchanga!$S299,0),"viṣkambha","prīti","āyuṣmāna","saubhāgya","śobhana","atigaṇḍa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("&amp;Panchanga!$S299&amp;")"</f>
        <v>śukla (23.21)</v>
      </c>
      <c r="Q299" s="4">
        <f>IF(AND(Panchanga!$R299&lt;28.5,Panchanga!$R299&gt;0.49999),MOD((Panchanga!$R299-0.5)*2,7),MOD((Panchanga!$R299+30-28.5),30)*2+7)</f>
        <v>2.4549999999999983</v>
      </c>
      <c r="R299" s="4">
        <f>ROUNDUP(MOD(360+P[[#This Row],[Moon]]-P[[#This Row],[Sun]],360)/12,4)</f>
        <v>15.727499999999999</v>
      </c>
      <c r="S299" s="4">
        <f>ROUNDUP(MOD(P[[#This Row],[Sun]]+P[[#This Row],[Moon]],360)/13.333333333,2)</f>
        <v>23.21</v>
      </c>
      <c r="T299" s="4" t="str">
        <f>SIGN(W300-Panchanga!$W299)*INT(Panchanga!$W299/30+1)&amp;"Ma,"&amp;SIGN(X300-Panchanga!$X299)*INT(Panchanga!$X299/30+1)&amp;"Me,"&amp;SIGN(Y300-Panchanga!$Y299)*INT(Panchanga!$Y299/30+1)&amp;"J, "&amp;SIGN(Z300-Panchanga!$Z299)*INT(Panchanga!$Z299/30+1)&amp;"V,"&amp;SIGN(AA300-Panchanga!$AA299)*INT(Panchanga!$AA299/30+1)&amp;"S,"&amp;INT(Panchanga!$AB299/30+1)&amp;"R"</f>
        <v>-4Ma,8Me,-2J, 10V,11S,12R</v>
      </c>
      <c r="U299" s="4">
        <f t="shared" si="40"/>
        <v>240.34957243148037</v>
      </c>
      <c r="V299" s="4">
        <f t="shared" si="41"/>
        <v>69.078758034307782</v>
      </c>
      <c r="W299" s="4">
        <f>Planet(Panchanga!$G299,4)</f>
        <v>101.40624007533538</v>
      </c>
      <c r="X299" s="4">
        <f>Planet(Panchanga!$G299,2)</f>
        <v>222.19283818055513</v>
      </c>
      <c r="Y299" s="4">
        <f>Planet(Panchanga!$G299,5)</f>
        <v>50.948381015099223</v>
      </c>
      <c r="Z299" s="4">
        <f>Planet(Panchanga!$G299,3)</f>
        <v>285.85155343554078</v>
      </c>
      <c r="AA299" s="4">
        <f>Planet(Panchanga!$G299,6)</f>
        <v>319.29470947976591</v>
      </c>
      <c r="AB299" s="4">
        <f>Planet(Panchanga!$G299,10)</f>
        <v>338.13678782178914</v>
      </c>
      <c r="AC299" s="4" t="str">
        <f>TEXT(Panchanga!$C299+($C300-Panchanga!$C299)/ABS(IF($R300&lt;1,$R300+30,$R300)-Panchanga!$R299)*(ROUNDUP(Panchanga!$R299,0)-Panchanga!$R299),"hh:mm AM/PM")</f>
        <v>12:31 PM</v>
      </c>
      <c r="AD299" s="4"/>
    </row>
    <row r="300" spans="1:30" x14ac:dyDescent="0.2">
      <c r="A300" s="3">
        <f t="shared" si="43"/>
        <v>45643</v>
      </c>
      <c r="B300" s="3">
        <f t="shared" si="38"/>
        <v>45643.229166666664</v>
      </c>
      <c r="C300" s="6">
        <f t="shared" si="39"/>
        <v>45643.268516496442</v>
      </c>
      <c r="D300" s="6">
        <f>sunset(Lat,Long,B300)+TimeZone/24-0.000277777777777778</f>
        <v>45642.739254023923</v>
      </c>
      <c r="E300" s="6">
        <f>PlanetRiseSet(Lat,Long,B300,1,1)+TimeZone/24+0.00103009259259259</f>
        <v>45642.78228316192</v>
      </c>
      <c r="F300" s="6">
        <f>PlanetRiseSet(Lat,Long,B300+1,1,2)+TimeZone/24+0.00103009259259259</f>
        <v>45644.380264230691</v>
      </c>
      <c r="G300" s="17">
        <f>Panchanga!$C300-TimeZone/24</f>
        <v>45643.039349829778</v>
      </c>
      <c r="H300" s="13" t="str">
        <f>INT(P[[#This Row],[Sun]]/30)&amp;"s"&amp;ROUNDUP(MOD(P[[#This Row],[Sun]],30),2)</f>
        <v>8s1.37</v>
      </c>
      <c r="I300" s="13" t="str">
        <f>INT(P[[#This Row],[Moon]]/30)&amp;"s"&amp;ROUNDUP(MOD(P[[#This Row],[Moon]],30),2)</f>
        <v>2s23</v>
      </c>
      <c r="J300" s="14">
        <f t="shared" si="42"/>
        <v>45643.039349829778</v>
      </c>
      <c r="K300" s="10" t="str">
        <f>naks(P[[#This Row],[Moon]])</f>
        <v>Punarvasu</v>
      </c>
      <c r="L300" s="15">
        <f>(C301-P[[#This Row],[SunRise]])/(MOD(360+V301-P[[#This Row],[Moon]],360))*(13.3333333333333-MOD(P[[#This Row],[Moon]],13.333333333333))+P[[#This Row],[SunRise]]</f>
        <v>45644.033432541677</v>
      </c>
      <c r="M300" s="4" t="str">
        <f>IF(Panchanga!$R300&gt;15,"K","S")&amp;ROUNDUP(MOD(Panchanga!$R300,15),0)&amp;" ("&amp;ROUND(Panchanga!$R300,2)&amp;")"</f>
        <v>K2 (16.8)</v>
      </c>
      <c r="N300" s="4">
        <f>IF(AND(Panchanga!$R300&lt;28.5,Panchanga!$R300&gt;0.49999),MOD((Panchanga!$R300-0.5)*2,7),MOD((Panchanga!$R300+30-28.5),30)*2+7)</f>
        <v>4.6041999999999987</v>
      </c>
      <c r="O300" s="4" t="str">
        <f>CHOOSE(ROUNDUP(Panchanga!$N300,0),"Bhava","Baalava","Kaulava","Taitula","Garija","Vanija","Vishti","Shakuni","Chatushapda","Naaga","Kimstugna")</f>
        <v>Garija</v>
      </c>
      <c r="P300" s="11" t="str">
        <f>CHOOSE(ROUNDUP(Panchanga!$S300,0),"viṣkambha","prīti","āyuṣmāna","saubhāgya","śobhana","atigaṇḍa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("&amp;Panchanga!$S300&amp;")"</f>
        <v>brahma (24.33)</v>
      </c>
      <c r="Q300" s="4">
        <f>IF(AND(Panchanga!$R300&lt;28.5,Panchanga!$R300&gt;0.49999),MOD((Panchanga!$R300-0.5)*2,7),MOD((Panchanga!$R300+30-28.5),30)*2+7)</f>
        <v>4.6041999999999987</v>
      </c>
      <c r="R300" s="4">
        <f>ROUNDUP(MOD(360+P[[#This Row],[Moon]]-P[[#This Row],[Sun]],360)/12,4)</f>
        <v>16.802099999999999</v>
      </c>
      <c r="S300" s="4">
        <f>ROUNDUP(MOD(P[[#This Row],[Sun]]+P[[#This Row],[Moon]],360)/13.333333333,2)</f>
        <v>24.330000000000002</v>
      </c>
      <c r="T300" s="4" t="str">
        <f>SIGN(W301-Panchanga!$W300)*INT(Panchanga!$W300/30+1)&amp;"Ma,"&amp;SIGN(X301-Panchanga!$X300)*INT(Panchanga!$X300/30+1)&amp;"Me,"&amp;SIGN(Y301-Panchanga!$Y300)*INT(Panchanga!$Y300/30+1)&amp;"J, "&amp;SIGN(Z301-Panchanga!$Z300)*INT(Panchanga!$Z300/30+1)&amp;"V,"&amp;SIGN(AA301-Panchanga!$AA300)*INT(Panchanga!$AA300/30+1)&amp;"S,"&amp;INT(Panchanga!$AB300/30+1)&amp;"R"</f>
        <v>-4Ma,8Me,-2J, 10V,11S,12R</v>
      </c>
      <c r="U300" s="4">
        <f t="shared" si="40"/>
        <v>241.36710272200457</v>
      </c>
      <c r="V300" s="4">
        <f t="shared" si="41"/>
        <v>82.992285158218294</v>
      </c>
      <c r="W300" s="4">
        <f>Planet(Panchanga!$G300,4)</f>
        <v>101.27475576523685</v>
      </c>
      <c r="X300" s="4">
        <f>Planet(Panchanga!$G300,2)</f>
        <v>222.30097888434923</v>
      </c>
      <c r="Y300" s="4">
        <f>Planet(Panchanga!$G300,5)</f>
        <v>50.816238992982299</v>
      </c>
      <c r="Z300" s="4">
        <f>Planet(Panchanga!$G300,3)</f>
        <v>286.98406483323993</v>
      </c>
      <c r="AA300" s="4">
        <f>Planet(Panchanga!$G300,6)</f>
        <v>319.34757257525894</v>
      </c>
      <c r="AB300" s="4">
        <f>Planet(Panchanga!$G300,10)</f>
        <v>338.08377639247942</v>
      </c>
      <c r="AC300" s="4" t="str">
        <f>TEXT(Panchanga!$C300+($C301-Panchanga!$C300)/ABS(IF($R301&lt;1,$R301+30,$R301)-Panchanga!$R300)*(ROUNDUP(Panchanga!$R300,0)-Panchanga!$R300),"hh:mm AM/PM")</f>
        <v>11:00 AM</v>
      </c>
      <c r="AD300" s="4"/>
    </row>
    <row r="301" spans="1:30" x14ac:dyDescent="0.2">
      <c r="A301" s="3">
        <f t="shared" si="43"/>
        <v>45644</v>
      </c>
      <c r="B301" s="3">
        <f t="shared" si="38"/>
        <v>45644.229166666664</v>
      </c>
      <c r="C301" s="6">
        <f t="shared" si="39"/>
        <v>45644.268879601419</v>
      </c>
      <c r="D301" s="6">
        <f>sunset(Lat,Long,B301)+TimeZone/24-0.000277777777777778</f>
        <v>45643.739566208838</v>
      </c>
      <c r="E301" s="6">
        <f>PlanetRiseSet(Lat,Long,B301,1,1)+TimeZone/24+0.00103009259259259</f>
        <v>45643.825115288295</v>
      </c>
      <c r="F301" s="6">
        <f>PlanetRiseSet(Lat,Long,B301+1,1,2)+TimeZone/24+0.00103009259259259</f>
        <v>45645.412336404122</v>
      </c>
      <c r="G301" s="17">
        <f>Panchanga!$C301-TimeZone/24</f>
        <v>45644.039712934755</v>
      </c>
      <c r="H301" s="13" t="str">
        <f>INT(P[[#This Row],[Sun]]/30)&amp;"s"&amp;ROUNDUP(MOD(P[[#This Row],[Sun]],30),2)</f>
        <v>8s2.39</v>
      </c>
      <c r="I301" s="13" t="str">
        <f>INT(P[[#This Row],[Moon]]/30)&amp;"s"&amp;ROUNDUP(MOD(P[[#This Row],[Moon]],30),2)</f>
        <v>3s6.52</v>
      </c>
      <c r="J301" s="14">
        <f t="shared" si="42"/>
        <v>45644.039712934755</v>
      </c>
      <c r="K301" s="10" t="str">
        <f>naks(P[[#This Row],[Moon]])</f>
        <v>Pushya</v>
      </c>
      <c r="L301" s="15">
        <f>(C302-P[[#This Row],[SunRise]])/(MOD(360+V302-P[[#This Row],[Moon]],360))*(13.3333333333333-MOD(P[[#This Row],[Moon]],13.333333333333))+P[[#This Row],[SunRise]]</f>
        <v>45645.043356749047</v>
      </c>
      <c r="M301" s="4" t="str">
        <f>IF(Panchanga!$R301&gt;15,"K","S")&amp;ROUNDUP(MOD(Panchanga!$R301,15),0)&amp;" ("&amp;ROUND(Panchanga!$R301,2)&amp;")"</f>
        <v>K3 (17.84)</v>
      </c>
      <c r="N301" s="4">
        <f>IF(AND(Panchanga!$R301&lt;28.5,Panchanga!$R301&gt;0.49999),MOD((Panchanga!$R301-0.5)*2,7),MOD((Panchanga!$R301+30-28.5),30)*2+7)</f>
        <v>6.688600000000001</v>
      </c>
      <c r="O301" s="4" t="str">
        <f>CHOOSE(ROUNDUP(Panchanga!$N301,0),"Bhava","Baalava","Kaulava","Taitula","Garija","Vanija","Vishti","Shakuni","Chatushapda","Naaga","Kimstugna")</f>
        <v>Vishti</v>
      </c>
      <c r="P301" s="11" t="str">
        <f>CHOOSE(ROUNDUP(Panchanga!$S301,0),"viṣkambha","prīti","āyuṣmāna","saubhāgya","śobhana","atigaṇḍa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("&amp;Panchanga!$S301&amp;")"</f>
        <v>mahendra (25.42)</v>
      </c>
      <c r="Q301" s="4">
        <f>IF(AND(Panchanga!$R301&lt;28.5,Panchanga!$R301&gt;0.49999),MOD((Panchanga!$R301-0.5)*2,7),MOD((Panchanga!$R301+30-28.5),30)*2+7)</f>
        <v>6.688600000000001</v>
      </c>
      <c r="R301" s="4">
        <f>ROUNDUP(MOD(360+P[[#This Row],[Moon]]-P[[#This Row],[Sun]],360)/12,4)</f>
        <v>17.8443</v>
      </c>
      <c r="S301" s="4">
        <f>ROUNDUP(MOD(P[[#This Row],[Sun]]+P[[#This Row],[Moon]],360)/13.333333333,2)</f>
        <v>25.42</v>
      </c>
      <c r="T301" s="4" t="str">
        <f>SIGN(W302-Panchanga!$W301)*INT(Panchanga!$W301/30+1)&amp;"Ma,"&amp;SIGN(X302-Panchanga!$X301)*INT(Panchanga!$X301/30+1)&amp;"Me,"&amp;SIGN(Y302-Panchanga!$Y301)*INT(Panchanga!$Y301/30+1)&amp;"J, "&amp;SIGN(Z302-Panchanga!$Z301)*INT(Panchanga!$Z301/30+1)&amp;"V,"&amp;SIGN(AA302-Panchanga!$AA301)*INT(Panchanga!$AA301/30+1)&amp;"S,"&amp;INT(Panchanga!$AB301/30+1)&amp;"R"</f>
        <v>-4Ma,8Me,-2J, 10V,11S,12R</v>
      </c>
      <c r="U301" s="4">
        <f t="shared" si="40"/>
        <v>242.38484157322478</v>
      </c>
      <c r="V301" s="4">
        <f t="shared" si="41"/>
        <v>96.516387738709057</v>
      </c>
      <c r="W301" s="4">
        <f>Planet(Panchanga!$G301,4)</f>
        <v>101.12929640380717</v>
      </c>
      <c r="X301" s="4">
        <f>Planet(Panchanga!$G301,2)</f>
        <v>222.56146813580264</v>
      </c>
      <c r="Y301" s="4">
        <f>Planet(Panchanga!$G301,5)</f>
        <v>50.685072961292178</v>
      </c>
      <c r="Z301" s="4">
        <f>Planet(Panchanga!$G301,3)</f>
        <v>288.11355041508097</v>
      </c>
      <c r="AA301" s="4">
        <f>Planet(Panchanga!$G301,6)</f>
        <v>319.40199867067872</v>
      </c>
      <c r="AB301" s="4">
        <f>Planet(Panchanga!$G301,10)</f>
        <v>338.03076516405247</v>
      </c>
      <c r="AC301" s="4" t="str">
        <f>TEXT(Panchanga!$C301+($C302-Panchanga!$C301)/ABS(IF($R302&lt;1,$R302+30,$R302)-Panchanga!$R301)*(ROUNDUP(Panchanga!$R301,0)-Panchanga!$R301),"hh:mm AM/PM")</f>
        <v>10:09 AM</v>
      </c>
      <c r="AD301" s="4"/>
    </row>
    <row r="302" spans="1:30" x14ac:dyDescent="0.2">
      <c r="A302" s="3">
        <f t="shared" si="43"/>
        <v>45645</v>
      </c>
      <c r="B302" s="3">
        <f t="shared" si="38"/>
        <v>45645.229166666664</v>
      </c>
      <c r="C302" s="6">
        <f t="shared" si="39"/>
        <v>45645.269238543849</v>
      </c>
      <c r="D302" s="6">
        <f>sunset(Lat,Long,B302)+TimeZone/24-0.000277777777777778</f>
        <v>45644.739886469717</v>
      </c>
      <c r="E302" s="6">
        <f>PlanetRiseSet(Lat,Long,B302,1,1)+TimeZone/24+0.00103009259259259</f>
        <v>45644.865583432991</v>
      </c>
      <c r="F302" s="6">
        <f>PlanetRiseSet(Lat,Long,B302+1,1,2)+TimeZone/24+0.00103009259259259</f>
        <v>45646.440676692095</v>
      </c>
      <c r="G302" s="17">
        <f>Panchanga!$C302-TimeZone/24</f>
        <v>45645.040071877185</v>
      </c>
      <c r="H302" s="13" t="str">
        <f>INT(P[[#This Row],[Sun]]/30)&amp;"s"&amp;ROUNDUP(MOD(P[[#This Row],[Sun]],30),2)</f>
        <v>8s3.41</v>
      </c>
      <c r="I302" s="13" t="str">
        <f>INT(P[[#This Row],[Moon]]/30)&amp;"s"&amp;ROUNDUP(MOD(P[[#This Row],[Moon]],30),2)</f>
        <v>3s19.63</v>
      </c>
      <c r="J302" s="14">
        <f t="shared" si="42"/>
        <v>45645.040071877185</v>
      </c>
      <c r="K302" s="10" t="str">
        <f>naks(P[[#This Row],[Moon]])</f>
        <v>Aslesha</v>
      </c>
      <c r="L302" s="15">
        <f>(C303-P[[#This Row],[SunRise]])/(MOD(360+V303-P[[#This Row],[Moon]],360))*(13.3333333333333-MOD(P[[#This Row],[Moon]],13.333333333333))+P[[#This Row],[SunRise]]</f>
        <v>45646.085461737617</v>
      </c>
      <c r="M302" s="4" t="str">
        <f>IF(Panchanga!$R302&gt;15,"K","S")&amp;ROUNDUP(MOD(Panchanga!$R302,15),0)&amp;" ("&amp;ROUND(Panchanga!$R302,2)&amp;")"</f>
        <v>K4 (18.85)</v>
      </c>
      <c r="N302" s="4">
        <f>IF(AND(Panchanga!$R302&lt;28.5,Panchanga!$R302&gt;0.49999),MOD((Panchanga!$R302-0.5)*2,7),MOD((Panchanga!$R302+30-28.5),30)*2+7)</f>
        <v>1.7042000000000002</v>
      </c>
      <c r="O302" s="4" t="str">
        <f>CHOOSE(ROUNDUP(Panchanga!$N302,0),"Bhava","Baalava","Kaulava","Taitula","Garija","Vanija","Vishti","Shakuni","Chatushapda","Naaga","Kimstugna")</f>
        <v>Baalava</v>
      </c>
      <c r="P302" s="11" t="str">
        <f>CHOOSE(ROUNDUP(Panchanga!$S302,0),"viṣkambha","prīti","āyuṣmāna","saubhāgya","śobhana","atigaṇḍa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("&amp;Panchanga!$S302&amp;")"</f>
        <v>vaidhṛti (26.48)</v>
      </c>
      <c r="Q302" s="4">
        <f>IF(AND(Panchanga!$R302&lt;28.5,Panchanga!$R302&gt;0.49999),MOD((Panchanga!$R302-0.5)*2,7),MOD((Panchanga!$R302+30-28.5),30)*2+7)</f>
        <v>1.7042000000000002</v>
      </c>
      <c r="R302" s="4">
        <f>ROUNDUP(MOD(360+P[[#This Row],[Moon]]-P[[#This Row],[Sun]],360)/12,4)</f>
        <v>18.8521</v>
      </c>
      <c r="S302" s="4">
        <f>ROUNDUP(MOD(P[[#This Row],[Sun]]+P[[#This Row],[Moon]],360)/13.333333333,2)</f>
        <v>26.48</v>
      </c>
      <c r="T302" s="4" t="str">
        <f>SIGN(W303-Panchanga!$W302)*INT(Panchanga!$W302/30+1)&amp;"Ma,"&amp;SIGN(X303-Panchanga!$X302)*INT(Panchanga!$X302/30+1)&amp;"Me,"&amp;SIGN(Y303-Panchanga!$Y302)*INT(Panchanga!$Y302/30+1)&amp;"J, "&amp;SIGN(Z303-Panchanga!$Z302)*INT(Panchanga!$Z302/30+1)&amp;"V,"&amp;SIGN(AA303-Panchanga!$AA302)*INT(Panchanga!$AA302/30+1)&amp;"S,"&amp;INT(Panchanga!$AB302/30+1)&amp;"R"</f>
        <v>-4Ma,8Me,-2J, 10V,11S,12R</v>
      </c>
      <c r="U302" s="4">
        <f t="shared" si="40"/>
        <v>243.40279377699832</v>
      </c>
      <c r="V302" s="4">
        <f t="shared" si="41"/>
        <v>109.62706805361697</v>
      </c>
      <c r="W302" s="4">
        <f>Planet(Panchanga!$G302,4)</f>
        <v>100.96988335436738</v>
      </c>
      <c r="X302" s="4">
        <f>Planet(Panchanga!$G302,2)</f>
        <v>222.96074470906581</v>
      </c>
      <c r="Y302" s="4">
        <f>Planet(Panchanga!$G302,5)</f>
        <v>50.554979491645327</v>
      </c>
      <c r="Z302" s="4">
        <f>Planet(Panchanga!$G302,3)</f>
        <v>289.23992788324313</v>
      </c>
      <c r="AA302" s="4">
        <f>Planet(Panchanga!$G302,6)</f>
        <v>319.45797615104289</v>
      </c>
      <c r="AB302" s="4">
        <f>Planet(Panchanga!$G302,10)</f>
        <v>337.97775415625819</v>
      </c>
      <c r="AC302" s="4" t="str">
        <f>TEXT(Panchanga!$C302+($C303-Panchanga!$C302)/ABS(IF($R303&lt;1,$R303+30,$R303)-Panchanga!$R302)*(ROUNDUP(Panchanga!$R302,0)-Panchanga!$R302),"hh:mm AM/PM")</f>
        <v>10:06 AM</v>
      </c>
      <c r="AD302" s="4"/>
    </row>
    <row r="303" spans="1:30" x14ac:dyDescent="0.2">
      <c r="A303" s="3">
        <f t="shared" si="43"/>
        <v>45646</v>
      </c>
      <c r="B303" s="3">
        <f t="shared" si="38"/>
        <v>45646.229166666664</v>
      </c>
      <c r="C303" s="6">
        <f t="shared" si="39"/>
        <v>45646.269592946082</v>
      </c>
      <c r="D303" s="6">
        <f>sunset(Lat,Long,B303)+TimeZone/24-0.000277777777777778</f>
        <v>45645.740214480596</v>
      </c>
      <c r="E303" s="6">
        <f>PlanetRiseSet(Lat,Long,B303,1,1)+TimeZone/24+0.00103009259259259</f>
        <v>45645.903074837908</v>
      </c>
      <c r="F303" s="6">
        <f>PlanetRiseSet(Lat,Long,B303+1,1,2)+TimeZone/24+0.00103009259259259</f>
        <v>45647.466282800924</v>
      </c>
      <c r="G303" s="17">
        <f>Panchanga!$C303-TimeZone/24</f>
        <v>45646.040426279418</v>
      </c>
      <c r="H303" s="13" t="str">
        <f>INT(P[[#This Row],[Sun]]/30)&amp;"s"&amp;ROUNDUP(MOD(P[[#This Row],[Sun]],30),2)</f>
        <v>8s4.43</v>
      </c>
      <c r="I303" s="13" t="str">
        <f>INT(P[[#This Row],[Moon]]/30)&amp;"s"&amp;ROUNDUP(MOD(P[[#This Row],[Moon]],30),2)</f>
        <v>4s2.35</v>
      </c>
      <c r="J303" s="14">
        <f t="shared" si="42"/>
        <v>45646.040426279418</v>
      </c>
      <c r="K303" s="10" t="str">
        <f>naks(P[[#This Row],[Moon]])</f>
        <v>Makha</v>
      </c>
      <c r="L303" s="15">
        <f>(C304-P[[#This Row],[SunRise]])/(MOD(360+V304-P[[#This Row],[Moon]],360))*(13.3333333333333-MOD(P[[#This Row],[Moon]],13.333333333333))+P[[#This Row],[SunRise]]</f>
        <v>45647.159044757303</v>
      </c>
      <c r="M303" s="4" t="str">
        <f>IF(Panchanga!$R303&gt;15,"K","S")&amp;ROUNDUP(MOD(Panchanga!$R303,15),0)&amp;" ("&amp;ROUND(Panchanga!$R303,2)&amp;")"</f>
        <v>K5 (19.83)</v>
      </c>
      <c r="N303" s="4">
        <f>IF(AND(Panchanga!$R303&lt;28.5,Panchanga!$R303&gt;0.49999),MOD((Panchanga!$R303-0.5)*2,7),MOD((Panchanga!$R303+30-28.5),30)*2+7)</f>
        <v>3.6531999999999982</v>
      </c>
      <c r="O303" s="4" t="str">
        <f>CHOOSE(ROUNDUP(Panchanga!$N303,0),"Bhava","Baalava","Kaulava","Taitula","Garija","Vanija","Vishti","Shakuni","Chatushapda","Naaga","Kimstugna")</f>
        <v>Taitula</v>
      </c>
      <c r="P303" s="11" t="str">
        <f>CHOOSE(ROUNDUP(Panchanga!$S303,0),"viṣkambha","prīti","āyuṣmāna","saubhāgya","śobhana","atigaṇḍa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("&amp;Panchanga!$S303&amp;")"</f>
        <v>viṣkambha (0.51)</v>
      </c>
      <c r="Q303" s="4">
        <f>IF(AND(Panchanga!$R303&lt;28.5,Panchanga!$R303&gt;0.49999),MOD((Panchanga!$R303-0.5)*2,7),MOD((Panchanga!$R303+30-28.5),30)*2+7)</f>
        <v>3.6531999999999982</v>
      </c>
      <c r="R303" s="4">
        <f>ROUNDUP(MOD(360+P[[#This Row],[Moon]]-P[[#This Row],[Sun]],360)/12,4)</f>
        <v>19.826599999999999</v>
      </c>
      <c r="S303" s="4">
        <f>ROUNDUP(MOD(P[[#This Row],[Sun]]+P[[#This Row],[Moon]],360)/13.333333333,2)</f>
        <v>0.51</v>
      </c>
      <c r="T303" s="4" t="str">
        <f>SIGN(W304-Panchanga!$W303)*INT(Panchanga!$W303/30+1)&amp;"Ma,"&amp;SIGN(X304-Panchanga!$X303)*INT(Panchanga!$X303/30+1)&amp;"Me,"&amp;SIGN(Y304-Panchanga!$Y303)*INT(Panchanga!$Y303/30+1)&amp;"J, "&amp;SIGN(Z304-Panchanga!$Z303)*INT(Panchanga!$Z303/30+1)&amp;"V,"&amp;SIGN(AA304-Panchanga!$AA303)*INT(Panchanga!$AA303/30+1)&amp;"S,"&amp;INT(Panchanga!$AB303/30+1)&amp;"R"</f>
        <v>-4Ma,8Me,-2J, 10V,11S,12R</v>
      </c>
      <c r="U303" s="4">
        <f t="shared" si="40"/>
        <v>244.42096065442624</v>
      </c>
      <c r="V303" s="4">
        <f t="shared" si="41"/>
        <v>122.34002232375279</v>
      </c>
      <c r="W303" s="4">
        <f>Planet(Panchanga!$G303,4)</f>
        <v>100.79656533782703</v>
      </c>
      <c r="X303" s="4">
        <f>Planet(Panchanga!$G303,2)</f>
        <v>223.48522620231071</v>
      </c>
      <c r="Y303" s="4">
        <f>Planet(Panchanga!$G303,5)</f>
        <v>50.426055135589117</v>
      </c>
      <c r="Z303" s="4">
        <f>Planet(Panchanga!$G303,3)</f>
        <v>290.36311117594795</v>
      </c>
      <c r="AA303" s="4">
        <f>Planet(Panchanga!$G303,6)</f>
        <v>319.51549330442481</v>
      </c>
      <c r="AB303" s="4">
        <f>Planet(Panchanga!$G303,10)</f>
        <v>337.92474338902895</v>
      </c>
      <c r="AC303" s="4" t="str">
        <f>TEXT(Panchanga!$C303+($C304-Panchanga!$C303)/ABS(IF($R304&lt;1,$R304+30,$R304)-Panchanga!$R303)*(ROUNDUP(Panchanga!$R303,0)-Panchanga!$R303),"hh:mm AM/PM")</f>
        <v>10:52 AM</v>
      </c>
      <c r="AD303" s="4"/>
    </row>
    <row r="304" spans="1:30" x14ac:dyDescent="0.2">
      <c r="A304" s="3">
        <f t="shared" si="43"/>
        <v>45647</v>
      </c>
      <c r="B304" s="3">
        <f t="shared" si="38"/>
        <v>45647.229166666664</v>
      </c>
      <c r="C304" s="6">
        <f t="shared" si="39"/>
        <v>45647.269942424413</v>
      </c>
      <c r="D304" s="6">
        <f>sunset(Lat,Long,B304)+TimeZone/24-0.000277777777777778</f>
        <v>45646.740549899216</v>
      </c>
      <c r="E304" s="6">
        <f>PlanetRiseSet(Lat,Long,B304,1,1)+TimeZone/24+0.00103009259259259</f>
        <v>45646.9378052998</v>
      </c>
      <c r="F304" s="6">
        <f>PlanetRiseSet(Lat,Long,B304+1,1,2)+TimeZone/24+0.00103009259259259</f>
        <v>45647.466282814428</v>
      </c>
      <c r="G304" s="17">
        <f>Panchanga!$C304-TimeZone/24</f>
        <v>45647.040775757749</v>
      </c>
      <c r="H304" s="13" t="str">
        <f>INT(P[[#This Row],[Sun]]/30)&amp;"s"&amp;ROUNDUP(MOD(P[[#This Row],[Sun]],30),2)</f>
        <v>8s5.44</v>
      </c>
      <c r="I304" s="13" t="str">
        <f>INT(P[[#This Row],[Moon]]/30)&amp;"s"&amp;ROUNDUP(MOD(P[[#This Row],[Moon]],30),2)</f>
        <v>4s14.71</v>
      </c>
      <c r="J304" s="14">
        <f t="shared" si="42"/>
        <v>45647.040775757749</v>
      </c>
      <c r="K304" s="10" t="str">
        <f>naks(P[[#This Row],[Moon]])</f>
        <v>Purva Phalguni</v>
      </c>
      <c r="L304" s="15">
        <f>(C305-P[[#This Row],[SunRise]])/(MOD(360+V305-P[[#This Row],[Moon]],360))*(13.3333333333333-MOD(P[[#This Row],[Moon]],13.333333333333))+P[[#This Row],[SunRise]]</f>
        <v>45648.2599465682</v>
      </c>
      <c r="M304" s="4" t="str">
        <f>IF(Panchanga!$R304&gt;15,"K","S")&amp;ROUNDUP(MOD(Panchanga!$R304,15),0)&amp;" ("&amp;ROUND(Panchanga!$R304,2)&amp;")"</f>
        <v>K6 (20.77)</v>
      </c>
      <c r="N304" s="4">
        <f>IF(AND(Panchanga!$R304&lt;28.5,Panchanga!$R304&gt;0.49999),MOD((Panchanga!$R304-0.5)*2,7),MOD((Panchanga!$R304+30-28.5),30)*2+7)</f>
        <v>5.5441999999999965</v>
      </c>
      <c r="O304" s="4" t="str">
        <f>CHOOSE(ROUNDUP(Panchanga!$N304,0),"Bhava","Baalava","Kaulava","Taitula","Garija","Vanija","Vishti","Shakuni","Chatushapda","Naaga","Kimstugna")</f>
        <v>Vanija</v>
      </c>
      <c r="P304" s="11" t="str">
        <f>CHOOSE(ROUNDUP(Panchanga!$S304,0),"viṣkambha","prīti","āyuṣmāna","saubhāgya","śobhana","atigaṇḍa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("&amp;Panchanga!$S304&amp;")"</f>
        <v>prīti (1.52)</v>
      </c>
      <c r="Q304" s="4">
        <f>IF(AND(Panchanga!$R304&lt;28.5,Panchanga!$R304&gt;0.49999),MOD((Panchanga!$R304-0.5)*2,7),MOD((Panchanga!$R304+30-28.5),30)*2+7)</f>
        <v>5.5441999999999965</v>
      </c>
      <c r="R304" s="4">
        <f>ROUNDUP(MOD(360+P[[#This Row],[Moon]]-P[[#This Row],[Sun]],360)/12,4)</f>
        <v>20.772099999999998</v>
      </c>
      <c r="S304" s="4">
        <f>ROUNDUP(MOD(P[[#This Row],[Sun]]+P[[#This Row],[Moon]],360)/13.333333333,2)</f>
        <v>1.52</v>
      </c>
      <c r="T304" s="4" t="str">
        <f>SIGN(W305-Panchanga!$W304)*INT(Panchanga!$W304/30+1)&amp;"Ma,"&amp;SIGN(X305-Panchanga!$X304)*INT(Panchanga!$X304/30+1)&amp;"Me,"&amp;SIGN(Y305-Panchanga!$Y304)*INT(Panchanga!$Y304/30+1)&amp;"J, "&amp;SIGN(Z305-Panchanga!$Z304)*INT(Panchanga!$Z304/30+1)&amp;"V,"&amp;SIGN(AA305-Panchanga!$AA304)*INT(Panchanga!$AA304/30+1)&amp;"S,"&amp;INT(Panchanga!$AB304/30+1)&amp;"R"</f>
        <v>-4Ma,8Me,-2J, 10V,11S,12R</v>
      </c>
      <c r="U304" s="4">
        <f t="shared" si="40"/>
        <v>245.43934002077307</v>
      </c>
      <c r="V304" s="4">
        <f t="shared" si="41"/>
        <v>134.70398942665258</v>
      </c>
      <c r="W304" s="4">
        <f>Planet(Panchanga!$G304,4)</f>
        <v>100.60942159380643</v>
      </c>
      <c r="X304" s="4">
        <f>Planet(Panchanga!$G304,2)</f>
        <v>224.12181561633378</v>
      </c>
      <c r="Y304" s="4">
        <f>Planet(Panchanga!$G304,5)</f>
        <v>50.298396295717893</v>
      </c>
      <c r="Z304" s="4">
        <f>Planet(Panchanga!$G304,3)</f>
        <v>291.48300938905862</v>
      </c>
      <c r="AA304" s="4">
        <f>Planet(Panchanga!$G304,6)</f>
        <v>319.57453818462119</v>
      </c>
      <c r="AB304" s="4">
        <f>Planet(Panchanga!$G304,10)</f>
        <v>337.87173288272777</v>
      </c>
      <c r="AC304" s="4" t="str">
        <f>TEXT(Panchanga!$C304+($C305-Panchanga!$C304)/ABS(IF($R305&lt;1,$R305+30,$R305)-Panchanga!$R304)*(ROUNDUP(Panchanga!$R304,0)-Panchanga!$R304),"hh:mm AM/PM")</f>
        <v>12:24 PM</v>
      </c>
      <c r="AD304" s="4"/>
    </row>
    <row r="305" spans="1:30" x14ac:dyDescent="0.2">
      <c r="A305" s="3">
        <f t="shared" si="43"/>
        <v>45648</v>
      </c>
      <c r="B305" s="3">
        <f t="shared" si="38"/>
        <v>45648.229166666664</v>
      </c>
      <c r="C305" s="6">
        <f t="shared" si="39"/>
        <v>45648.270286588617</v>
      </c>
      <c r="D305" s="6">
        <f>sunset(Lat,Long,B305)+TimeZone/24-0.000277777777777778</f>
        <v>45647.740892366084</v>
      </c>
      <c r="E305" s="6">
        <f>PlanetRiseSet(Lat,Long,B305,1,1)+TimeZone/24+0.00103009259259259</f>
        <v>45647.970442013037</v>
      </c>
      <c r="F305" s="6">
        <f>PlanetRiseSet(Lat,Long,B305+1,1,2)+TimeZone/24+0.00103009259259259</f>
        <v>45648.49016787127</v>
      </c>
      <c r="G305" s="17">
        <f>Panchanga!$C305-TimeZone/24</f>
        <v>45648.041119921952</v>
      </c>
      <c r="H305" s="13" t="str">
        <f>INT(P[[#This Row],[Sun]]/30)&amp;"s"&amp;ROUNDUP(MOD(P[[#This Row],[Sun]],30),2)</f>
        <v>8s6.46</v>
      </c>
      <c r="I305" s="13" t="str">
        <f>INT(P[[#This Row],[Moon]]/30)&amp;"s"&amp;ROUNDUP(MOD(P[[#This Row],[Moon]],30),2)</f>
        <v>4s26.8</v>
      </c>
      <c r="J305" s="14">
        <f t="shared" si="42"/>
        <v>45648.041119921952</v>
      </c>
      <c r="K305" s="10" t="str">
        <f>naks(P[[#This Row],[Moon]])</f>
        <v>Uttara Phalguni</v>
      </c>
      <c r="L305" s="15">
        <f>(C306-P[[#This Row],[SunRise]])/(MOD(360+V306-P[[#This Row],[Moon]],360))*(13.3333333333333-MOD(P[[#This Row],[Moon]],13.333333333333))+P[[#This Row],[SunRise]]</f>
        <v>45649.380748370633</v>
      </c>
      <c r="M305" s="4" t="str">
        <f>IF(Panchanga!$R305&gt;15,"K","S")&amp;ROUNDUP(MOD(Panchanga!$R305,15),0)&amp;" ("&amp;ROUND(Panchanga!$R305,2)&amp;")"</f>
        <v>K7 (21.69)</v>
      </c>
      <c r="N305" s="4">
        <f>IF(AND(Panchanga!$R305&lt;28.5,Panchanga!$R305&gt;0.49999),MOD((Panchanga!$R305-0.5)*2,7),MOD((Panchanga!$R305+30-28.5),30)*2+7)</f>
        <v>0.3890000000000029</v>
      </c>
      <c r="O305" s="4" t="str">
        <f>CHOOSE(ROUNDUP(Panchanga!$N305,0),"Bhava","Baalava","Kaulava","Taitula","Garija","Vanija","Vishti","Shakuni","Chatushapda","Naaga","Kimstugna")</f>
        <v>Bhava</v>
      </c>
      <c r="P305" s="11" t="str">
        <f>CHOOSE(ROUNDUP(Panchanga!$S305,0),"viṣkambha","prīti","āyuṣmāna","saubhāgya","śobhana","atigaṇḍa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("&amp;Panchanga!$S305&amp;")"</f>
        <v>āyuṣmāna (2.5)</v>
      </c>
      <c r="Q305" s="4">
        <f>IF(AND(Panchanga!$R305&lt;28.5,Panchanga!$R305&gt;0.49999),MOD((Panchanga!$R305-0.5)*2,7),MOD((Panchanga!$R305+30-28.5),30)*2+7)</f>
        <v>0.3890000000000029</v>
      </c>
      <c r="R305" s="4">
        <f>ROUNDUP(MOD(360+P[[#This Row],[Moon]]-P[[#This Row],[Sun]],360)/12,4)</f>
        <v>21.694500000000001</v>
      </c>
      <c r="S305" s="4">
        <f>ROUNDUP(MOD(P[[#This Row],[Sun]]+P[[#This Row],[Moon]],360)/13.333333333,2)</f>
        <v>2.5</v>
      </c>
      <c r="T305" s="4" t="str">
        <f>SIGN(W306-Panchanga!$W305)*INT(Panchanga!$W305/30+1)&amp;"Ma,"&amp;SIGN(X306-Panchanga!$X305)*INT(Panchanga!$X305/30+1)&amp;"Me,"&amp;SIGN(Y306-Panchanga!$Y305)*INT(Panchanga!$Y305/30+1)&amp;"J, "&amp;SIGN(Z306-Panchanga!$Z305)*INT(Panchanga!$Z305/30+1)&amp;"V,"&amp;SIGN(AA306-Panchanga!$AA305)*INT(Panchanga!$AA305/30+1)&amp;"S,"&amp;INT(Panchanga!$AB305/30+1)&amp;"R"</f>
        <v>-4Ma,8Me,-2J, 10V,11S,12R</v>
      </c>
      <c r="U305" s="4">
        <f t="shared" si="40"/>
        <v>246.45792645761173</v>
      </c>
      <c r="V305" s="4">
        <f t="shared" si="41"/>
        <v>146.7916099082795</v>
      </c>
      <c r="W305" s="4">
        <f>Planet(Panchanga!$G305,4)</f>
        <v>100.40856433543162</v>
      </c>
      <c r="X305" s="4">
        <f>Planet(Panchanga!$G305,2)</f>
        <v>224.8582197071095</v>
      </c>
      <c r="Y305" s="4">
        <f>Planet(Panchanga!$G305,5)</f>
        <v>50.172099007215408</v>
      </c>
      <c r="Z305" s="4">
        <f>Planet(Panchanga!$G305,3)</f>
        <v>292.5995261019093</v>
      </c>
      <c r="AA305" s="4">
        <f>Planet(Panchanga!$G305,6)</f>
        <v>319.6350985069285</v>
      </c>
      <c r="AB305" s="4">
        <f>Planet(Panchanga!$G305,10)</f>
        <v>337.81872265801593</v>
      </c>
      <c r="AC305" s="4" t="str">
        <f>TEXT(Panchanga!$C305+($C306-Panchanga!$C305)/ABS(IF($R306&lt;1,$R306+30,$R306)-Panchanga!$R305)*(ROUNDUP(Panchanga!$R305,0)-Panchanga!$R305),"hh:mm AM/PM")</f>
        <v>02:34 PM</v>
      </c>
      <c r="AD305" s="4"/>
    </row>
    <row r="306" spans="1:30" x14ac:dyDescent="0.2">
      <c r="A306" s="3">
        <f t="shared" si="43"/>
        <v>45649</v>
      </c>
      <c r="B306" s="3">
        <f t="shared" si="38"/>
        <v>45649.229166666664</v>
      </c>
      <c r="C306" s="6">
        <f t="shared" si="39"/>
        <v>45649.270625046607</v>
      </c>
      <c r="D306" s="6">
        <f>sunset(Lat,Long,B306)+TimeZone/24-0.000277777777777778</f>
        <v>45648.741241506345</v>
      </c>
      <c r="E306" s="6">
        <f>PlanetRiseSet(Lat,Long,B306,1,1)+TimeZone/24+0.00103009259259259</f>
        <v>45649.00182338633</v>
      </c>
      <c r="F306" s="6">
        <f>PlanetRiseSet(Lat,Long,B306+1,1,2)+TimeZone/24+0.00103009259259259</f>
        <v>45649.513280458435</v>
      </c>
      <c r="G306" s="17">
        <f>Panchanga!$C306-TimeZone/24</f>
        <v>45649.041458379943</v>
      </c>
      <c r="H306" s="13" t="str">
        <f>INT(P[[#This Row],[Sun]]/30)&amp;"s"&amp;ROUNDUP(MOD(P[[#This Row],[Sun]],30),2)</f>
        <v>8s7.48</v>
      </c>
      <c r="I306" s="13" t="str">
        <f>INT(P[[#This Row],[Moon]]/30)&amp;"s"&amp;ROUNDUP(MOD(P[[#This Row],[Moon]],30),2)</f>
        <v>5s8.7</v>
      </c>
      <c r="J306" s="14">
        <f t="shared" si="42"/>
        <v>45649.041458379943</v>
      </c>
      <c r="K306" s="10" t="str">
        <f>naks(P[[#This Row],[Moon]])</f>
        <v>Uttara Phalguni</v>
      </c>
      <c r="L306" s="15">
        <f>(C307-P[[#This Row],[SunRise]])/(MOD(360+V307-P[[#This Row],[Moon]],360))*(13.3333333333333-MOD(P[[#This Row],[Moon]],13.333333333333))+P[[#This Row],[SunRise]]</f>
        <v>45649.381637728482</v>
      </c>
      <c r="M306" s="4" t="str">
        <f>IF(Panchanga!$R306&gt;15,"K","S")&amp;ROUNDUP(MOD(Panchanga!$R306,15),0)&amp;" ("&amp;ROUND(Panchanga!$R306,2)&amp;")"</f>
        <v>K8 (22.6)</v>
      </c>
      <c r="N306" s="4">
        <f>IF(AND(Panchanga!$R306&lt;28.5,Panchanga!$R306&gt;0.49999),MOD((Panchanga!$R306-0.5)*2,7),MOD((Panchanga!$R306+30-28.5),30)*2+7)</f>
        <v>2.2023999999999972</v>
      </c>
      <c r="O306" s="4" t="str">
        <f>CHOOSE(ROUNDUP(Panchanga!$N306,0),"Bhava","Baalava","Kaulava","Taitula","Garija","Vanija","Vishti","Shakuni","Chatushapda","Naaga","Kimstugna")</f>
        <v>Kaulava</v>
      </c>
      <c r="P306" s="11" t="str">
        <f>CHOOSE(ROUNDUP(Panchanga!$S306,0),"viṣkambha","prīti","āyuṣmāna","saubhāgya","śobhana","atigaṇḍa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("&amp;Panchanga!$S306&amp;")"</f>
        <v>saubhāgya (3.47)</v>
      </c>
      <c r="Q306" s="4">
        <f>IF(AND(Panchanga!$R306&lt;28.5,Panchanga!$R306&gt;0.49999),MOD((Panchanga!$R306-0.5)*2,7),MOD((Panchanga!$R306+30-28.5),30)*2+7)</f>
        <v>2.2023999999999972</v>
      </c>
      <c r="R306" s="4">
        <f>ROUNDUP(MOD(360+P[[#This Row],[Moon]]-P[[#This Row],[Sun]],360)/12,4)</f>
        <v>22.601199999999999</v>
      </c>
      <c r="S306" s="4">
        <f>ROUNDUP(MOD(P[[#This Row],[Sun]]+P[[#This Row],[Moon]],360)/13.333333333,2)</f>
        <v>3.4699999999999998</v>
      </c>
      <c r="T306" s="4" t="str">
        <f>SIGN(W307-Panchanga!$W306)*INT(Panchanga!$W306/30+1)&amp;"Ma,"&amp;SIGN(X307-Panchanga!$X306)*INT(Panchanga!$X306/30+1)&amp;"Me,"&amp;SIGN(Y307-Panchanga!$Y306)*INT(Panchanga!$Y306/30+1)&amp;"J, "&amp;SIGN(Z307-Panchanga!$Z306)*INT(Panchanga!$Z306/30+1)&amp;"V,"&amp;SIGN(AA307-Panchanga!$AA306)*INT(Panchanga!$AA306/30+1)&amp;"S,"&amp;INT(Panchanga!$AB306/30+1)&amp;"R"</f>
        <v>-4Ma,8Me,-2J, 10V,11S,12R</v>
      </c>
      <c r="U306" s="4">
        <f t="shared" si="40"/>
        <v>247.47671173299031</v>
      </c>
      <c r="V306" s="4">
        <f t="shared" si="41"/>
        <v>158.69013788186766</v>
      </c>
      <c r="W306" s="4">
        <f>Planet(Panchanga!$G306,4)</f>
        <v>100.19414057719104</v>
      </c>
      <c r="X306" s="4">
        <f>Planet(Panchanga!$G306,2)</f>
        <v>225.68312533694453</v>
      </c>
      <c r="Y306" s="4">
        <f>Planet(Panchanga!$G306,5)</f>
        <v>50.047258684869028</v>
      </c>
      <c r="Z306" s="4">
        <f>Planet(Panchanga!$G306,3)</f>
        <v>293.71255906790043</v>
      </c>
      <c r="AA306" s="4">
        <f>Planet(Panchanga!$G306,6)</f>
        <v>319.69716159150738</v>
      </c>
      <c r="AB306" s="4">
        <f>Planet(Panchanga!$G306,10)</f>
        <v>337.76571273573694</v>
      </c>
      <c r="AC306" s="4" t="str">
        <f>TEXT(Panchanga!$C306+($C307-Panchanga!$C306)/ABS(IF($R307&lt;1,$R307+30,$R307)-Panchanga!$R306)*(ROUNDUP(Panchanga!$R306,0)-Panchanga!$R306),"hh:mm AM/PM")</f>
        <v>05:08 PM</v>
      </c>
      <c r="AD306" s="4"/>
    </row>
    <row r="307" spans="1:30" x14ac:dyDescent="0.2">
      <c r="A307" s="3">
        <f t="shared" si="43"/>
        <v>45650</v>
      </c>
      <c r="B307" s="3">
        <f t="shared" si="38"/>
        <v>45650.229166666664</v>
      </c>
      <c r="C307" s="6">
        <f t="shared" si="39"/>
        <v>45650.270957403969</v>
      </c>
      <c r="D307" s="6">
        <f>sunset(Lat,Long,B307)+TimeZone/24-0.000277777777777778</f>
        <v>45649.741596929773</v>
      </c>
      <c r="E307" s="6">
        <f>PlanetRiseSet(Lat,Long,B307,1,1)+TimeZone/24+0.00103009259259259</f>
        <v>45650.032817789506</v>
      </c>
      <c r="F307" s="6">
        <f>PlanetRiseSet(Lat,Long,B307+1,1,2)+TimeZone/24+0.00103009259259259</f>
        <v>45650.536511639286</v>
      </c>
      <c r="G307" s="17">
        <f>Panchanga!$C307-TimeZone/24</f>
        <v>45650.041790737305</v>
      </c>
      <c r="H307" s="13" t="str">
        <f>INT(P[[#This Row],[Sun]]/30)&amp;"s"&amp;ROUNDUP(MOD(P[[#This Row],[Sun]],30),2)</f>
        <v>8s8.5</v>
      </c>
      <c r="I307" s="13" t="str">
        <f>INT(P[[#This Row],[Moon]]/30)&amp;"s"&amp;ROUNDUP(MOD(P[[#This Row],[Moon]],30),2)</f>
        <v>5s20.5</v>
      </c>
      <c r="J307" s="14">
        <f t="shared" si="42"/>
        <v>45650.041790737305</v>
      </c>
      <c r="K307" s="10" t="str">
        <f>naks(P[[#This Row],[Moon]])</f>
        <v>Hasta</v>
      </c>
      <c r="L307" s="15">
        <f>(C308-P[[#This Row],[SunRise]])/(MOD(360+V308-P[[#This Row],[Moon]],360))*(13.3333333333333-MOD(P[[#This Row],[Moon]],13.333333333333))+P[[#This Row],[SunRise]]</f>
        <v>45650.511694617533</v>
      </c>
      <c r="M307" s="4" t="str">
        <f>IF(Panchanga!$R307&gt;15,"K","S")&amp;ROUNDUP(MOD(Panchanga!$R307,15),0)&amp;" ("&amp;ROUND(Panchanga!$R307,2)&amp;")"</f>
        <v>K9 (23.5)</v>
      </c>
      <c r="N307" s="4">
        <f>IF(AND(Panchanga!$R307&lt;28.5,Panchanga!$R307&gt;0.49999),MOD((Panchanga!$R307-0.5)*2,7),MOD((Panchanga!$R307+30-28.5),30)*2+7)</f>
        <v>3.9996000000000009</v>
      </c>
      <c r="O307" s="4" t="str">
        <f>CHOOSE(ROUNDUP(Panchanga!$N307,0),"Bhava","Baalava","Kaulava","Taitula","Garija","Vanija","Vishti","Shakuni","Chatushapda","Naaga","Kimstugna")</f>
        <v>Taitula</v>
      </c>
      <c r="P307" s="11" t="str">
        <f>CHOOSE(ROUNDUP(Panchanga!$S307,0),"viṣkambha","prīti","āyuṣmāna","saubhāgya","śobhana","atigaṇḍa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("&amp;Panchanga!$S307&amp;")"</f>
        <v>śobhana (4.43)</v>
      </c>
      <c r="Q307" s="4">
        <f>IF(AND(Panchanga!$R307&lt;28.5,Panchanga!$R307&gt;0.49999),MOD((Panchanga!$R307-0.5)*2,7),MOD((Panchanga!$R307+30-28.5),30)*2+7)</f>
        <v>3.9996000000000009</v>
      </c>
      <c r="R307" s="4">
        <f>ROUNDUP(MOD(360+P[[#This Row],[Moon]]-P[[#This Row],[Sun]],360)/12,4)</f>
        <v>23.4998</v>
      </c>
      <c r="S307" s="4">
        <f>ROUNDUP(MOD(P[[#This Row],[Sun]]+P[[#This Row],[Moon]],360)/13.333333333,2)</f>
        <v>4.43</v>
      </c>
      <c r="T307" s="4" t="str">
        <f>SIGN(W308-Panchanga!$W307)*INT(Panchanga!$W307/30+1)&amp;"Ma,"&amp;SIGN(X308-Panchanga!$X307)*INT(Panchanga!$X307/30+1)&amp;"Me,"&amp;SIGN(Y308-Panchanga!$Y307)*INT(Panchanga!$Y307/30+1)&amp;"J, "&amp;SIGN(Z308-Panchanga!$Z307)*INT(Panchanga!$Z307/30+1)&amp;"V,"&amp;SIGN(AA308-Panchanga!$AA307)*INT(Panchanga!$AA307/30+1)&amp;"S,"&amp;INT(Panchanga!$AB307/30+1)&amp;"R"</f>
        <v>-4Ma,8Me,-2J, 10V,11S,12R</v>
      </c>
      <c r="U307" s="4">
        <f t="shared" si="40"/>
        <v>248.49568519904386</v>
      </c>
      <c r="V307" s="4">
        <f t="shared" si="41"/>
        <v>170.49327098604027</v>
      </c>
      <c r="W307" s="4">
        <f>Planet(Panchanga!$G307,4)</f>
        <v>99.966333531372101</v>
      </c>
      <c r="X307" s="4">
        <f>Planet(Panchanga!$G307,2)</f>
        <v>226.58627408751539</v>
      </c>
      <c r="Y307" s="4">
        <f>Planet(Panchanga!$G307,5)</f>
        <v>49.923969886605867</v>
      </c>
      <c r="Z307" s="4">
        <f>Planet(Panchanga!$G307,3)</f>
        <v>294.82200013002199</v>
      </c>
      <c r="AA307" s="4">
        <f>Planet(Panchanga!$G307,6)</f>
        <v>319.76071433842782</v>
      </c>
      <c r="AB307" s="4">
        <f>Planet(Panchanga!$G307,10)</f>
        <v>337.71270313673443</v>
      </c>
      <c r="AC307" s="4" t="str">
        <f>TEXT(Panchanga!$C307+($C308-Panchanga!$C307)/ABS(IF($R308&lt;1,$R308+30,$R308)-Panchanga!$R307)*(ROUNDUP(Panchanga!$R307,0)-Panchanga!$R307),"hh:mm AM/PM")</f>
        <v>07:52 PM</v>
      </c>
      <c r="AD307" s="4"/>
    </row>
    <row r="308" spans="1:30" x14ac:dyDescent="0.2">
      <c r="A308" s="3">
        <f t="shared" si="43"/>
        <v>45651</v>
      </c>
      <c r="B308" s="3">
        <f t="shared" si="38"/>
        <v>45651.229166666664</v>
      </c>
      <c r="C308" s="6">
        <f t="shared" si="39"/>
        <v>45651.271283265356</v>
      </c>
      <c r="D308" s="6">
        <f>sunset(Lat,Long,B308)+TimeZone/24-0.000277777777777778</f>
        <v>45650.741958235434</v>
      </c>
      <c r="E308" s="6">
        <f>PlanetRiseSet(Lat,Long,B308,1,1)+TimeZone/24+0.00103009259259259</f>
        <v>45651.064263441753</v>
      </c>
      <c r="F308" s="6">
        <f>PlanetRiseSet(Lat,Long,B308+1,1,2)+TimeZone/24+0.00103009259259259</f>
        <v>45651.56072826466</v>
      </c>
      <c r="G308" s="17">
        <f>Panchanga!$C308-TimeZone/24</f>
        <v>45651.042116598692</v>
      </c>
      <c r="H308" s="13" t="str">
        <f>INT(P[[#This Row],[Sun]]/30)&amp;"s"&amp;ROUNDUP(MOD(P[[#This Row],[Sun]],30),2)</f>
        <v>8s9.52</v>
      </c>
      <c r="I308" s="13" t="str">
        <f>INT(P[[#This Row],[Moon]]/30)&amp;"s"&amp;ROUNDUP(MOD(P[[#This Row],[Moon]],30),2)</f>
        <v>6s2.3</v>
      </c>
      <c r="J308" s="14">
        <f t="shared" si="42"/>
        <v>45651.042116598692</v>
      </c>
      <c r="K308" s="10" t="str">
        <f>naks(P[[#This Row],[Moon]])</f>
        <v>Chitra</v>
      </c>
      <c r="L308" s="15">
        <f>(C309-P[[#This Row],[SunRise]])/(MOD(360+V309-P[[#This Row],[Moon]],360))*(13.3333333333333-MOD(P[[#This Row],[Moon]],13.333333333333))+P[[#This Row],[SunRise]]</f>
        <v>45651.639215322932</v>
      </c>
      <c r="M308" s="4" t="str">
        <f>IF(Panchanga!$R308&gt;15,"K","S")&amp;ROUNDUP(MOD(Panchanga!$R308,15),0)&amp;" ("&amp;ROUND(Panchanga!$R308,2)&amp;")"</f>
        <v>K10 (24.4)</v>
      </c>
      <c r="N308" s="4">
        <f>IF(AND(Panchanga!$R308&lt;28.5,Panchanga!$R308&gt;0.49999),MOD((Panchanga!$R308-0.5)*2,7),MOD((Panchanga!$R308+30-28.5),30)*2+7)</f>
        <v>5.7967999999999975</v>
      </c>
      <c r="O308" s="4" t="str">
        <f>CHOOSE(ROUNDUP(Panchanga!$N308,0),"Bhava","Baalava","Kaulava","Taitula","Garija","Vanija","Vishti","Shakuni","Chatushapda","Naaga","Kimstugna")</f>
        <v>Vanija</v>
      </c>
      <c r="P308" s="11" t="str">
        <f>CHOOSE(ROUNDUP(Panchanga!$S308,0),"viṣkambha","prīti","āyuṣmāna","saubhāgya","śobhana","atigaṇḍa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("&amp;Panchanga!$S308&amp;")"</f>
        <v>atigaṇḍa  (5.39)</v>
      </c>
      <c r="Q308" s="4">
        <f>IF(AND(Panchanga!$R308&lt;28.5,Panchanga!$R308&gt;0.49999),MOD((Panchanga!$R308-0.5)*2,7),MOD((Panchanga!$R308+30-28.5),30)*2+7)</f>
        <v>5.7967999999999975</v>
      </c>
      <c r="R308" s="4">
        <f>ROUNDUP(MOD(360+P[[#This Row],[Moon]]-P[[#This Row],[Sun]],360)/12,4)</f>
        <v>24.398399999999999</v>
      </c>
      <c r="S308" s="4">
        <f>ROUNDUP(MOD(P[[#This Row],[Sun]]+P[[#This Row],[Moon]],360)/13.333333333,2)</f>
        <v>5.39</v>
      </c>
      <c r="T308" s="4" t="str">
        <f>SIGN(W309-Panchanga!$W308)*INT(Panchanga!$W308/30+1)&amp;"Ma,"&amp;SIGN(X309-Panchanga!$X308)*INT(Panchanga!$X308/30+1)&amp;"Me,"&amp;SIGN(Y309-Panchanga!$Y308)*INT(Panchanga!$Y308/30+1)&amp;"J, "&amp;SIGN(Z309-Panchanga!$Z308)*INT(Panchanga!$Z308/30+1)&amp;"V,"&amp;SIGN(AA309-Panchanga!$AA308)*INT(Panchanga!$AA308/30+1)&amp;"S,"&amp;INT(Panchanga!$AB308/30+1)&amp;"R"</f>
        <v>-4Ma,8Me,-2J, 10V,11S,12R</v>
      </c>
      <c r="U308" s="4">
        <f t="shared" si="40"/>
        <v>249.51483406432195</v>
      </c>
      <c r="V308" s="4">
        <f t="shared" si="41"/>
        <v>182.29447019355842</v>
      </c>
      <c r="W308" s="4">
        <f>Planet(Panchanga!$G308,4)</f>
        <v>99.725363803039627</v>
      </c>
      <c r="X308" s="4">
        <f>Planet(Panchanga!$G308,2)</f>
        <v>227.55846763183501</v>
      </c>
      <c r="Y308" s="4">
        <f>Planet(Panchanga!$G308,5)</f>
        <v>49.8023261205986</v>
      </c>
      <c r="Z308" s="4">
        <f>Planet(Panchanga!$G308,3)</f>
        <v>295.9277352071278</v>
      </c>
      <c r="AA308" s="4">
        <f>Planet(Panchanga!$G308,6)</f>
        <v>319.82574322438904</v>
      </c>
      <c r="AB308" s="4">
        <f>Planet(Panchanga!$G308,10)</f>
        <v>337.65969388195128</v>
      </c>
      <c r="AC308" s="4" t="str">
        <f>TEXT(Panchanga!$C308+($C309-Panchanga!$C308)/ABS(IF($R309&lt;1,$R309+30,$R309)-Panchanga!$R308)*(ROUNDUP(Panchanga!$R308,0)-Panchanga!$R308),"hh:mm AM/PM")</f>
        <v>10:27 PM</v>
      </c>
      <c r="AD308" s="4"/>
    </row>
    <row r="309" spans="1:30" x14ac:dyDescent="0.2">
      <c r="A309" s="3">
        <f t="shared" si="43"/>
        <v>45652</v>
      </c>
      <c r="B309" s="3">
        <f t="shared" si="38"/>
        <v>45652.229166666664</v>
      </c>
      <c r="C309" s="6">
        <f t="shared" si="39"/>
        <v>45652.271602238216</v>
      </c>
      <c r="D309" s="6">
        <f>sunset(Lat,Long,B309)+TimeZone/24-0.000277777777777778</f>
        <v>45651.74232500889</v>
      </c>
      <c r="E309" s="6">
        <f>PlanetRiseSet(Lat,Long,B309,1,1)+TimeZone/24+0.00103009259259259</f>
        <v>45652.096926043429</v>
      </c>
      <c r="F309" s="6">
        <f>PlanetRiseSet(Lat,Long,B309+1,1,2)+TimeZone/24+0.00103009259259259</f>
        <v>45652.586794165116</v>
      </c>
      <c r="G309" s="17">
        <f>Panchanga!$C309-TimeZone/24</f>
        <v>45652.042435571551</v>
      </c>
      <c r="H309" s="13" t="str">
        <f>INT(P[[#This Row],[Sun]]/30)&amp;"s"&amp;ROUNDUP(MOD(P[[#This Row],[Sun]],30),2)</f>
        <v>8s10.54</v>
      </c>
      <c r="I309" s="13" t="str">
        <f>INT(P[[#This Row],[Moon]]/30)&amp;"s"&amp;ROUNDUP(MOD(P[[#This Row],[Moon]],30),2)</f>
        <v>6s14.19</v>
      </c>
      <c r="J309" s="14">
        <f t="shared" si="42"/>
        <v>45652.042435571551</v>
      </c>
      <c r="K309" s="10" t="str">
        <f>naks(P[[#This Row],[Moon]])</f>
        <v>Swati</v>
      </c>
      <c r="L309" s="15">
        <f>(C310-P[[#This Row],[SunRise]])/(MOD(360+V310-P[[#This Row],[Moon]],360))*(13.3333333333333-MOD(P[[#This Row],[Moon]],13.333333333333))+P[[#This Row],[SunRise]]</f>
        <v>45652.754640351835</v>
      </c>
      <c r="M309" s="4" t="str">
        <f>IF(Panchanga!$R309&gt;15,"K","S")&amp;ROUNDUP(MOD(Panchanga!$R309,15),0)&amp;" ("&amp;ROUND(Panchanga!$R309,2)&amp;")"</f>
        <v>K11 (25.3)</v>
      </c>
      <c r="N309" s="4">
        <f>IF(AND(Panchanga!$R309&lt;28.5,Panchanga!$R309&gt;0.49999),MOD((Panchanga!$R309-0.5)*2,7),MOD((Panchanga!$R309+30-28.5),30)*2+7)</f>
        <v>0.60799999999999699</v>
      </c>
      <c r="O309" s="4" t="str">
        <f>CHOOSE(ROUNDUP(Panchanga!$N309,0),"Bhava","Baalava","Kaulava","Taitula","Garija","Vanija","Vishti","Shakuni","Chatushapda","Naaga","Kimstugna")</f>
        <v>Bhava</v>
      </c>
      <c r="P309" s="11" t="str">
        <f>CHOOSE(ROUNDUP(Panchanga!$S309,0),"viṣkambha","prīti","āyuṣmāna","saubhāgya","śobhana","atigaṇḍa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("&amp;Panchanga!$S309&amp;")"</f>
        <v>sukarmā  (6.36)</v>
      </c>
      <c r="Q309" s="4">
        <f>IF(AND(Panchanga!$R309&lt;28.5,Panchanga!$R309&gt;0.49999),MOD((Panchanga!$R309-0.5)*2,7),MOD((Panchanga!$R309+30-28.5),30)*2+7)</f>
        <v>0.60799999999999699</v>
      </c>
      <c r="R309" s="4">
        <f>ROUNDUP(MOD(360+P[[#This Row],[Moon]]-P[[#This Row],[Sun]],360)/12,4)</f>
        <v>25.303999999999998</v>
      </c>
      <c r="S309" s="4">
        <f>ROUNDUP(MOD(P[[#This Row],[Sun]]+P[[#This Row],[Moon]],360)/13.333333333,2)</f>
        <v>6.3599999999999994</v>
      </c>
      <c r="T309" s="4" t="str">
        <f>SIGN(W310-Panchanga!$W309)*INT(Panchanga!$W309/30+1)&amp;"Ma,"&amp;SIGN(X310-Panchanga!$X309)*INT(Panchanga!$X309/30+1)&amp;"Me,"&amp;SIGN(Y310-Panchanga!$Y309)*INT(Panchanga!$Y309/30+1)&amp;"J, "&amp;SIGN(Z310-Panchanga!$Z309)*INT(Panchanga!$Z309/30+1)&amp;"V,"&amp;SIGN(AA310-Panchanga!$AA309)*INT(Panchanga!$AA309/30+1)&amp;"S,"&amp;INT(Panchanga!$AB309/30+1)&amp;"R"</f>
        <v>-4Ma,8Me,-2J, 10V,11S,12R</v>
      </c>
      <c r="U309" s="4">
        <f t="shared" si="40"/>
        <v>250.53414348645174</v>
      </c>
      <c r="V309" s="4">
        <f t="shared" si="41"/>
        <v>194.18142321945533</v>
      </c>
      <c r="W309" s="4">
        <f>Planet(Panchanga!$G309,4)</f>
        <v>99.471490578752537</v>
      </c>
      <c r="X309" s="4">
        <f>Planet(Panchanga!$G309,2)</f>
        <v>228.59152868059388</v>
      </c>
      <c r="Y309" s="4">
        <f>Planet(Panchanga!$G309,5)</f>
        <v>49.682419700495586</v>
      </c>
      <c r="Z309" s="4">
        <f>Planet(Panchanga!$G309,3)</f>
        <v>297.02964418257199</v>
      </c>
      <c r="AA309" s="4">
        <f>Planet(Panchanga!$G309,6)</f>
        <v>319.89223430737462</v>
      </c>
      <c r="AB309" s="4">
        <f>Planet(Panchanga!$G309,10)</f>
        <v>337.60668499223107</v>
      </c>
      <c r="AC309" s="4" t="str">
        <f>TEXT(Panchanga!$C309+($C310-Panchanga!$C309)/ABS(IF($R310&lt;1,$R310+30,$R310)-Panchanga!$R309)*(ROUNDUP(Panchanga!$R309,0)-Panchanga!$R309),"hh:mm AM/PM")</f>
        <v>12:41 AM</v>
      </c>
      <c r="AD309" s="4"/>
    </row>
    <row r="310" spans="1:30" x14ac:dyDescent="0.2">
      <c r="A310" s="3">
        <f t="shared" si="43"/>
        <v>45653</v>
      </c>
      <c r="B310" s="3">
        <f t="shared" si="38"/>
        <v>45653.229166666664</v>
      </c>
      <c r="C310" s="6">
        <f t="shared" si="39"/>
        <v>45653.27191392953</v>
      </c>
      <c r="D310" s="6">
        <f>sunset(Lat,Long,B310)+TimeZone/24-0.000277777777777778</f>
        <v>45652.742696826856</v>
      </c>
      <c r="E310" s="6">
        <f>PlanetRiseSet(Lat,Long,B310,1,1)+TimeZone/24+0.00103009259259259</f>
        <v>45653.131421728678</v>
      </c>
      <c r="F310" s="6">
        <f>PlanetRiseSet(Lat,Long,B310+1,1,2)+TimeZone/24+0.00103009259259259</f>
        <v>45653.615542216379</v>
      </c>
      <c r="G310" s="17">
        <f>Panchanga!$C310-TimeZone/24</f>
        <v>45653.042747262865</v>
      </c>
      <c r="H310" s="13" t="str">
        <f>INT(P[[#This Row],[Sun]]/30)&amp;"s"&amp;ROUNDUP(MOD(P[[#This Row],[Sun]],30),2)</f>
        <v>8s11.56</v>
      </c>
      <c r="I310" s="13" t="str">
        <f>INT(P[[#This Row],[Moon]]/30)&amp;"s"&amp;ROUNDUP(MOD(P[[#This Row],[Moon]],30),2)</f>
        <v>6s26.24</v>
      </c>
      <c r="J310" s="14">
        <f t="shared" si="42"/>
        <v>45653.042747262865</v>
      </c>
      <c r="K310" s="10" t="str">
        <f>naks(P[[#This Row],[Moon]])</f>
        <v>Visakha</v>
      </c>
      <c r="L310" s="15">
        <f>(C311-P[[#This Row],[SunRise]])/(MOD(360+V311-P[[#This Row],[Moon]],360))*(13.3333333333333-MOD(P[[#This Row],[Moon]],13.333333333333))+P[[#This Row],[SunRise]]</f>
        <v>45653.850780577392</v>
      </c>
      <c r="M310" s="4" t="str">
        <f>IF(Panchanga!$R310&gt;15,"K","S")&amp;ROUNDUP(MOD(Panchanga!$R310,15),0)&amp;" ("&amp;ROUND(Panchanga!$R310,2)&amp;")"</f>
        <v>K12 (26.22)</v>
      </c>
      <c r="N310" s="4">
        <f>IF(AND(Panchanga!$R310&lt;28.5,Panchanga!$R310&gt;0.49999),MOD((Panchanga!$R310-0.5)*2,7),MOD((Panchanga!$R310+30-28.5),30)*2+7)</f>
        <v>2.446399999999997</v>
      </c>
      <c r="O310" s="4" t="str">
        <f>CHOOSE(ROUNDUP(Panchanga!$N310,0),"Bhava","Baalava","Kaulava","Taitula","Garija","Vanija","Vishti","Shakuni","Chatushapda","Naaga","Kimstugna")</f>
        <v>Kaulava</v>
      </c>
      <c r="P310" s="11" t="str">
        <f>CHOOSE(ROUNDUP(Panchanga!$S310,0),"viṣkambha","prīti","āyuṣmāna","saubhāgya","śobhana","atigaṇḍa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("&amp;Panchanga!$S310&amp;")"</f>
        <v>dhṛti  (7.34)</v>
      </c>
      <c r="Q310" s="4">
        <f>IF(AND(Panchanga!$R310&lt;28.5,Panchanga!$R310&gt;0.49999),MOD((Panchanga!$R310-0.5)*2,7),MOD((Panchanga!$R310+30-28.5),30)*2+7)</f>
        <v>2.446399999999997</v>
      </c>
      <c r="R310" s="4">
        <f>ROUNDUP(MOD(360+P[[#This Row],[Moon]]-P[[#This Row],[Sun]],360)/12,4)</f>
        <v>26.223199999999999</v>
      </c>
      <c r="S310" s="4">
        <f>ROUNDUP(MOD(P[[#This Row],[Sun]]+P[[#This Row],[Moon]],360)/13.333333333,2)</f>
        <v>7.34</v>
      </c>
      <c r="T310" s="4" t="str">
        <f>SIGN(W311-Panchanga!$W310)*INT(Panchanga!$W310/30+1)&amp;"Ma,"&amp;SIGN(X311-Panchanga!$X310)*INT(Panchanga!$X310/30+1)&amp;"Me,"&amp;SIGN(Y311-Panchanga!$Y310)*INT(Panchanga!$Y310/30+1)&amp;"J, "&amp;SIGN(Z311-Panchanga!$Z310)*INT(Panchanga!$Z310/30+1)&amp;"V,"&amp;SIGN(AA311-Panchanga!$AA310)*INT(Panchanga!$AA310/30+1)&amp;"S,"&amp;INT(Panchanga!$AB310/30+1)&amp;"R"</f>
        <v>-4Ma,8Me,-2J, 10V,11S,12R</v>
      </c>
      <c r="U310" s="4">
        <f t="shared" si="40"/>
        <v>251.55359649685144</v>
      </c>
      <c r="V310" s="4">
        <f t="shared" si="41"/>
        <v>206.23097006942706</v>
      </c>
      <c r="W310" s="4">
        <f>Planet(Panchanga!$G310,4)</f>
        <v>99.205012903122736</v>
      </c>
      <c r="X310" s="4">
        <f>Planet(Panchanga!$G310,2)</f>
        <v>229.67823565739616</v>
      </c>
      <c r="Y310" s="4">
        <f>Planet(Panchanga!$G310,5)</f>
        <v>49.564341636386736</v>
      </c>
      <c r="Z310" s="4">
        <f>Planet(Panchanga!$G310,3)</f>
        <v>298.12760056657811</v>
      </c>
      <c r="AA310" s="4">
        <f>Planet(Panchanga!$G310,6)</f>
        <v>319.96017321031928</v>
      </c>
      <c r="AB310" s="4">
        <f>Planet(Panchanga!$G310,10)</f>
        <v>337.55367648835102</v>
      </c>
      <c r="AC310" s="4" t="str">
        <f>TEXT(Panchanga!$C310+($C311-Panchanga!$C310)/ABS(IF($R311&lt;1,$R311+30,$R311)-Panchanga!$R310)*(ROUNDUP(Panchanga!$R310,0)-Panchanga!$R310),"hh:mm AM/PM")</f>
        <v>02:24 AM</v>
      </c>
      <c r="AD310" s="4"/>
    </row>
    <row r="311" spans="1:30" x14ac:dyDescent="0.2">
      <c r="A311" s="3">
        <f t="shared" si="43"/>
        <v>45654</v>
      </c>
      <c r="B311" s="3">
        <f t="shared" si="38"/>
        <v>45654.229166666664</v>
      </c>
      <c r="C311" s="6">
        <f t="shared" si="39"/>
        <v>45654.272217949074</v>
      </c>
      <c r="D311" s="6">
        <f>sunset(Lat,Long,B311)+TimeZone/24-0.000277777777777778</f>
        <v>45653.743073254867</v>
      </c>
      <c r="E311" s="6">
        <f>PlanetRiseSet(Lat,Long,B311,1,1)+TimeZone/24+0.00103009259259259</f>
        <v>45654.168067583501</v>
      </c>
      <c r="F311" s="6">
        <f>PlanetRiseSet(Lat,Long,B311+1,1,2)+TimeZone/24+0.00103009259259259</f>
        <v>45654.647652578693</v>
      </c>
      <c r="G311" s="17">
        <f>Panchanga!$C311-TimeZone/24</f>
        <v>45654.04305128241</v>
      </c>
      <c r="H311" s="13" t="str">
        <f>INT(P[[#This Row],[Sun]]/30)&amp;"s"&amp;ROUNDUP(MOD(P[[#This Row],[Sun]],30),2)</f>
        <v>8s12.58</v>
      </c>
      <c r="I311" s="13" t="str">
        <f>INT(P[[#This Row],[Moon]]/30)&amp;"s"&amp;ROUNDUP(MOD(P[[#This Row],[Moon]],30),2)</f>
        <v>7s8.51</v>
      </c>
      <c r="J311" s="14">
        <f t="shared" si="42"/>
        <v>45654.04305128241</v>
      </c>
      <c r="K311" s="10" t="str">
        <f>naks(P[[#This Row],[Moon]])</f>
        <v>Anuradha</v>
      </c>
      <c r="L311" s="15">
        <f>(C312-P[[#This Row],[SunRise]])/(MOD(360+V312-P[[#This Row],[Moon]],360))*(13.3333333333333-MOD(P[[#This Row],[Moon]],13.333333333333))+P[[#This Row],[SunRise]]</f>
        <v>45654.923460208149</v>
      </c>
      <c r="M311" s="4" t="str">
        <f>IF(Panchanga!$R311&gt;15,"K","S")&amp;ROUNDUP(MOD(Panchanga!$R311,15),0)&amp;" ("&amp;ROUND(Panchanga!$R311,2)&amp;")"</f>
        <v>K13 (27.16)</v>
      </c>
      <c r="N311" s="4">
        <f>IF(AND(Panchanga!$R311&lt;28.5,Panchanga!$R311&gt;0.49999),MOD((Panchanga!$R311-0.5)*2,7),MOD((Panchanga!$R311+30-28.5),30)*2+7)</f>
        <v>4.3220000000000027</v>
      </c>
      <c r="O311" s="4" t="str">
        <f>CHOOSE(ROUNDUP(Panchanga!$N311,0),"Bhava","Baalava","Kaulava","Taitula","Garija","Vanija","Vishti","Shakuni","Chatushapda","Naaga","Kimstugna")</f>
        <v>Garija</v>
      </c>
      <c r="P311" s="11" t="str">
        <f>CHOOSE(ROUNDUP(Panchanga!$S311,0),"viṣkambha","prīti","āyuṣmāna","saubhāgya","śobhana","atigaṇḍa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("&amp;Panchanga!$S311&amp;")"</f>
        <v>śūla  (8.34)</v>
      </c>
      <c r="Q311" s="4">
        <f>IF(AND(Panchanga!$R311&lt;28.5,Panchanga!$R311&gt;0.49999),MOD((Panchanga!$R311-0.5)*2,7),MOD((Panchanga!$R311+30-28.5),30)*2+7)</f>
        <v>4.3220000000000027</v>
      </c>
      <c r="R311" s="4">
        <f>ROUNDUP(MOD(360+P[[#This Row],[Moon]]-P[[#This Row],[Sun]],360)/12,4)</f>
        <v>27.161000000000001</v>
      </c>
      <c r="S311" s="4">
        <f>ROUNDUP(MOD(P[[#This Row],[Sun]]+P[[#This Row],[Moon]],360)/13.333333333,2)</f>
        <v>8.34</v>
      </c>
      <c r="T311" s="4" t="str">
        <f>SIGN(W312-Panchanga!$W311)*INT(Panchanga!$W311/30+1)&amp;"Ma,"&amp;SIGN(X312-Panchanga!$X311)*INT(Panchanga!$X311/30+1)&amp;"Me,"&amp;SIGN(Y312-Panchanga!$Y311)*INT(Panchanga!$Y311/30+1)&amp;"J, "&amp;SIGN(Z312-Panchanga!$Z311)*INT(Panchanga!$Z311/30+1)&amp;"V,"&amp;SIGN(AA312-Panchanga!$AA311)*INT(Panchanga!$AA311/30+1)&amp;"S,"&amp;INT(Panchanga!$AB311/30+1)&amp;"R"</f>
        <v>-4Ma,8Me,-2J, 10V,11S,12R</v>
      </c>
      <c r="U311" s="4">
        <f t="shared" si="40"/>
        <v>252.57317384248614</v>
      </c>
      <c r="V311" s="4">
        <f t="shared" si="41"/>
        <v>218.5041292632196</v>
      </c>
      <c r="W311" s="4">
        <f>Planet(Panchanga!$G311,4)</f>
        <v>98.926270996881257</v>
      </c>
      <c r="X311" s="4">
        <f>Planet(Panchanga!$G311,2)</f>
        <v>230.8122438853857</v>
      </c>
      <c r="Y311" s="4">
        <f>Planet(Panchanga!$G311,5)</f>
        <v>49.448181525491677</v>
      </c>
      <c r="Z311" s="4">
        <f>Planet(Panchanga!$G311,3)</f>
        <v>299.22147089143482</v>
      </c>
      <c r="AA311" s="4">
        <f>Planet(Panchanga!$G311,6)</f>
        <v>320.02954509901957</v>
      </c>
      <c r="AB311" s="4">
        <f>Planet(Panchanga!$G311,10)</f>
        <v>337.50066839103874</v>
      </c>
      <c r="AC311" s="4" t="str">
        <f>TEXT(Panchanga!$C311+($C312-Panchanga!$C311)/ABS(IF($R312&lt;1,$R312+30,$R312)-Panchanga!$R311)*(ROUNDUP(Panchanga!$R311,0)-Panchanga!$R311),"hh:mm AM/PM")</f>
        <v>03:31 AM</v>
      </c>
      <c r="AD311" s="4"/>
    </row>
    <row r="312" spans="1:30" x14ac:dyDescent="0.2">
      <c r="A312" s="3">
        <f t="shared" si="43"/>
        <v>45655</v>
      </c>
      <c r="B312" s="3">
        <f t="shared" si="38"/>
        <v>45655.229166666664</v>
      </c>
      <c r="C312" s="6">
        <f t="shared" si="39"/>
        <v>45655.272513906624</v>
      </c>
      <c r="D312" s="6">
        <f>sunset(Lat,Long,B312)+TimeZone/24-0.000277777777777778</f>
        <v>45654.743453847288</v>
      </c>
      <c r="E312" s="6">
        <f>PlanetRiseSet(Lat,Long,B312,1,1)+TimeZone/24+0.00103009259259259</f>
        <v>45655.206669117011</v>
      </c>
      <c r="F312" s="6">
        <f>PlanetRiseSet(Lat,Long,B312+1,1,2)+TimeZone/24+0.00103009259259259</f>
        <v>45655.683410703823</v>
      </c>
      <c r="G312" s="17">
        <f>Panchanga!$C312-TimeZone/24</f>
        <v>45655.04334723996</v>
      </c>
      <c r="H312" s="13" t="str">
        <f>INT(P[[#This Row],[Sun]]/30)&amp;"s"&amp;ROUNDUP(MOD(P[[#This Row],[Sun]],30),2)</f>
        <v>8s13.6</v>
      </c>
      <c r="I312" s="13" t="str">
        <f>INT(P[[#This Row],[Moon]]/30)&amp;"s"&amp;ROUNDUP(MOD(P[[#This Row],[Moon]],30),2)</f>
        <v>7s21.05</v>
      </c>
      <c r="J312" s="14">
        <f t="shared" si="42"/>
        <v>45655.04334723996</v>
      </c>
      <c r="K312" s="10" t="str">
        <f>naks(P[[#This Row],[Moon]])</f>
        <v>Jyestha</v>
      </c>
      <c r="L312" s="15">
        <f>(C313-P[[#This Row],[SunRise]])/(MOD(360+V313-P[[#This Row],[Moon]],360))*(13.3333333333333-MOD(P[[#This Row],[Moon]],13.333333333333))+P[[#This Row],[SunRise]]</f>
        <v>45655.971529343537</v>
      </c>
      <c r="M312" s="4" t="str">
        <f>IF(Panchanga!$R312&gt;15,"K","S")&amp;ROUNDUP(MOD(Panchanga!$R312,15),0)&amp;" ("&amp;ROUND(Panchanga!$R312,2)&amp;")"</f>
        <v>K14 (28.12)</v>
      </c>
      <c r="N312" s="4">
        <f>IF(AND(Panchanga!$R312&lt;28.5,Panchanga!$R312&gt;0.49999),MOD((Panchanga!$R312-0.5)*2,7),MOD((Panchanga!$R312+30-28.5),30)*2+7)</f>
        <v>6.2415999999999983</v>
      </c>
      <c r="O312" s="4" t="str">
        <f>CHOOSE(ROUNDUP(Panchanga!$N312,0),"Bhava","Baalava","Kaulava","Taitula","Garija","Vanija","Vishti","Shakuni","Chatushapda","Naaga","Kimstugna")</f>
        <v>Vishti</v>
      </c>
      <c r="P312" s="11" t="str">
        <f>CHOOSE(ROUNDUP(Panchanga!$S312,0),"viṣkambha","prīti","āyuṣmāna","saubhāgya","śobhana","atigaṇḍa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("&amp;Panchanga!$S312&amp;")"</f>
        <v>gaṇḍa  (9.35)</v>
      </c>
      <c r="Q312" s="4">
        <f>IF(AND(Panchanga!$R312&lt;28.5,Panchanga!$R312&gt;0.49999),MOD((Panchanga!$R312-0.5)*2,7),MOD((Panchanga!$R312+30-28.5),30)*2+7)</f>
        <v>6.2415999999999983</v>
      </c>
      <c r="R312" s="4">
        <f>ROUNDUP(MOD(360+P[[#This Row],[Moon]]-P[[#This Row],[Sun]],360)/12,4)</f>
        <v>28.120799999999999</v>
      </c>
      <c r="S312" s="4">
        <f>ROUNDUP(MOD(P[[#This Row],[Sun]]+P[[#This Row],[Moon]],360)/13.333333333,2)</f>
        <v>9.35</v>
      </c>
      <c r="T312" s="4" t="str">
        <f>SIGN(W313-Panchanga!$W312)*INT(Panchanga!$W312/30+1)&amp;"Ma,"&amp;SIGN(X313-Panchanga!$X312)*INT(Panchanga!$X312/30+1)&amp;"Me,"&amp;SIGN(Y313-Panchanga!$Y312)*INT(Panchanga!$Y312/30+1)&amp;"J, "&amp;SIGN(Z313-Panchanga!$Z312)*INT(Panchanga!$Z312/30+1)&amp;"V,"&amp;SIGN(AA313-Panchanga!$AA312)*INT(Panchanga!$AA312/30+1)&amp;"S,"&amp;INT(Panchanga!$AB312/30+1)&amp;"R"</f>
        <v>-4Ma,8Me,-2J, 11V,11S,12R</v>
      </c>
      <c r="U312" s="4">
        <f t="shared" si="40"/>
        <v>253.59285385551894</v>
      </c>
      <c r="V312" s="4">
        <f t="shared" si="41"/>
        <v>231.0416343992803</v>
      </c>
      <c r="W312" s="4">
        <f>Planet(Panchanga!$G312,4)</f>
        <v>98.635647431613819</v>
      </c>
      <c r="X312" s="4">
        <f>Planet(Panchanga!$G312,2)</f>
        <v>231.98800190684389</v>
      </c>
      <c r="Y312" s="4">
        <f>Planet(Panchanga!$G312,5)</f>
        <v>49.334027411648073</v>
      </c>
      <c r="Z312" s="4">
        <f>Planet(Panchanga!$G312,3)</f>
        <v>300.31111387893878</v>
      </c>
      <c r="AA312" s="4">
        <f>Planet(Panchanga!$G312,6)</f>
        <v>320.10033462401861</v>
      </c>
      <c r="AB312" s="4">
        <f>Planet(Panchanga!$G312,10)</f>
        <v>337.44766072092239</v>
      </c>
      <c r="AC312" s="4" t="str">
        <f>TEXT(Panchanga!$C312+($C313-Panchanga!$C312)/ABS(IF($R313&lt;1,$R313+30,$R313)-Panchanga!$R312)*(ROUNDUP(Panchanga!$R312,0)-Panchanga!$R312),"hh:mm AM/PM")</f>
        <v>04:00 AM</v>
      </c>
      <c r="AD312" s="4"/>
    </row>
    <row r="313" spans="1:30" x14ac:dyDescent="0.2">
      <c r="A313" s="3">
        <f t="shared" si="43"/>
        <v>45656</v>
      </c>
      <c r="B313" s="3">
        <f t="shared" si="38"/>
        <v>45656.229166666664</v>
      </c>
      <c r="C313" s="6">
        <f t="shared" si="39"/>
        <v>45656.272801415682</v>
      </c>
      <c r="D313" s="6">
        <f>sunset(Lat,Long,B313)+TimeZone/24-0.000277777777777778</f>
        <v>45655.743838151029</v>
      </c>
      <c r="E313" s="6">
        <f>PlanetRiseSet(Lat,Long,B313,1,1)+TimeZone/24+0.00103009259259259</f>
        <v>45656.246365438368</v>
      </c>
      <c r="F313" s="6">
        <f>PlanetRiseSet(Lat,Long,B313+1,1,2)+TimeZone/24+0.00103009259259259</f>
        <v>45656.722422453728</v>
      </c>
      <c r="G313" s="17">
        <f>Panchanga!$C313-TimeZone/24</f>
        <v>45656.043634749018</v>
      </c>
      <c r="H313" s="13" t="str">
        <f>INT(P[[#This Row],[Sun]]/30)&amp;"s"&amp;ROUNDUP(MOD(P[[#This Row],[Sun]],30),2)</f>
        <v>8s14.62</v>
      </c>
      <c r="I313" s="13" t="str">
        <f>INT(P[[#This Row],[Moon]]/30)&amp;"s"&amp;ROUNDUP(MOD(P[[#This Row],[Moon]],30),2)</f>
        <v>8s3.87</v>
      </c>
      <c r="J313" s="14">
        <f t="shared" si="42"/>
        <v>45656.043634749018</v>
      </c>
      <c r="K313" s="10" t="str">
        <f>naks(P[[#This Row],[Moon]])</f>
        <v>Moola</v>
      </c>
      <c r="L313" s="15">
        <f>(C314-P[[#This Row],[SunRise]])/(MOD(360+V314-P[[#This Row],[Moon]],360))*(13.3333333333333-MOD(P[[#This Row],[Moon]],13.333333333333))+P[[#This Row],[SunRise]]</f>
        <v>45656.996341544276</v>
      </c>
      <c r="M313" s="4" t="str">
        <f>IF(Panchanga!$R313&gt;15,"K","S")&amp;ROUNDUP(MOD(Panchanga!$R313,15),0)&amp;" ("&amp;ROUND(Panchanga!$R313,2)&amp;")"</f>
        <v>K15 (29.1)</v>
      </c>
      <c r="N313" s="4">
        <f>IF(AND(Panchanga!$R313&lt;28.5,Panchanga!$R313&gt;0.49999),MOD((Panchanga!$R313-0.5)*2,7),MOD((Panchanga!$R313+30-28.5),30)*2+7)</f>
        <v>8.208200000000005</v>
      </c>
      <c r="O313" s="4" t="str">
        <f>CHOOSE(ROUNDUP(Panchanga!$N313,0),"Bhava","Baalava","Kaulava","Taitula","Garija","Vanija","Vishti","Shakuni","Chatushapda","Naaga","Kimstugna")</f>
        <v>Chatushapda</v>
      </c>
      <c r="P313" s="11" t="str">
        <f>CHOOSE(ROUNDUP(Panchanga!$S313,0),"viṣkambha","prīti","āyuṣmāna","saubhāgya","śobhana","atigaṇḍa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("&amp;Panchanga!$S313&amp;")"</f>
        <v>vṛddhi  (10.39)</v>
      </c>
      <c r="Q313" s="4">
        <f>IF(AND(Panchanga!$R313&lt;28.5,Panchanga!$R313&gt;0.49999),MOD((Panchanga!$R313-0.5)*2,7),MOD((Panchanga!$R313+30-28.5),30)*2+7)</f>
        <v>8.208200000000005</v>
      </c>
      <c r="R313" s="4">
        <f>ROUNDUP(MOD(360+P[[#This Row],[Moon]]-P[[#This Row],[Sun]],360)/12,4)</f>
        <v>29.104099999999999</v>
      </c>
      <c r="S313" s="4">
        <f>ROUNDUP(MOD(P[[#This Row],[Sun]]+P[[#This Row],[Moon]],360)/13.333333333,2)</f>
        <v>10.39</v>
      </c>
      <c r="T313" s="4" t="str">
        <f>SIGN(W314-Panchanga!$W313)*INT(Panchanga!$W313/30+1)&amp;"Ma,"&amp;SIGN(X314-Panchanga!$X313)*INT(Panchanga!$X313/30+1)&amp;"Me,"&amp;SIGN(Y314-Panchanga!$Y313)*INT(Panchanga!$Y313/30+1)&amp;"J, "&amp;SIGN(Z314-Panchanga!$Z313)*INT(Panchanga!$Z313/30+1)&amp;"V,"&amp;SIGN(AA314-Panchanga!$AA313)*INT(Panchanga!$AA313/30+1)&amp;"S,"&amp;INT(Panchanga!$AB313/30+1)&amp;"R"</f>
        <v>-4Ma,8Me,-2J, 11V,11S,12R</v>
      </c>
      <c r="U313" s="4">
        <f t="shared" si="40"/>
        <v>254.61261248170686</v>
      </c>
      <c r="V313" s="4">
        <f t="shared" si="41"/>
        <v>243.86100967878124</v>
      </c>
      <c r="W313" s="4">
        <f>Planet(Panchanga!$G313,4)</f>
        <v>98.333567884295462</v>
      </c>
      <c r="X313" s="4">
        <f>Planet(Panchanga!$G313,2)</f>
        <v>233.20066849358489</v>
      </c>
      <c r="Y313" s="4">
        <f>Planet(Panchanga!$G313,5)</f>
        <v>49.221965581519044</v>
      </c>
      <c r="Z313" s="4">
        <f>Planet(Panchanga!$G313,3)</f>
        <v>301.39637951734352</v>
      </c>
      <c r="AA313" s="4">
        <f>Planet(Panchanga!$G313,6)</f>
        <v>320.17252586451212</v>
      </c>
      <c r="AB313" s="4">
        <f>Planet(Panchanga!$G313,10)</f>
        <v>337.39465349854731</v>
      </c>
      <c r="AC313" s="4" t="str">
        <f>TEXT(Panchanga!$C313+($C314-Panchanga!$C313)/ABS(IF($R314&lt;1,$R314+30,$R314)-Panchanga!$R313)*(ROUNDUP(Panchanga!$R313,0)-Panchanga!$R313),"hh:mm AM/PM")</f>
        <v>03:55 AM</v>
      </c>
      <c r="AD313" s="4"/>
    </row>
    <row r="314" spans="1:30" x14ac:dyDescent="0.2">
      <c r="A314" s="3">
        <f t="shared" si="43"/>
        <v>45657</v>
      </c>
      <c r="B314" s="3">
        <f t="shared" si="38"/>
        <v>45657.229166666664</v>
      </c>
      <c r="C314" s="6">
        <f t="shared" si="39"/>
        <v>45657.273080091611</v>
      </c>
      <c r="D314" s="6">
        <f>sunset(Lat,Long,B314)+TimeZone/24-0.000277777777777778</f>
        <v>45656.744225702292</v>
      </c>
      <c r="E314" s="6">
        <f>PlanetRiseSet(Lat,Long,B314,1,1)+TimeZone/24+0.00103009259259259</f>
        <v>45657.285756516889</v>
      </c>
      <c r="F314" s="6">
        <f>PlanetRiseSet(Lat,Long,B314+1,1,2)+TimeZone/24+0.00103009259259259</f>
        <v>45657.763535748389</v>
      </c>
      <c r="G314" s="17">
        <f>Panchanga!$C314-TimeZone/24</f>
        <v>45657.043913424946</v>
      </c>
      <c r="H314" s="13" t="str">
        <f>INT(P[[#This Row],[Sun]]/30)&amp;"s"&amp;ROUNDUP(MOD(P[[#This Row],[Sun]],30),2)</f>
        <v>8s15.64</v>
      </c>
      <c r="I314" s="13" t="str">
        <f>INT(P[[#This Row],[Moon]]/30)&amp;"s"&amp;ROUNDUP(MOD(P[[#This Row],[Moon]],30),2)</f>
        <v>8s16.96</v>
      </c>
      <c r="J314" s="14">
        <f t="shared" si="42"/>
        <v>45657.043913424946</v>
      </c>
      <c r="K314" s="10" t="str">
        <f>naks(P[[#This Row],[Moon]])</f>
        <v>Purva Asadha</v>
      </c>
      <c r="L314" s="15">
        <f>(C315-P[[#This Row],[SunRise]])/(MOD(360+V315-P[[#This Row],[Moon]],360))*(13.3333333333333-MOD(P[[#This Row],[Moon]],13.333333333333))+P[[#This Row],[SunRise]]</f>
        <v>45658.000926556168</v>
      </c>
      <c r="M314" s="4" t="str">
        <f>IF(Panchanga!$R314&gt;15,"K","S")&amp;ROUNDUP(MOD(Panchanga!$R314,15),0)&amp;" ("&amp;ROUND(Panchanga!$R314,2)&amp;")"</f>
        <v>S1 (0.11)</v>
      </c>
      <c r="N314" s="4">
        <f>IF(AND(Panchanga!$R314&lt;28.5,Panchanga!$R314&gt;0.49999),MOD((Panchanga!$R314-0.5)*2,7),MOD((Panchanga!$R314+30-28.5),30)*2+7)</f>
        <v>10.220799999999997</v>
      </c>
      <c r="O314" s="4" t="str">
        <f>CHOOSE(ROUNDUP(Panchanga!$N314,0),"Bhava","Baalava","Kaulava","Taitula","Garija","Vanija","Vishti","Shakuni","Chatushapda","Naaga","Kimstugna")</f>
        <v>Kimstugna</v>
      </c>
      <c r="P314" s="11" t="str">
        <f>CHOOSE(ROUNDUP(Panchanga!$S314,0),"viṣkambha","prīti","āyuṣmāna","saubhāgya","śobhana","atigaṇḍa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("&amp;Panchanga!$S314&amp;")"</f>
        <v>dhruva  (11.45)</v>
      </c>
      <c r="Q314" s="4">
        <f>IF(AND(Panchanga!$R314&lt;28.5,Panchanga!$R314&gt;0.49999),MOD((Panchanga!$R314-0.5)*2,7),MOD((Panchanga!$R314+30-28.5),30)*2+7)</f>
        <v>10.220799999999997</v>
      </c>
      <c r="R314" s="4">
        <f>ROUNDUP(MOD(360+P[[#This Row],[Moon]]-P[[#This Row],[Sun]],360)/12,4)</f>
        <v>0.1104</v>
      </c>
      <c r="S314" s="4">
        <f>ROUNDUP(MOD(P[[#This Row],[Sun]]+P[[#This Row],[Moon]],360)/13.333333333,2)</f>
        <v>11.45</v>
      </c>
      <c r="T314" s="4" t="str">
        <f>SIGN(W315-Panchanga!$W314)*INT(Panchanga!$W314/30+1)&amp;"Ma,"&amp;SIGN(X315-Panchanga!$X314)*INT(Panchanga!$X314/30+1)&amp;"Me,"&amp;SIGN(Y315-Panchanga!$Y314)*INT(Panchanga!$Y314/30+1)&amp;"J, "&amp;SIGN(Z315-Panchanga!$Z314)*INT(Panchanga!$Z314/30+1)&amp;"V,"&amp;SIGN(AA315-Panchanga!$AA314)*INT(Panchanga!$AA314/30+1)&amp;"S,"&amp;INT(Panchanga!$AB314/30+1)&amp;"R"</f>
        <v>-4Ma,8Me,-2J, 11V,11S,12R</v>
      </c>
      <c r="U314" s="4">
        <f t="shared" si="40"/>
        <v>255.63242353506544</v>
      </c>
      <c r="V314" s="4">
        <f t="shared" si="41"/>
        <v>256.95629353199081</v>
      </c>
      <c r="W314" s="4">
        <f>Planet(Panchanga!$G314,4)</f>
        <v>98.020501206724191</v>
      </c>
      <c r="X314" s="4">
        <f>Planet(Panchanga!$G314,2)</f>
        <v>234.44603366678678</v>
      </c>
      <c r="Y314" s="4">
        <f>Planet(Panchanga!$G314,5)</f>
        <v>49.112080292318034</v>
      </c>
      <c r="Z314" s="4">
        <f>Planet(Panchanga!$G314,3)</f>
        <v>302.47710819763898</v>
      </c>
      <c r="AA314" s="4">
        <f>Planet(Panchanga!$G314,6)</f>
        <v>320.24610227130307</v>
      </c>
      <c r="AB314" s="4">
        <f>Planet(Panchanga!$G314,10)</f>
        <v>337.34164674425989</v>
      </c>
      <c r="AC314" s="4" t="str">
        <f>TEXT(Panchanga!$C314+($C315-Panchanga!$C314)/ABS(IF($R315&lt;1,$R315+30,$R315)-Panchanga!$R314)*(ROUNDUP(Panchanga!$R314,0)-Panchanga!$R314),"hh:mm AM/PM")</f>
        <v>03:20 AM</v>
      </c>
      <c r="AD314" s="4"/>
    </row>
    <row r="315" spans="1:30" x14ac:dyDescent="0.2">
      <c r="A315" s="3">
        <f t="shared" si="43"/>
        <v>45658</v>
      </c>
      <c r="B315" s="3">
        <f t="shared" si="38"/>
        <v>45658.229166666664</v>
      </c>
      <c r="C315" s="6">
        <f t="shared" si="39"/>
        <v>45658.273349556293</v>
      </c>
      <c r="D315" s="6">
        <f>sunset(Lat,Long,B315)+TimeZone/24-0.000277777777777778</f>
        <v>45657.744616033553</v>
      </c>
      <c r="E315" s="6">
        <f>PlanetRiseSet(Lat,Long,B315,1,1)+TimeZone/24+0.00103009259259259</f>
        <v>45658.323400925532</v>
      </c>
      <c r="F315" s="6">
        <f>PlanetRiseSet(Lat,Long,B315+1,1,2)+TimeZone/24+0.00103009259259259</f>
        <v>45658.805201594405</v>
      </c>
      <c r="G315" s="17">
        <f>Panchanga!$C315-TimeZone/24</f>
        <v>45658.044182889629</v>
      </c>
      <c r="H315" s="13" t="str">
        <f>INT(P[[#This Row],[Sun]]/30)&amp;"s"&amp;ROUNDUP(MOD(P[[#This Row],[Sun]],30),2)</f>
        <v>8s16.66</v>
      </c>
      <c r="I315" s="13" t="str">
        <f>INT(P[[#This Row],[Moon]]/30)&amp;"s"&amp;ROUNDUP(MOD(P[[#This Row],[Moon]],30),2)</f>
        <v>9s0.31</v>
      </c>
      <c r="J315" s="14">
        <f t="shared" si="42"/>
        <v>45658.044182889629</v>
      </c>
      <c r="K315" s="10" t="str">
        <f>naks(P[[#This Row],[Moon]])</f>
        <v>Uttara Asadha</v>
      </c>
      <c r="L315" s="15">
        <f>(C316-P[[#This Row],[SunRise]])/(MOD(360+V316-P[[#This Row],[Moon]],360))*(13.3333333333333-MOD(P[[#This Row],[Moon]],13.333333333333))+P[[#This Row],[SunRise]]</f>
        <v>45658.989104643173</v>
      </c>
      <c r="M315" s="4" t="str">
        <f>IF(Panchanga!$R315&gt;15,"K","S")&amp;ROUNDUP(MOD(Panchanga!$R315,15),0)&amp;" ("&amp;ROUND(Panchanga!$R315,2)&amp;")"</f>
        <v>S2 (1.14)</v>
      </c>
      <c r="N315" s="4">
        <f>IF(AND(Panchanga!$R315&lt;28.5,Panchanga!$R315&gt;0.49999),MOD((Panchanga!$R315-0.5)*2,7),MOD((Panchanga!$R315+30-28.5),30)*2+7)</f>
        <v>1.2749999999999999</v>
      </c>
      <c r="O315" s="4" t="str">
        <f>CHOOSE(ROUNDUP(Panchanga!$N315,0),"Bhava","Baalava","Kaulava","Taitula","Garija","Vanija","Vishti","Shakuni","Chatushapda","Naaga","Kimstugna")</f>
        <v>Baalava</v>
      </c>
      <c r="P315" s="11" t="str">
        <f>CHOOSE(ROUNDUP(Panchanga!$S315,0),"viṣkambha","prīti","āyuṣmāna","saubhāgya","śobhana","atigaṇḍa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("&amp;Panchanga!$S315&amp;")"</f>
        <v>vyāghāta (12.53)</v>
      </c>
      <c r="Q315" s="4">
        <f>IF(AND(Panchanga!$R315&lt;28.5,Panchanga!$R315&gt;0.49999),MOD((Panchanga!$R315-0.5)*2,7),MOD((Panchanga!$R315+30-28.5),30)*2+7)</f>
        <v>1.2749999999999999</v>
      </c>
      <c r="R315" s="4">
        <f>ROUNDUP(MOD(360+P[[#This Row],[Moon]]-P[[#This Row],[Sun]],360)/12,4)</f>
        <v>1.1375</v>
      </c>
      <c r="S315" s="4">
        <f>ROUNDUP(MOD(P[[#This Row],[Sun]]+P[[#This Row],[Moon]],360)/13.333333333,2)</f>
        <v>12.53</v>
      </c>
      <c r="T315" s="4" t="str">
        <f>SIGN(W316-Panchanga!$W315)*INT(Panchanga!$W315/30+1)&amp;"Ma,"&amp;SIGN(X316-Panchanga!$X315)*INT(Panchanga!$X315/30+1)&amp;"Me,"&amp;SIGN(Y316-Panchanga!$Y315)*INT(Panchanga!$Y315/30+1)&amp;"J, "&amp;SIGN(Z316-Panchanga!$Z315)*INT(Panchanga!$Z315/30+1)&amp;"V,"&amp;SIGN(AA316-Panchanga!$AA315)*INT(Panchanga!$AA315/30+1)&amp;"S,"&amp;INT(Panchanga!$AB315/30+1)&amp;"R"</f>
        <v>-4Ma,8Me,-2J, 11V,11S,12R</v>
      </c>
      <c r="U315" s="4">
        <f t="shared" si="40"/>
        <v>256.65225921216557</v>
      </c>
      <c r="V315" s="4">
        <f t="shared" si="41"/>
        <v>270.30112683171188</v>
      </c>
      <c r="W315" s="4">
        <f>Planet(Panchanga!$G315,4)</f>
        <v>97.696958629602463</v>
      </c>
      <c r="X315" s="4">
        <f>Planet(Panchanga!$G315,2)</f>
        <v>235.72044555630436</v>
      </c>
      <c r="Y315" s="4">
        <f>Planet(Panchanga!$G315,5)</f>
        <v>49.004453441057841</v>
      </c>
      <c r="Z315" s="4">
        <f>Planet(Panchanga!$G315,3)</f>
        <v>303.55313006162817</v>
      </c>
      <c r="AA315" s="4">
        <f>Planet(Panchanga!$G315,6)</f>
        <v>320.32104663427401</v>
      </c>
      <c r="AB315" s="4">
        <f>Planet(Panchanga!$G315,10)</f>
        <v>337.28864047805882</v>
      </c>
      <c r="AC315" s="4" t="str">
        <f>TEXT(Panchanga!$C315+($C316-Panchanga!$C315)/ABS(IF($R316&lt;1,$R316+30,$R316)-Panchanga!$R315)*(ROUNDUP(Panchanga!$R315,0)-Panchanga!$R315),"hh:mm AM/PM")</f>
        <v>02:23 AM</v>
      </c>
      <c r="AD315" s="4"/>
    </row>
    <row r="316" spans="1:30" x14ac:dyDescent="0.2">
      <c r="A316" s="3">
        <f t="shared" si="43"/>
        <v>45659</v>
      </c>
      <c r="B316" s="3">
        <f t="shared" si="38"/>
        <v>45659.229166666664</v>
      </c>
      <c r="C316" s="6">
        <f t="shared" si="39"/>
        <v>45659.27360943953</v>
      </c>
      <c r="D316" s="6">
        <f>sunset(Lat,Long,B316)+TimeZone/24-0.000277777777777778</f>
        <v>45658.745008673563</v>
      </c>
      <c r="E316" s="6">
        <f>PlanetRiseSet(Lat,Long,B316,1,1)+TimeZone/24+0.00103009259259259</f>
        <v>45659.358387382388</v>
      </c>
      <c r="F316" s="6">
        <f>PlanetRiseSet(Lat,Long,B316+1,1,2)+TimeZone/24+0.00103009259259259</f>
        <v>45659.846110077728</v>
      </c>
      <c r="G316" s="17">
        <f>Panchanga!$C316-TimeZone/24</f>
        <v>45659.044442772865</v>
      </c>
      <c r="H316" s="13" t="str">
        <f>INT(P[[#This Row],[Sun]]/30)&amp;"s"&amp;ROUNDUP(MOD(P[[#This Row],[Sun]],30),2)</f>
        <v>8s17.68</v>
      </c>
      <c r="I316" s="13" t="str">
        <f>INT(P[[#This Row],[Moon]]/30)&amp;"s"&amp;ROUNDUP(MOD(P[[#This Row],[Moon]],30),2)</f>
        <v>9s13.86</v>
      </c>
      <c r="J316" s="14">
        <f t="shared" si="42"/>
        <v>45659.044442772865</v>
      </c>
      <c r="K316" s="10" t="str">
        <f>naks(P[[#This Row],[Moon]])</f>
        <v>Sravana</v>
      </c>
      <c r="L316" s="15">
        <f>(C317-P[[#This Row],[SunRise]])/(MOD(360+V317-P[[#This Row],[Moon]],360))*(13.3333333333333-MOD(P[[#This Row],[Moon]],13.333333333333))+P[[#This Row],[SunRise]]</f>
        <v>45659.96472040892</v>
      </c>
      <c r="M316" s="4" t="str">
        <f>IF(Panchanga!$R316&gt;15,"K","S")&amp;ROUNDUP(MOD(Panchanga!$R316,15),0)&amp;" ("&amp;ROUND(Panchanga!$R316,2)&amp;")"</f>
        <v>S3 (2.18)</v>
      </c>
      <c r="N316" s="4">
        <f>IF(AND(Panchanga!$R316&lt;28.5,Panchanga!$R316&gt;0.49999),MOD((Panchanga!$R316-0.5)*2,7),MOD((Panchanga!$R316+30-28.5),30)*2+7)</f>
        <v>3.3640000000000008</v>
      </c>
      <c r="O316" s="4" t="str">
        <f>CHOOSE(ROUNDUP(Panchanga!$N316,0),"Bhava","Baalava","Kaulava","Taitula","Garija","Vanija","Vishti","Shakuni","Chatushapda","Naaga","Kimstugna")</f>
        <v>Taitula</v>
      </c>
      <c r="P316" s="11" t="str">
        <f>CHOOSE(ROUNDUP(Panchanga!$S316,0),"viṣkambha","prīti","āyuṣmāna","saubhāgya","śobhana","atigaṇḍa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("&amp;Panchanga!$S316&amp;")"</f>
        <v>harṣaṇa (13.62)</v>
      </c>
      <c r="Q316" s="4">
        <f>IF(AND(Panchanga!$R316&lt;28.5,Panchanga!$R316&gt;0.49999),MOD((Panchanga!$R316-0.5)*2,7),MOD((Panchanga!$R316+30-28.5),30)*2+7)</f>
        <v>3.3640000000000008</v>
      </c>
      <c r="R316" s="4">
        <f>ROUNDUP(MOD(360+P[[#This Row],[Moon]]-P[[#This Row],[Sun]],360)/12,4)</f>
        <v>2.1820000000000004</v>
      </c>
      <c r="S316" s="4">
        <f>ROUNDUP(MOD(P[[#This Row],[Sun]]+P[[#This Row],[Moon]],360)/13.333333333,2)</f>
        <v>13.62</v>
      </c>
      <c r="T316" s="4" t="str">
        <f>SIGN(W317-Panchanga!$W316)*INT(Panchanga!$W316/30+1)&amp;"Ma,"&amp;SIGN(X317-Panchanga!$X316)*INT(Panchanga!$X316/30+1)&amp;"Me,"&amp;SIGN(Y317-Panchanga!$Y316)*INT(Panchanga!$Y316/30+1)&amp;"J, "&amp;SIGN(Z317-Panchanga!$Z316)*INT(Panchanga!$Z316/30+1)&amp;"V,"&amp;SIGN(AA317-Panchanga!$AA316)*INT(Panchanga!$AA316/30+1)&amp;"S,"&amp;INT(Panchanga!$AB316/30+1)&amp;"R"</f>
        <v>-4Ma,8Me,-2J, 11V,11S,12R</v>
      </c>
      <c r="U316" s="4">
        <f t="shared" si="40"/>
        <v>257.67209081851257</v>
      </c>
      <c r="V316" s="4">
        <f t="shared" si="41"/>
        <v>283.85519570344496</v>
      </c>
      <c r="W316" s="4">
        <f>Planet(Panchanga!$G316,4)</f>
        <v>97.363492051686123</v>
      </c>
      <c r="X316" s="4">
        <f>Planet(Panchanga!$G316,2)</f>
        <v>237.02074389772625</v>
      </c>
      <c r="Y316" s="4">
        <f>Planet(Panchanga!$G316,5)</f>
        <v>48.899164203137097</v>
      </c>
      <c r="Z316" s="4">
        <f>Planet(Panchanga!$G316,3)</f>
        <v>304.62426462724693</v>
      </c>
      <c r="AA316" s="4">
        <f>Planet(Panchanga!$G316,6)</f>
        <v>320.39734107622729</v>
      </c>
      <c r="AB316" s="4">
        <f>Planet(Panchanga!$G316,10)</f>
        <v>337.23563471959443</v>
      </c>
      <c r="AC316" s="4" t="str">
        <f>TEXT(Panchanga!$C316+($C317-Panchanga!$C316)/ABS(IF($R317&lt;1,$R317+30,$R317)-Panchanga!$R316)*(ROUNDUP(Panchanga!$R316,0)-Panchanga!$R316),"hh:mm AM/PM")</f>
        <v>01:07 AM</v>
      </c>
      <c r="AD316" s="4"/>
    </row>
    <row r="317" spans="1:30" x14ac:dyDescent="0.2">
      <c r="A317" s="3">
        <f t="shared" si="43"/>
        <v>45660</v>
      </c>
      <c r="B317" s="3">
        <f t="shared" si="38"/>
        <v>45660.229166666664</v>
      </c>
      <c r="C317" s="6">
        <f t="shared" si="39"/>
        <v>45660.273859383691</v>
      </c>
      <c r="D317" s="6">
        <f>sunset(Lat,Long,B317)+TimeZone/24-0.000277777777777778</f>
        <v>45659.745403152468</v>
      </c>
      <c r="E317" s="6">
        <f>PlanetRiseSet(Lat,Long,B317,1,1)+TimeZone/24+0.00103009259259259</f>
        <v>45660.390571529664</v>
      </c>
      <c r="F317" s="6">
        <f>PlanetRiseSet(Lat,Long,B317+1,1,2)+TimeZone/24+0.00103009259259259</f>
        <v>45660.885631947465</v>
      </c>
      <c r="G317" s="17">
        <f>Panchanga!$C317-TimeZone/24</f>
        <v>45660.044692717027</v>
      </c>
      <c r="H317" s="13" t="str">
        <f>INT(P[[#This Row],[Sun]]/30)&amp;"s"&amp;ROUNDUP(MOD(P[[#This Row],[Sun]],30),2)</f>
        <v>8s18.7</v>
      </c>
      <c r="I317" s="13" t="str">
        <f>INT(P[[#This Row],[Moon]]/30)&amp;"s"&amp;ROUNDUP(MOD(P[[#This Row],[Moon]],30),2)</f>
        <v>9s27.58</v>
      </c>
      <c r="J317" s="14">
        <f t="shared" si="42"/>
        <v>45660.044692717027</v>
      </c>
      <c r="K317" s="10" t="str">
        <f>naks(P[[#This Row],[Moon]])</f>
        <v>Dhanistha</v>
      </c>
      <c r="L317" s="15">
        <f>(C318-P[[#This Row],[SunRise]])/(MOD(360+V318-P[[#This Row],[Moon]],360))*(13.3333333333333-MOD(P[[#This Row],[Moon]],13.333333333333))+P[[#This Row],[SunRise]]</f>
        <v>45660.931093883308</v>
      </c>
      <c r="M317" s="4" t="str">
        <f>IF(Panchanga!$R317&gt;15,"K","S")&amp;ROUNDUP(MOD(Panchanga!$R317,15),0)&amp;" ("&amp;ROUND(Panchanga!$R317,2)&amp;")"</f>
        <v>S4 (3.24)</v>
      </c>
      <c r="N317" s="4">
        <f>IF(AND(Panchanga!$R317&lt;28.5,Panchanga!$R317&gt;0.49999),MOD((Panchanga!$R317-0.5)*2,7),MOD((Panchanga!$R317+30-28.5),30)*2+7)</f>
        <v>5.4802000000000008</v>
      </c>
      <c r="O317" s="4" t="str">
        <f>CHOOSE(ROUNDUP(Panchanga!$N317,0),"Bhava","Baalava","Kaulava","Taitula","Garija","Vanija","Vishti","Shakuni","Chatushapda","Naaga","Kimstugna")</f>
        <v>Vanija</v>
      </c>
      <c r="P317" s="11" t="str">
        <f>CHOOSE(ROUNDUP(Panchanga!$S317,0),"viṣkambha","prīti","āyuṣmāna","saubhāgya","śobhana","atigaṇḍa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("&amp;Panchanga!$S317&amp;")"</f>
        <v>vajra (14.72)</v>
      </c>
      <c r="Q317" s="4">
        <f>IF(AND(Panchanga!$R317&lt;28.5,Panchanga!$R317&gt;0.49999),MOD((Panchanga!$R317-0.5)*2,7),MOD((Panchanga!$R317+30-28.5),30)*2+7)</f>
        <v>5.4802000000000008</v>
      </c>
      <c r="R317" s="4">
        <f>ROUNDUP(MOD(360+P[[#This Row],[Moon]]-P[[#This Row],[Sun]],360)/12,4)</f>
        <v>3.2401000000000004</v>
      </c>
      <c r="S317" s="4">
        <f>ROUNDUP(MOD(P[[#This Row],[Sun]]+P[[#This Row],[Moon]],360)/13.333333333,2)</f>
        <v>14.72</v>
      </c>
      <c r="T317" s="4" t="str">
        <f>SIGN(W318-Panchanga!$W317)*INT(Panchanga!$W317/30+1)&amp;"Ma,"&amp;SIGN(X318-Panchanga!$X317)*INT(Panchanga!$X317/30+1)&amp;"Me,"&amp;SIGN(Y318-Panchanga!$Y317)*INT(Panchanga!$Y317/30+1)&amp;"J, "&amp;SIGN(Z318-Panchanga!$Z317)*INT(Panchanga!$Z317/30+1)&amp;"V,"&amp;SIGN(AA318-Panchanga!$AA317)*INT(Panchanga!$AA317/30+1)&amp;"S,"&amp;INT(Panchanga!$AB317/30+1)&amp;"R"</f>
        <v>-4Ma,8Me,-2J, 11V,11S,12R</v>
      </c>
      <c r="U317" s="4">
        <f t="shared" si="40"/>
        <v>258.69188966549888</v>
      </c>
      <c r="V317" s="4">
        <f t="shared" si="41"/>
        <v>297.57297339028679</v>
      </c>
      <c r="W317" s="4">
        <f>Planet(Panchanga!$G317,4)</f>
        <v>97.020691447372897</v>
      </c>
      <c r="X317" s="4">
        <f>Planet(Panchanga!$G317,2)</f>
        <v>238.34420038071809</v>
      </c>
      <c r="Y317" s="4">
        <f>Planet(Panchanga!$G317,5)</f>
        <v>48.796288665887836</v>
      </c>
      <c r="Z317" s="4">
        <f>Planet(Panchanga!$G317,3)</f>
        <v>305.69032073158075</v>
      </c>
      <c r="AA317" s="4">
        <f>Planet(Panchanga!$G317,6)</f>
        <v>320.47496708378009</v>
      </c>
      <c r="AB317" s="4">
        <f>Planet(Panchanga!$G317,10)</f>
        <v>337.1826294878548</v>
      </c>
      <c r="AC317" s="4" t="str">
        <f>TEXT(Panchanga!$C317+($C318-Panchanga!$C317)/ABS(IF($R318&lt;1,$R318+30,$R318)-Panchanga!$R317)*(ROUNDUP(Panchanga!$R317,0)-Panchanga!$R317),"hh:mm AM/PM")</f>
        <v>11:38 PM</v>
      </c>
      <c r="AD317" s="4"/>
    </row>
    <row r="318" spans="1:30" x14ac:dyDescent="0.2">
      <c r="A318" s="3">
        <f t="shared" si="43"/>
        <v>45661</v>
      </c>
      <c r="B318" s="3">
        <f t="shared" si="38"/>
        <v>45661.229166666664</v>
      </c>
      <c r="C318" s="6">
        <f t="shared" si="39"/>
        <v>45661.274099048846</v>
      </c>
      <c r="D318" s="6">
        <f>sunset(Lat,Long,B318)+TimeZone/24-0.000277777777777778</f>
        <v>45660.745799006938</v>
      </c>
      <c r="E318" s="6">
        <f>PlanetRiseSet(Lat,Long,B318,1,1)+TimeZone/24+0.00103009259259259</f>
        <v>45661.420436117485</v>
      </c>
      <c r="F318" s="6">
        <f>PlanetRiseSet(Lat,Long,B318+1,1,2)+TimeZone/24+0.00103009259259259</f>
        <v>45661.923850983068</v>
      </c>
      <c r="G318" s="17">
        <f>Panchanga!$C318-TimeZone/24</f>
        <v>45661.044932382181</v>
      </c>
      <c r="H318" s="13" t="str">
        <f>INT(P[[#This Row],[Sun]]/30)&amp;"s"&amp;ROUNDUP(MOD(P[[#This Row],[Sun]],30),2)</f>
        <v>8s19.72</v>
      </c>
      <c r="I318" s="13" t="str">
        <f>INT(P[[#This Row],[Moon]]/30)&amp;"s"&amp;ROUNDUP(MOD(P[[#This Row],[Moon]],30),2)</f>
        <v>10s11.42</v>
      </c>
      <c r="J318" s="14">
        <f t="shared" si="42"/>
        <v>45661.044932382181</v>
      </c>
      <c r="K318" s="10" t="str">
        <f>naks(P[[#This Row],[Moon]])</f>
        <v>Satabhisaj</v>
      </c>
      <c r="L318" s="15">
        <f>(C319-P[[#This Row],[SunRise]])/(MOD(360+V319-P[[#This Row],[Moon]],360))*(13.3333333333333-MOD(P[[#This Row],[Moon]],13.333333333333))+P[[#This Row],[SunRise]]</f>
        <v>45661.890728337443</v>
      </c>
      <c r="M318" s="4" t="str">
        <f>IF(Panchanga!$R318&gt;15,"K","S")&amp;ROUNDUP(MOD(Panchanga!$R318,15),0)&amp;" ("&amp;ROUND(Panchanga!$R318,2)&amp;")"</f>
        <v>S5 (4.31)</v>
      </c>
      <c r="N318" s="4">
        <f>IF(AND(Panchanga!$R318&lt;28.5,Panchanga!$R318&gt;0.49999),MOD((Panchanga!$R318-0.5)*2,7),MOD((Panchanga!$R318+30-28.5),30)*2+7)</f>
        <v>0.6169999999999991</v>
      </c>
      <c r="O318" s="4" t="str">
        <f>CHOOSE(ROUNDUP(Panchanga!$N318,0),"Bhava","Baalava","Kaulava","Taitula","Garija","Vanija","Vishti","Shakuni","Chatushapda","Naaga","Kimstugna")</f>
        <v>Bhava</v>
      </c>
      <c r="P318" s="11" t="str">
        <f>CHOOSE(ROUNDUP(Panchanga!$S318,0),"viṣkambha","prīti","āyuṣmāna","saubhāgya","śobhana","atigaṇḍa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("&amp;Panchanga!$S318&amp;")"</f>
        <v>siddhi (15.84)</v>
      </c>
      <c r="Q318" s="4">
        <f>IF(AND(Panchanga!$R318&lt;28.5,Panchanga!$R318&gt;0.49999),MOD((Panchanga!$R318-0.5)*2,7),MOD((Panchanga!$R318+30-28.5),30)*2+7)</f>
        <v>0.6169999999999991</v>
      </c>
      <c r="R318" s="4">
        <f>ROUNDUP(MOD(360+P[[#This Row],[Moon]]-P[[#This Row],[Sun]],360)/12,4)</f>
        <v>4.3084999999999996</v>
      </c>
      <c r="S318" s="4">
        <f>ROUNDUP(MOD(P[[#This Row],[Sun]]+P[[#This Row],[Moon]],360)/13.333333333,2)</f>
        <v>15.84</v>
      </c>
      <c r="T318" s="4" t="str">
        <f>SIGN(W319-Panchanga!$W318)*INT(Panchanga!$W318/30+1)&amp;"Ma,"&amp;SIGN(X319-Panchanga!$X318)*INT(Panchanga!$X318/30+1)&amp;"Me,"&amp;SIGN(Y319-Panchanga!$Y318)*INT(Panchanga!$Y318/30+1)&amp;"J, "&amp;SIGN(Z319-Panchanga!$Z318)*INT(Panchanga!$Z318/30+1)&amp;"V,"&amp;SIGN(AA319-Panchanga!$AA318)*INT(Panchanga!$AA318/30+1)&amp;"S,"&amp;INT(Panchanga!$AB318/30+1)&amp;"R"</f>
        <v>-4Ma,8Me,-2J, 11V,11S,12R</v>
      </c>
      <c r="U318" s="4">
        <f t="shared" si="40"/>
        <v>259.71162809692714</v>
      </c>
      <c r="V318" s="4">
        <f t="shared" si="41"/>
        <v>311.41258881377343</v>
      </c>
      <c r="W318" s="4">
        <f>Planet(Panchanga!$G318,4)</f>
        <v>96.669181462592988</v>
      </c>
      <c r="X318" s="4">
        <f>Planet(Panchanga!$G318,2)</f>
        <v>239.68846567012878</v>
      </c>
      <c r="Y318" s="4">
        <f>Planet(Panchanga!$G318,5)</f>
        <v>48.695899479338081</v>
      </c>
      <c r="Z318" s="4">
        <f>Planet(Panchanga!$G318,3)</f>
        <v>306.7510968187172</v>
      </c>
      <c r="AA318" s="4">
        <f>Planet(Panchanga!$G318,6)</f>
        <v>320.55390557355565</v>
      </c>
      <c r="AB318" s="4">
        <f>Planet(Panchanga!$G318,10)</f>
        <v>337.12962480081694</v>
      </c>
      <c r="AC318" s="4" t="str">
        <f>TEXT(Panchanga!$C318+($C319-Panchanga!$C318)/ABS(IF($R319&lt;1,$R319+30,$R319)-Panchanga!$R318)*(ROUNDUP(Panchanga!$R318,0)-Panchanga!$R318),"hh:mm AM/PM")</f>
        <v>10:00 PM</v>
      </c>
      <c r="AD318" s="4"/>
    </row>
    <row r="319" spans="1:30" x14ac:dyDescent="0.2">
      <c r="A319" s="3">
        <f t="shared" si="43"/>
        <v>45662</v>
      </c>
      <c r="B319" s="3">
        <f t="shared" si="38"/>
        <v>45662.229166666664</v>
      </c>
      <c r="C319" s="6">
        <f t="shared" si="39"/>
        <v>45662.274328116946</v>
      </c>
      <c r="D319" s="6">
        <f>sunset(Lat,Long,B319)+TimeZone/24-0.000277777777777778</f>
        <v>45661.746195783882</v>
      </c>
      <c r="E319" s="6">
        <f>PlanetRiseSet(Lat,Long,B319,1,1)+TimeZone/24+0.00103009259259259</f>
        <v>45662.448826933898</v>
      </c>
      <c r="F319" s="6">
        <f>PlanetRiseSet(Lat,Long,B319+1,1,2)+TimeZone/24+0.00103009259259259</f>
        <v>45662.96135305582</v>
      </c>
      <c r="G319" s="17">
        <f>Panchanga!$C319-TimeZone/24</f>
        <v>45662.045161450282</v>
      </c>
      <c r="H319" s="13" t="str">
        <f>INT(P[[#This Row],[Sun]]/30)&amp;"s"&amp;ROUNDUP(MOD(P[[#This Row],[Sun]],30),2)</f>
        <v>8s20.74</v>
      </c>
      <c r="I319" s="13" t="str">
        <f>INT(P[[#This Row],[Moon]]/30)&amp;"s"&amp;ROUNDUP(MOD(P[[#This Row],[Moon]],30),2)</f>
        <v>10s25.35</v>
      </c>
      <c r="J319" s="14">
        <f t="shared" si="42"/>
        <v>45662.045161450282</v>
      </c>
      <c r="K319" s="10" t="str">
        <f>naks(P[[#This Row],[Moon]])</f>
        <v>Purva Bhadrapada</v>
      </c>
      <c r="L319" s="15">
        <f>(C320-P[[#This Row],[SunRise]])/(MOD(360+V320-P[[#This Row],[Moon]],360))*(13.3333333333333-MOD(P[[#This Row],[Moon]],13.333333333333))+P[[#This Row],[SunRise]]</f>
        <v>45662.845274500869</v>
      </c>
      <c r="M319" s="4" t="str">
        <f>IF(Panchanga!$R319&gt;15,"K","S")&amp;ROUNDUP(MOD(Panchanga!$R319,15),0)&amp;" ("&amp;ROUND(Panchanga!$R319,2)&amp;")"</f>
        <v>S6 (5.38)</v>
      </c>
      <c r="N319" s="4">
        <f>IF(AND(Panchanga!$R319&lt;28.5,Panchanga!$R319&gt;0.49999),MOD((Panchanga!$R319-0.5)*2,7),MOD((Panchanga!$R319+30-28.5),30)*2+7)</f>
        <v>2.7685999999999993</v>
      </c>
      <c r="O319" s="4" t="str">
        <f>CHOOSE(ROUNDUP(Panchanga!$N319,0),"Bhava","Baalava","Kaulava","Taitula","Garija","Vanija","Vishti","Shakuni","Chatushapda","Naaga","Kimstugna")</f>
        <v>Kaulava</v>
      </c>
      <c r="P319" s="11" t="str">
        <f>CHOOSE(ROUNDUP(Panchanga!$S319,0),"viṣkambha","prīti","āyuṣmāna","saubhāgya","śobhana","atigaṇḍa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("&amp;Panchanga!$S319&amp;")"</f>
        <v>vyatipāta (16.96)</v>
      </c>
      <c r="Q319" s="4">
        <f>IF(AND(Panchanga!$R319&lt;28.5,Panchanga!$R319&gt;0.49999),MOD((Panchanga!$R319-0.5)*2,7),MOD((Panchanga!$R319+30-28.5),30)*2+7)</f>
        <v>2.7685999999999993</v>
      </c>
      <c r="R319" s="4">
        <f>ROUNDUP(MOD(360+P[[#This Row],[Moon]]-P[[#This Row],[Sun]],360)/12,4)</f>
        <v>5.3842999999999996</v>
      </c>
      <c r="S319" s="4">
        <f>ROUNDUP(MOD(P[[#This Row],[Sun]]+P[[#This Row],[Moon]],360)/13.333333333,2)</f>
        <v>16.96</v>
      </c>
      <c r="T319" s="4" t="str">
        <f>SIGN(W320-Panchanga!$W319)*INT(Panchanga!$W319/30+1)&amp;"Ma,"&amp;SIGN(X320-Panchanga!$X319)*INT(Panchanga!$X319/30+1)&amp;"Me,"&amp;SIGN(Y320-Panchanga!$Y319)*INT(Panchanga!$Y319/30+1)&amp;"J, "&amp;SIGN(Z320-Panchanga!$Z319)*INT(Panchanga!$Z319/30+1)&amp;"V,"&amp;SIGN(AA320-Panchanga!$AA319)*INT(Panchanga!$AA319/30+1)&amp;"S,"&amp;INT(Panchanga!$AB319/30+1)&amp;"R"</f>
        <v>-4Ma,9Me,-2J, 11V,11S,12R</v>
      </c>
      <c r="U319" s="4">
        <f t="shared" si="40"/>
        <v>260.73128058958594</v>
      </c>
      <c r="V319" s="4">
        <f t="shared" si="41"/>
        <v>325.34215467609681</v>
      </c>
      <c r="W319" s="4">
        <f>Planet(Panchanga!$G319,4)</f>
        <v>96.309617309720451</v>
      </c>
      <c r="X319" s="4">
        <f>Planet(Panchanga!$G319,2)</f>
        <v>241.05152267334199</v>
      </c>
      <c r="Y319" s="4">
        <f>Planet(Panchanga!$G319,5)</f>
        <v>48.598065553266913</v>
      </c>
      <c r="Z319" s="4">
        <f>Planet(Panchanga!$G319,3)</f>
        <v>307.80638159613045</v>
      </c>
      <c r="AA319" s="4">
        <f>Planet(Panchanga!$G319,6)</f>
        <v>320.6341369957708</v>
      </c>
      <c r="AB319" s="4">
        <f>Planet(Panchanga!$G319,10)</f>
        <v>337.07662067531476</v>
      </c>
      <c r="AC319" s="4" t="str">
        <f>TEXT(Panchanga!$C319+($C320-Panchanga!$C319)/ABS(IF($R320&lt;1,$R320+30,$R320)-Panchanga!$R319)*(ROUNDUP(Panchanga!$R319,0)-Panchanga!$R319),"hh:mm AM/PM")</f>
        <v>08:14 PM</v>
      </c>
      <c r="AD319" s="4"/>
    </row>
    <row r="320" spans="1:30" x14ac:dyDescent="0.2">
      <c r="A320" s="3">
        <f t="shared" si="43"/>
        <v>45663</v>
      </c>
      <c r="B320" s="3">
        <f t="shared" si="38"/>
        <v>45663.229166666664</v>
      </c>
      <c r="C320" s="6">
        <f t="shared" si="39"/>
        <v>45663.274546295557</v>
      </c>
      <c r="D320" s="6">
        <f>sunset(Lat,Long,B320)+TimeZone/24-0.000277777777777778</f>
        <v>45662.746593045114</v>
      </c>
      <c r="E320" s="6">
        <f>PlanetRiseSet(Lat,Long,B320,1,1)+TimeZone/24+0.00103009259259259</f>
        <v>45663.476757577773</v>
      </c>
      <c r="F320" s="6">
        <f>PlanetRiseSet(Lat,Long,B320+1,1,2)+TimeZone/24+0.00103009259259259</f>
        <v>45663.998984563783</v>
      </c>
      <c r="G320" s="17">
        <f>Panchanga!$C320-TimeZone/24</f>
        <v>45663.045379628893</v>
      </c>
      <c r="H320" s="13" t="str">
        <f>INT(P[[#This Row],[Sun]]/30)&amp;"s"&amp;ROUNDUP(MOD(P[[#This Row],[Sun]],30),2)</f>
        <v>8s21.76</v>
      </c>
      <c r="I320" s="13" t="str">
        <f>INT(P[[#This Row],[Moon]]/30)&amp;"s"&amp;ROUNDUP(MOD(P[[#This Row],[Moon]],30),2)</f>
        <v>11s9.35</v>
      </c>
      <c r="J320" s="14">
        <f t="shared" si="42"/>
        <v>45663.045379628893</v>
      </c>
      <c r="K320" s="10" t="str">
        <f>naks(P[[#This Row],[Moon]])</f>
        <v>Uttara Bhadrapada</v>
      </c>
      <c r="L320" s="15">
        <f>(C321-P[[#This Row],[SunRise]])/(MOD(360+V321-P[[#This Row],[Moon]],360))*(13.3333333333333-MOD(P[[#This Row],[Moon]],13.333333333333))+P[[#This Row],[SunRise]]</f>
        <v>45663.795718725727</v>
      </c>
      <c r="M320" s="4" t="str">
        <f>IF(Panchanga!$R320&gt;15,"K","S")&amp;ROUNDUP(MOD(Panchanga!$R320,15),0)&amp;" ("&amp;ROUND(Panchanga!$R320,2)&amp;")"</f>
        <v>S7 (6.47)</v>
      </c>
      <c r="N320" s="4">
        <f>IF(AND(Panchanga!$R320&lt;28.5,Panchanga!$R320&gt;0.49999),MOD((Panchanga!$R320-0.5)*2,7),MOD((Panchanga!$R320+30-28.5),30)*2+7)</f>
        <v>4.9317999999999991</v>
      </c>
      <c r="O320" s="4" t="str">
        <f>CHOOSE(ROUNDUP(Panchanga!$N320,0),"Bhava","Baalava","Kaulava","Taitula","Garija","Vanija","Vishti","Shakuni","Chatushapda","Naaga","Kimstugna")</f>
        <v>Garija</v>
      </c>
      <c r="P320" s="11" t="str">
        <f>CHOOSE(ROUNDUP(Panchanga!$S320,0),"viṣkambha","prīti","āyuṣmāna","saubhāgya","śobhana","atigaṇḍa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("&amp;Panchanga!$S320&amp;")"</f>
        <v>parigha (18.09)</v>
      </c>
      <c r="Q320" s="4">
        <f>IF(AND(Panchanga!$R320&lt;28.5,Panchanga!$R320&gt;0.49999),MOD((Panchanga!$R320-0.5)*2,7),MOD((Panchanga!$R320+30-28.5),30)*2+7)</f>
        <v>4.9317999999999991</v>
      </c>
      <c r="R320" s="4">
        <f>ROUNDUP(MOD(360+P[[#This Row],[Moon]]-P[[#This Row],[Sun]],360)/12,4)</f>
        <v>6.4658999999999995</v>
      </c>
      <c r="S320" s="4">
        <f>ROUNDUP(MOD(P[[#This Row],[Sun]]+P[[#This Row],[Moon]],360)/13.333333333,2)</f>
        <v>18.09</v>
      </c>
      <c r="T320" s="4" t="str">
        <f>SIGN(W321-Panchanga!$W320)*INT(Panchanga!$W320/30+1)&amp;"Ma,"&amp;SIGN(X321-Panchanga!$X320)*INT(Panchanga!$X320/30+1)&amp;"Me,"&amp;SIGN(Y321-Panchanga!$Y320)*INT(Panchanga!$Y320/30+1)&amp;"J, "&amp;SIGN(Z321-Panchanga!$Z320)*INT(Panchanga!$Z320/30+1)&amp;"V,"&amp;SIGN(AA321-Panchanga!$AA320)*INT(Panchanga!$AA320/30+1)&amp;"S,"&amp;INT(Panchanga!$AB320/30+1)&amp;"R"</f>
        <v>-4Ma,9Me,-2J, 11V,11S,12R</v>
      </c>
      <c r="U320" s="4">
        <f t="shared" si="40"/>
        <v>261.75082485100262</v>
      </c>
      <c r="V320" s="4">
        <f t="shared" si="41"/>
        <v>339.34158156890624</v>
      </c>
      <c r="W320" s="4">
        <f>Planet(Panchanga!$G320,4)</f>
        <v>95.942680159192861</v>
      </c>
      <c r="X320" s="4">
        <f>Planet(Panchanga!$G320,2)</f>
        <v>242.43164548238033</v>
      </c>
      <c r="Y320" s="4">
        <f>Planet(Panchanga!$G320,5)</f>
        <v>48.502851831673112</v>
      </c>
      <c r="Z320" s="4">
        <f>Planet(Panchanga!$G320,3)</f>
        <v>308.85595507651692</v>
      </c>
      <c r="AA320" s="4">
        <f>Planet(Panchanga!$G320,6)</f>
        <v>320.71564147298824</v>
      </c>
      <c r="AB320" s="4">
        <f>Planet(Panchanga!$G320,10)</f>
        <v>337.02361712688992</v>
      </c>
      <c r="AC320" s="4" t="str">
        <f>TEXT(Panchanga!$C320+($C321-Panchanga!$C320)/ABS(IF($R321&lt;1,$R321+30,$R321)-Panchanga!$R320)*(ROUNDUP(Panchanga!$R320,0)-Panchanga!$R320),"hh:mm AM/PM")</f>
        <v>06:23 PM</v>
      </c>
      <c r="AD320" s="4"/>
    </row>
    <row r="321" spans="1:30" x14ac:dyDescent="0.2">
      <c r="A321" s="3">
        <f t="shared" si="43"/>
        <v>45664</v>
      </c>
      <c r="B321" s="3">
        <f t="shared" si="38"/>
        <v>45664.229166666664</v>
      </c>
      <c r="C321" s="6">
        <f t="shared" si="39"/>
        <v>45664.274753321115</v>
      </c>
      <c r="D321" s="6">
        <f>sunset(Lat,Long,B321)+TimeZone/24-0.000277777777777778</f>
        <v>45663.746990368745</v>
      </c>
      <c r="E321" s="6">
        <f>PlanetRiseSet(Lat,Long,B321,1,1)+TimeZone/24+0.00103009259259259</f>
        <v>45663.476757600125</v>
      </c>
      <c r="F321" s="6">
        <f>PlanetRiseSet(Lat,Long,B321+1,1,2)+TimeZone/24+0.00103009259259259</f>
        <v>45665.037645565033</v>
      </c>
      <c r="G321" s="17">
        <f>Panchanga!$C321-TimeZone/24</f>
        <v>45664.045586654451</v>
      </c>
      <c r="H321" s="13" t="str">
        <f>INT(P[[#This Row],[Sun]]/30)&amp;"s"&amp;ROUNDUP(MOD(P[[#This Row],[Sun]],30),2)</f>
        <v>8s22.78</v>
      </c>
      <c r="I321" s="13" t="str">
        <f>INT(P[[#This Row],[Moon]]/30)&amp;"s"&amp;ROUNDUP(MOD(P[[#This Row],[Moon]],30),2)</f>
        <v>11s23.4</v>
      </c>
      <c r="J321" s="14">
        <f t="shared" si="42"/>
        <v>45664.045586654451</v>
      </c>
      <c r="K321" s="10" t="str">
        <f>naks(P[[#This Row],[Moon]])</f>
        <v>Revati</v>
      </c>
      <c r="L321" s="15">
        <f>(C322-P[[#This Row],[SunRise]])/(MOD(360+V322-P[[#This Row],[Moon]],360))*(13.3333333333333-MOD(P[[#This Row],[Moon]],13.333333333333))+P[[#This Row],[SunRise]]</f>
        <v>45664.742732282866</v>
      </c>
      <c r="M321" s="4" t="str">
        <f>IF(Panchanga!$R321&gt;15,"K","S")&amp;ROUNDUP(MOD(Panchanga!$R321,15),0)&amp;" ("&amp;ROUND(Panchanga!$R321,2)&amp;")"</f>
        <v>S8 (7.55)</v>
      </c>
      <c r="N321" s="4">
        <f>IF(AND(Panchanga!$R321&lt;28.5,Panchanga!$R321&gt;0.49999),MOD((Panchanga!$R321-0.5)*2,7),MOD((Panchanga!$R321+30-28.5),30)*2+7)</f>
        <v>0.10499999999999865</v>
      </c>
      <c r="O321" s="4" t="str">
        <f>CHOOSE(ROUNDUP(Panchanga!$N321,0),"Bhava","Baalava","Kaulava","Taitula","Garija","Vanija","Vishti","Shakuni","Chatushapda","Naaga","Kimstugna")</f>
        <v>Bhava</v>
      </c>
      <c r="P321" s="11" t="str">
        <f>CHOOSE(ROUNDUP(Panchanga!$S321,0),"viṣkambha","prīti","āyuṣmāna","saubhāgya","śobhana","atigaṇḍa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("&amp;Panchanga!$S321&amp;")"</f>
        <v>śiva (19.22)</v>
      </c>
      <c r="Q321" s="4">
        <f>IF(AND(Panchanga!$R321&lt;28.5,Panchanga!$R321&gt;0.49999),MOD((Panchanga!$R321-0.5)*2,7),MOD((Panchanga!$R321+30-28.5),30)*2+7)</f>
        <v>0.10499999999999865</v>
      </c>
      <c r="R321" s="4">
        <f>ROUNDUP(MOD(360+P[[#This Row],[Moon]]-P[[#This Row],[Sun]],360)/12,4)</f>
        <v>7.5524999999999993</v>
      </c>
      <c r="S321" s="4">
        <f>ROUNDUP(MOD(P[[#This Row],[Sun]]+P[[#This Row],[Moon]],360)/13.333333333,2)</f>
        <v>19.220000000000002</v>
      </c>
      <c r="T321" s="4" t="str">
        <f>SIGN(W322-Panchanga!$W321)*INT(Panchanga!$W321/30+1)&amp;"Ma,"&amp;SIGN(X322-Panchanga!$X321)*INT(Panchanga!$X321/30+1)&amp;"Me,"&amp;SIGN(Y322-Panchanga!$Y321)*INT(Panchanga!$Y321/30+1)&amp;"J, "&amp;SIGN(Z322-Panchanga!$Z321)*INT(Panchanga!$Z321/30+1)&amp;"V,"&amp;SIGN(AA322-Panchanga!$AA321)*INT(Panchanga!$AA321/30+1)&amp;"S,"&amp;INT(Panchanga!$AB321/30+1)&amp;"R"</f>
        <v>-4Ma,9Me,-2J, 11V,11S,12R</v>
      </c>
      <c r="U321" s="4">
        <f t="shared" si="40"/>
        <v>262.77024278384226</v>
      </c>
      <c r="V321" s="4">
        <f t="shared" si="41"/>
        <v>353.39950396361701</v>
      </c>
      <c r="W321" s="4">
        <f>Planet(Panchanga!$G321,4)</f>
        <v>95.569072347246376</v>
      </c>
      <c r="X321" s="4">
        <f>Planet(Panchanga!$G321,2)</f>
        <v>243.82736334422063</v>
      </c>
      <c r="Y321" s="4">
        <f>Planet(Panchanga!$G321,5)</f>
        <v>48.410319183203427</v>
      </c>
      <c r="Z321" s="4">
        <f>Planet(Panchanga!$G321,3)</f>
        <v>309.89958994150163</v>
      </c>
      <c r="AA321" s="4">
        <f>Planet(Panchanga!$G321,6)</f>
        <v>320.79839897136901</v>
      </c>
      <c r="AB321" s="4">
        <f>Planet(Panchanga!$G321,10)</f>
        <v>336.97061416946002</v>
      </c>
      <c r="AC321" s="4" t="str">
        <f>TEXT(Panchanga!$C321+($C322-Panchanga!$C321)/ABS(IF($R322&lt;1,$R322+30,$R322)-Panchanga!$R321)*(ROUNDUP(Panchanga!$R321,0)-Panchanga!$R321),"hh:mm AM/PM")</f>
        <v>04:26 PM</v>
      </c>
      <c r="AD321" s="4"/>
    </row>
    <row r="322" spans="1:30" x14ac:dyDescent="0.2">
      <c r="A322" s="3">
        <f t="shared" si="43"/>
        <v>45665</v>
      </c>
      <c r="B322" s="3">
        <f t="shared" si="38"/>
        <v>45665.229166666664</v>
      </c>
      <c r="C322" s="6">
        <f t="shared" si="39"/>
        <v>45665.274948960323</v>
      </c>
      <c r="D322" s="6">
        <f>sunset(Lat,Long,B322)+TimeZone/24-0.000277777777777778</f>
        <v>45664.747387354306</v>
      </c>
      <c r="E322" s="6">
        <f>PlanetRiseSet(Lat,Long,B322,1,1)+TimeZone/24+0.00103009259259259</f>
        <v>45664.505313096255</v>
      </c>
      <c r="F322" s="6">
        <f>PlanetRiseSet(Lat,Long,B322+1,1,2)+TimeZone/24+0.00103009259259259</f>
        <v>45666.078069300078</v>
      </c>
      <c r="G322" s="17">
        <f>Panchanga!$C322-TimeZone/24</f>
        <v>45665.045782293659</v>
      </c>
      <c r="H322" s="13" t="str">
        <f>INT(P[[#This Row],[Sun]]/30)&amp;"s"&amp;ROUNDUP(MOD(P[[#This Row],[Sun]],30),2)</f>
        <v>8s23.79</v>
      </c>
      <c r="I322" s="13" t="str">
        <f>INT(P[[#This Row],[Moon]]/30)&amp;"s"&amp;ROUNDUP(MOD(P[[#This Row],[Moon]],30),2)</f>
        <v>0s7.51</v>
      </c>
      <c r="J322" s="14">
        <f t="shared" si="42"/>
        <v>45665.045782293659</v>
      </c>
      <c r="K322" s="10" t="str">
        <f>naks(P[[#This Row],[Moon]])</f>
        <v>Aswini</v>
      </c>
      <c r="L322" s="15">
        <f>(C323-P[[#This Row],[SunRise]])/(MOD(360+V323-P[[#This Row],[Moon]],360))*(13.3333333333333-MOD(P[[#This Row],[Moon]],13.333333333333))+P[[#This Row],[SunRise]]</f>
        <v>45665.687094024739</v>
      </c>
      <c r="M322" s="4" t="str">
        <f>IF(Panchanga!$R322&gt;15,"K","S")&amp;ROUNDUP(MOD(Panchanga!$R322,15),0)&amp;" ("&amp;ROUND(Panchanga!$R322,2)&amp;")"</f>
        <v>S9 (8.64)</v>
      </c>
      <c r="N322" s="4">
        <f>IF(AND(Panchanga!$R322&lt;28.5,Panchanga!$R322&gt;0.49999),MOD((Panchanga!$R322-0.5)*2,7),MOD((Panchanga!$R322+30-28.5),30)*2+7)</f>
        <v>2.2862000000000009</v>
      </c>
      <c r="O322" s="4" t="str">
        <f>CHOOSE(ROUNDUP(Panchanga!$N322,0),"Bhava","Baalava","Kaulava","Taitula","Garija","Vanija","Vishti","Shakuni","Chatushapda","Naaga","Kimstugna")</f>
        <v>Kaulava</v>
      </c>
      <c r="P322" s="11" t="str">
        <f>CHOOSE(ROUNDUP(Panchanga!$S322,0),"viṣkambha","prīti","āyuṣmāna","saubhāgya","śobhana","atigaṇḍa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("&amp;Panchanga!$S322&amp;")"</f>
        <v>siddha (20.35)</v>
      </c>
      <c r="Q322" s="4">
        <f>IF(AND(Panchanga!$R322&lt;28.5,Panchanga!$R322&gt;0.49999),MOD((Panchanga!$R322-0.5)*2,7),MOD((Panchanga!$R322+30-28.5),30)*2+7)</f>
        <v>2.2862000000000009</v>
      </c>
      <c r="R322" s="4">
        <f>ROUNDUP(MOD(360+P[[#This Row],[Moon]]-P[[#This Row],[Sun]],360)/12,4)</f>
        <v>8.6431000000000004</v>
      </c>
      <c r="S322" s="4">
        <f>ROUNDUP(MOD(P[[#This Row],[Sun]]+P[[#This Row],[Moon]],360)/13.333333333,2)</f>
        <v>20.350000000000001</v>
      </c>
      <c r="T322" s="4" t="str">
        <f>SIGN(W323-Panchanga!$W322)*INT(Panchanga!$W322/30+1)&amp;"Ma,"&amp;SIGN(X323-Panchanga!$X322)*INT(Panchanga!$X322/30+1)&amp;"Me,"&amp;SIGN(Y323-Panchanga!$Y322)*INT(Panchanga!$Y322/30+1)&amp;"J, "&amp;SIGN(Z323-Panchanga!$Z322)*INT(Panchanga!$Z322/30+1)&amp;"V,"&amp;SIGN(AA323-Panchanga!$AA322)*INT(Panchanga!$AA322/30+1)&amp;"S,"&amp;INT(Panchanga!$AB322/30+1)&amp;"R"</f>
        <v>-4Ma,9Me,-2J, 11V,11S,12R</v>
      </c>
      <c r="U322" s="4">
        <f t="shared" si="40"/>
        <v>263.78952114598178</v>
      </c>
      <c r="V322" s="4">
        <f t="shared" si="41"/>
        <v>7.5065213549953276</v>
      </c>
      <c r="W322" s="4">
        <f>Planet(Panchanga!$G322,4)</f>
        <v>95.189512827580955</v>
      </c>
      <c r="X322" s="4">
        <f>Planet(Panchanga!$G322,2)</f>
        <v>245.23742899509574</v>
      </c>
      <c r="Y322" s="4">
        <f>Planet(Panchanga!$G322,5)</f>
        <v>48.320524438955808</v>
      </c>
      <c r="Z322" s="4">
        <f>Planet(Panchanga!$G322,3)</f>
        <v>310.93705303803819</v>
      </c>
      <c r="AA322" s="4">
        <f>Planet(Panchanga!$G322,6)</f>
        <v>320.88238948285442</v>
      </c>
      <c r="AB322" s="4">
        <f>Planet(Panchanga!$G322,10)</f>
        <v>336.91761181546843</v>
      </c>
      <c r="AC322" s="4" t="str">
        <f>TEXT(Panchanga!$C322+($C323-Panchanga!$C322)/ABS(IF($R323&lt;1,$R323+30,$R323)-Panchanga!$R322)*(ROUNDUP(Panchanga!$R322,0)-Panchanga!$R322),"hh:mm AM/PM")</f>
        <v>02:26 PM</v>
      </c>
      <c r="AD322" s="4"/>
    </row>
    <row r="323" spans="1:30" x14ac:dyDescent="0.2">
      <c r="A323" s="3">
        <f t="shared" si="43"/>
        <v>45666</v>
      </c>
      <c r="B323" s="3">
        <f t="shared" ref="B323:B386" si="44">A323+TimeZone/24</f>
        <v>45666.229166666664</v>
      </c>
      <c r="C323" s="6">
        <f t="shared" ref="C323:C386" si="45">sunrise(Lat,Long,B323)+TimeZone/24+0.00103009259259259</f>
        <v>45666.27513300829</v>
      </c>
      <c r="D323" s="6">
        <f>sunset(Lat,Long,B323)+TimeZone/24-0.000277777777777778</f>
        <v>45665.747783621351</v>
      </c>
      <c r="E323" s="6">
        <f>PlanetRiseSet(Lat,Long,B323,1,1)+TimeZone/24+0.00103009259259259</f>
        <v>45665.535595116358</v>
      </c>
      <c r="F323" s="6">
        <f>PlanetRiseSet(Lat,Long,B323+1,1,2)+TimeZone/24+0.00103009259259259</f>
        <v>45667.120519479424</v>
      </c>
      <c r="G323" s="17">
        <f>Panchanga!$C323-TimeZone/24</f>
        <v>45666.045966341626</v>
      </c>
      <c r="H323" s="13" t="str">
        <f>INT(P[[#This Row],[Sun]]/30)&amp;"s"&amp;ROUNDUP(MOD(P[[#This Row],[Sun]],30),2)</f>
        <v>8s24.81</v>
      </c>
      <c r="I323" s="13" t="str">
        <f>INT(P[[#This Row],[Moon]]/30)&amp;"s"&amp;ROUNDUP(MOD(P[[#This Row],[Moon]],30),2)</f>
        <v>0s21.65</v>
      </c>
      <c r="J323" s="14">
        <f t="shared" si="42"/>
        <v>45666.045966341626</v>
      </c>
      <c r="K323" s="10" t="str">
        <f>naks(P[[#This Row],[Moon]])</f>
        <v>Bharani</v>
      </c>
      <c r="L323" s="15">
        <f>(C324-P[[#This Row],[SunRise]])/(MOD(360+V324-P[[#This Row],[Moon]],360))*(13.3333333333333-MOD(P[[#This Row],[Moon]],13.333333333333))+P[[#This Row],[SunRise]]</f>
        <v>45666.630090771017</v>
      </c>
      <c r="M323" s="4" t="str">
        <f>IF(Panchanga!$R323&gt;15,"K","S")&amp;ROUNDUP(MOD(Panchanga!$R323,15),0)&amp;" ("&amp;ROUND(Panchanga!$R323,2)&amp;")"</f>
        <v>S10 (9.74)</v>
      </c>
      <c r="N323" s="4">
        <f>IF(AND(Panchanga!$R323&lt;28.5,Panchanga!$R323&gt;0.49999),MOD((Panchanga!$R323-0.5)*2,7),MOD((Panchanga!$R323+30-28.5),30)*2+7)</f>
        <v>4.4731999999999985</v>
      </c>
      <c r="O323" s="4" t="str">
        <f>CHOOSE(ROUNDUP(Panchanga!$N323,0),"Bhava","Baalava","Kaulava","Taitula","Garija","Vanija","Vishti","Shakuni","Chatushapda","Naaga","Kimstugna")</f>
        <v>Garija</v>
      </c>
      <c r="P323" s="11" t="str">
        <f>CHOOSE(ROUNDUP(Panchanga!$S323,0),"viṣkambha","prīti","āyuṣmāna","saubhāgya","śobhana","atigaṇḍa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("&amp;Panchanga!$S323&amp;")"</f>
        <v>sādhya (21.49)</v>
      </c>
      <c r="Q323" s="4">
        <f>IF(AND(Panchanga!$R323&lt;28.5,Panchanga!$R323&gt;0.49999),MOD((Panchanga!$R323-0.5)*2,7),MOD((Panchanga!$R323+30-28.5),30)*2+7)</f>
        <v>4.4731999999999985</v>
      </c>
      <c r="R323" s="4">
        <f>ROUNDUP(MOD(360+P[[#This Row],[Moon]]-P[[#This Row],[Sun]],360)/12,4)</f>
        <v>9.7365999999999993</v>
      </c>
      <c r="S323" s="4">
        <f>ROUNDUP(MOD(P[[#This Row],[Sun]]+P[[#This Row],[Moon]],360)/13.333333333,2)</f>
        <v>21.490000000000002</v>
      </c>
      <c r="T323" s="4" t="str">
        <f>SIGN(W324-Panchanga!$W323)*INT(Panchanga!$W323/30+1)&amp;"Ma,"&amp;SIGN(X324-Panchanga!$X323)*INT(Panchanga!$X323/30+1)&amp;"Me,"&amp;SIGN(Y324-Panchanga!$Y323)*INT(Panchanga!$Y323/30+1)&amp;"J, "&amp;SIGN(Z324-Panchanga!$Z323)*INT(Panchanga!$Z323/30+1)&amp;"V,"&amp;SIGN(AA324-Panchanga!$AA323)*INT(Panchanga!$AA323/30+1)&amp;"S,"&amp;INT(Panchanga!$AB323/30+1)&amp;"R"</f>
        <v>-4Ma,9Me,-2J, 11V,11S,12R</v>
      </c>
      <c r="U323" s="4">
        <f t="shared" ref="U323:U386" si="46">Planet($G323,0)</f>
        <v>264.80865179539842</v>
      </c>
      <c r="V323" s="4">
        <f t="shared" ref="V323:V386" si="47">Planet($G323,1)</f>
        <v>21.6468930212401</v>
      </c>
      <c r="W323" s="4">
        <f>Planet(Panchanga!$G323,4)</f>
        <v>94.804733246749336</v>
      </c>
      <c r="X323" s="4">
        <f>Planet(Panchanga!$G323,2)</f>
        <v>246.66079080338011</v>
      </c>
      <c r="Y323" s="4">
        <f>Planet(Panchanga!$G323,5)</f>
        <v>48.233520580429669</v>
      </c>
      <c r="Z323" s="4">
        <f>Planet(Panchanga!$G323,3)</f>
        <v>311.96810677227279</v>
      </c>
      <c r="AA323" s="4">
        <f>Planet(Panchanga!$G323,6)</f>
        <v>320.96759319668752</v>
      </c>
      <c r="AB323" s="4">
        <f>Planet(Panchanga!$G323,10)</f>
        <v>336.86461007570125</v>
      </c>
      <c r="AC323" s="4" t="str">
        <f>TEXT(Panchanga!$C323+($C324-Panchanga!$C323)/ABS(IF($R324&lt;1,$R324+30,$R324)-Panchanga!$R323)*(ROUNDUP(Panchanga!$R323,0)-Panchanga!$R323),"hh:mm AM/PM")</f>
        <v>12:23 PM</v>
      </c>
      <c r="AD323" s="4"/>
    </row>
    <row r="324" spans="1:30" x14ac:dyDescent="0.2">
      <c r="A324" s="3">
        <f t="shared" si="43"/>
        <v>45667</v>
      </c>
      <c r="B324" s="3">
        <f t="shared" si="44"/>
        <v>45667.229166666664</v>
      </c>
      <c r="C324" s="6">
        <f t="shared" si="45"/>
        <v>45667.275305288531</v>
      </c>
      <c r="D324" s="6">
        <f>sunset(Lat,Long,B324)+TimeZone/24-0.000277777777777778</f>
        <v>45666.748178811322</v>
      </c>
      <c r="E324" s="6">
        <f>PlanetRiseSet(Lat,Long,B324,1,1)+TimeZone/24+0.00103009259259259</f>
        <v>45666.568622365747</v>
      </c>
      <c r="F324" s="6">
        <f>PlanetRiseSet(Lat,Long,B324+1,1,2)+TimeZone/24+0.00103009259259259</f>
        <v>45668.164440286033</v>
      </c>
      <c r="G324" s="17">
        <f>Panchanga!$C324-TimeZone/24</f>
        <v>45667.046138621867</v>
      </c>
      <c r="H324" s="13" t="str">
        <f>INT(P[[#This Row],[Sun]]/30)&amp;"s"&amp;ROUNDUP(MOD(P[[#This Row],[Sun]],30),2)</f>
        <v>8s25.83</v>
      </c>
      <c r="I324" s="13" t="str">
        <f>INT(P[[#This Row],[Moon]]/30)&amp;"s"&amp;ROUNDUP(MOD(P[[#This Row],[Moon]],30),2)</f>
        <v>1s5.8</v>
      </c>
      <c r="J324" s="14">
        <f t="shared" si="42"/>
        <v>45667.046138621867</v>
      </c>
      <c r="K324" s="10" t="str">
        <f>naks(P[[#This Row],[Moon]])</f>
        <v>Krittika</v>
      </c>
      <c r="L324" s="15">
        <f>(C325-P[[#This Row],[SunRise]])/(MOD(360+V325-P[[#This Row],[Moon]],360))*(13.3333333333333-MOD(P[[#This Row],[Moon]],13.333333333333))+P[[#This Row],[SunRise]]</f>
        <v>45667.573817055985</v>
      </c>
      <c r="M324" s="4" t="str">
        <f>IF(Panchanga!$R324&gt;15,"K","S")&amp;ROUNDUP(MOD(Panchanga!$R324,15),0)&amp;" ("&amp;ROUND(Panchanga!$R324,2)&amp;")"</f>
        <v>S11 (10.83)</v>
      </c>
      <c r="N324" s="4">
        <f>IF(AND(Panchanga!$R324&lt;28.5,Panchanga!$R324&gt;0.49999),MOD((Panchanga!$R324-0.5)*2,7),MOD((Panchanga!$R324+30-28.5),30)*2+7)</f>
        <v>6.6605999999999987</v>
      </c>
      <c r="O324" s="4" t="str">
        <f>CHOOSE(ROUNDUP(Panchanga!$N324,0),"Bhava","Baalava","Kaulava","Taitula","Garija","Vanija","Vishti","Shakuni","Chatushapda","Naaga","Kimstugna")</f>
        <v>Vishti</v>
      </c>
      <c r="P324" s="11" t="str">
        <f>CHOOSE(ROUNDUP(Panchanga!$S324,0),"viṣkambha","prīti","āyuṣmāna","saubhāgya","śobhana","atigaṇḍa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("&amp;Panchanga!$S324&amp;")"</f>
        <v>śubha (22.63)</v>
      </c>
      <c r="Q324" s="4">
        <f>IF(AND(Panchanga!$R324&lt;28.5,Panchanga!$R324&gt;0.49999),MOD((Panchanga!$R324-0.5)*2,7),MOD((Panchanga!$R324+30-28.5),30)*2+7)</f>
        <v>6.6605999999999987</v>
      </c>
      <c r="R324" s="4">
        <f>ROUNDUP(MOD(360+P[[#This Row],[Moon]]-P[[#This Row],[Sun]],360)/12,4)</f>
        <v>10.830299999999999</v>
      </c>
      <c r="S324" s="4">
        <f>ROUNDUP(MOD(P[[#This Row],[Sun]]+P[[#This Row],[Moon]],360)/13.333333333,2)</f>
        <v>22.630000000000003</v>
      </c>
      <c r="T324" s="4" t="str">
        <f>SIGN(W325-Panchanga!$W324)*INT(Panchanga!$W324/30+1)&amp;"Ma,"&amp;SIGN(X325-Panchanga!$X324)*INT(Panchanga!$X324/30+1)&amp;"Me,"&amp;SIGN(Y325-Panchanga!$Y324)*INT(Panchanga!$Y324/30+1)&amp;"J, "&amp;SIGN(Z325-Panchanga!$Z324)*INT(Panchanga!$Z324/30+1)&amp;"V,"&amp;SIGN(AA325-Panchanga!$AA324)*INT(Panchanga!$AA324/30+1)&amp;"S,"&amp;INT(Panchanga!$AB324/30+1)&amp;"R"</f>
        <v>-4Ma,9Me,-2J, 11V,11S,12R</v>
      </c>
      <c r="U324" s="4">
        <f t="shared" si="46"/>
        <v>265.82763148731181</v>
      </c>
      <c r="V324" s="4">
        <f t="shared" si="47"/>
        <v>35.791219418509215</v>
      </c>
      <c r="W324" s="4">
        <f>Planet(Panchanga!$G324,4)</f>
        <v>94.415474865513474</v>
      </c>
      <c r="X324" s="4">
        <f>Planet(Panchanga!$G324,2)</f>
        <v>248.09656826451794</v>
      </c>
      <c r="Y324" s="4">
        <f>Planet(Panchanga!$G324,5)</f>
        <v>48.149357052041374</v>
      </c>
      <c r="Z324" s="4">
        <f>Planet(Panchanga!$G324,3)</f>
        <v>312.9925101701653</v>
      </c>
      <c r="AA324" s="4">
        <f>Planet(Panchanga!$G324,6)</f>
        <v>321.05399064387973</v>
      </c>
      <c r="AB324" s="4">
        <f>Planet(Panchanga!$G324,10)</f>
        <v>336.81160895950336</v>
      </c>
      <c r="AC324" s="4" t="str">
        <f>TEXT(Panchanga!$C324+($C325-Panchanga!$C324)/ABS(IF($R325&lt;1,$R325+30,$R325)-Panchanga!$R324)*(ROUNDUP(Panchanga!$R324,0)-Panchanga!$R324),"hh:mm AM/PM")</f>
        <v>10:20 AM</v>
      </c>
      <c r="AD324" s="4"/>
    </row>
    <row r="325" spans="1:30" x14ac:dyDescent="0.2">
      <c r="A325" s="3">
        <f t="shared" si="43"/>
        <v>45668</v>
      </c>
      <c r="B325" s="3">
        <f t="shared" si="44"/>
        <v>45668.229166666664</v>
      </c>
      <c r="C325" s="6">
        <f t="shared" si="45"/>
        <v>45668.275465648308</v>
      </c>
      <c r="D325" s="6">
        <f>sunset(Lat,Long,B325)+TimeZone/24-0.000277777777777778</f>
        <v>45667.748572586614</v>
      </c>
      <c r="E325" s="6">
        <f>PlanetRiseSet(Lat,Long,B325,1,1)+TimeZone/24+0.00103009259259259</f>
        <v>45667.605095428102</v>
      </c>
      <c r="F325" s="6">
        <f>PlanetRiseSet(Lat,Long,B325+1,1,2)+TimeZone/24+0.00103009259259259</f>
        <v>45669.208331195325</v>
      </c>
      <c r="G325" s="17">
        <f>Panchanga!$C325-TimeZone/24</f>
        <v>45668.046298981644</v>
      </c>
      <c r="H325" s="13" t="str">
        <f>INT(P[[#This Row],[Sun]]/30)&amp;"s"&amp;ROUNDUP(MOD(P[[#This Row],[Sun]],30),2)</f>
        <v>8s26.85</v>
      </c>
      <c r="I325" s="13" t="str">
        <f>INT(P[[#This Row],[Moon]]/30)&amp;"s"&amp;ROUNDUP(MOD(P[[#This Row],[Moon]],30),2)</f>
        <v>1s19.9</v>
      </c>
      <c r="J325" s="14">
        <f t="shared" si="42"/>
        <v>45668.046298981644</v>
      </c>
      <c r="K325" s="10" t="str">
        <f>naks(P[[#This Row],[Moon]])</f>
        <v>Rohini</v>
      </c>
      <c r="L325" s="15">
        <f>(C326-P[[#This Row],[SunRise]])/(MOD(360+V326-P[[#This Row],[Moon]],360))*(13.3333333333333-MOD(P[[#This Row],[Moon]],13.333333333333))+P[[#This Row],[SunRise]]</f>
        <v>45668.52132938413</v>
      </c>
      <c r="M325" s="4" t="str">
        <f>IF(Panchanga!$R325&gt;15,"K","S")&amp;ROUNDUP(MOD(Panchanga!$R325,15),0)&amp;" ("&amp;ROUND(Panchanga!$R325,2)&amp;")"</f>
        <v>S12 (11.92)</v>
      </c>
      <c r="N325" s="4">
        <f>IF(AND(Panchanga!$R325&lt;28.5,Panchanga!$R325&gt;0.49999),MOD((Panchanga!$R325-0.5)*2,7),MOD((Panchanga!$R325+30-28.5),30)*2+7)</f>
        <v>1.8412000000000006</v>
      </c>
      <c r="O325" s="4" t="str">
        <f>CHOOSE(ROUNDUP(Panchanga!$N325,0),"Bhava","Baalava","Kaulava","Taitula","Garija","Vanija","Vishti","Shakuni","Chatushapda","Naaga","Kimstugna")</f>
        <v>Baalava</v>
      </c>
      <c r="P325" s="11" t="str">
        <f>CHOOSE(ROUNDUP(Panchanga!$S325,0),"viṣkambha","prīti","āyuṣmāna","saubhāgya","śobhana","atigaṇḍa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("&amp;Panchanga!$S325&amp;")"</f>
        <v>śukla (23.76)</v>
      </c>
      <c r="Q325" s="4">
        <f>IF(AND(Panchanga!$R325&lt;28.5,Panchanga!$R325&gt;0.49999),MOD((Panchanga!$R325-0.5)*2,7),MOD((Panchanga!$R325+30-28.5),30)*2+7)</f>
        <v>1.8412000000000006</v>
      </c>
      <c r="R325" s="4">
        <f>ROUNDUP(MOD(360+P[[#This Row],[Moon]]-P[[#This Row],[Sun]],360)/12,4)</f>
        <v>11.9206</v>
      </c>
      <c r="S325" s="4">
        <f>ROUNDUP(MOD(P[[#This Row],[Sun]]+P[[#This Row],[Moon]],360)/13.333333333,2)</f>
        <v>23.76</v>
      </c>
      <c r="T325" s="4" t="str">
        <f>SIGN(W326-Panchanga!$W325)*INT(Panchanga!$W325/30+1)&amp;"Ma,"&amp;SIGN(X326-Panchanga!$X325)*INT(Panchanga!$X325/30+1)&amp;"Me,"&amp;SIGN(Y326-Panchanga!$Y325)*INT(Panchanga!$Y325/30+1)&amp;"J, "&amp;SIGN(Z326-Panchanga!$Z325)*INT(Panchanga!$Z325/30+1)&amp;"V,"&amp;SIGN(AA326-Panchanga!$AA325)*INT(Panchanga!$AA325/30+1)&amp;"S,"&amp;INT(Panchanga!$AB325/30+1)&amp;"R"</f>
        <v>-4Ma,9Me,-2J, 11V,11S,12R</v>
      </c>
      <c r="U325" s="4">
        <f t="shared" si="46"/>
        <v>266.84646127711881</v>
      </c>
      <c r="V325" s="4">
        <f t="shared" si="47"/>
        <v>49.892691988629558</v>
      </c>
      <c r="W325" s="4">
        <f>Planet(Panchanga!$G325,4)</f>
        <v>94.022486340786173</v>
      </c>
      <c r="X325" s="4">
        <f>Planet(Panchanga!$G325,2)</f>
        <v>249.54403047310547</v>
      </c>
      <c r="Y325" s="4">
        <f>Planet(Panchanga!$G325,5)</f>
        <v>48.0680801530333</v>
      </c>
      <c r="Z325" s="4">
        <f>Planet(Panchanga!$G325,3)</f>
        <v>314.01001946518545</v>
      </c>
      <c r="AA325" s="4">
        <f>Planet(Panchanga!$G325,6)</f>
        <v>321.14156278758702</v>
      </c>
      <c r="AB325" s="4">
        <f>Planet(Panchanga!$G325,10)</f>
        <v>336.75860847504316</v>
      </c>
      <c r="AC325" s="4" t="str">
        <f>TEXT(Panchanga!$C325+($C326-Panchanga!$C325)/ABS(IF($R326&lt;1,$R326+30,$R326)-Panchanga!$R325)*(ROUNDUP(Panchanga!$R325,0)-Panchanga!$R325),"hh:mm AM/PM")</f>
        <v>08:22 AM</v>
      </c>
      <c r="AD325" s="4"/>
    </row>
    <row r="326" spans="1:30" x14ac:dyDescent="0.2">
      <c r="A326" s="3">
        <f t="shared" si="43"/>
        <v>45669</v>
      </c>
      <c r="B326" s="3">
        <f t="shared" si="44"/>
        <v>45669.229166666664</v>
      </c>
      <c r="C326" s="6">
        <f t="shared" si="45"/>
        <v>45669.275613955841</v>
      </c>
      <c r="D326" s="6">
        <f>sunset(Lat,Long,B326)+TimeZone/24-0.000277777777777778</f>
        <v>45668.748964628248</v>
      </c>
      <c r="E326" s="6">
        <f>PlanetRiseSet(Lat,Long,B326,1,1)+TimeZone/24+0.00103009259259259</f>
        <v>45668.645009035397</v>
      </c>
      <c r="F326" s="6">
        <f>PlanetRiseSet(Lat,Long,B326+1,1,2)+TimeZone/24+0.00103009259259259</f>
        <v>45670.250203906711</v>
      </c>
      <c r="G326" s="17">
        <f>Panchanga!$C326-TimeZone/24</f>
        <v>45669.046447289176</v>
      </c>
      <c r="H326" s="13" t="str">
        <f>INT(P[[#This Row],[Sun]]/30)&amp;"s"&amp;ROUNDUP(MOD(P[[#This Row],[Sun]],30),2)</f>
        <v>8s27.87</v>
      </c>
      <c r="I326" s="13" t="str">
        <f>INT(P[[#This Row],[Moon]]/30)&amp;"s"&amp;ROUNDUP(MOD(P[[#This Row],[Moon]],30),2)</f>
        <v>2s3.89</v>
      </c>
      <c r="J326" s="14">
        <f t="shared" si="42"/>
        <v>45669.046447289176</v>
      </c>
      <c r="K326" s="10" t="str">
        <f>naks(P[[#This Row],[Moon]])</f>
        <v>Mrigashira</v>
      </c>
      <c r="L326" s="15">
        <f>(C327-P[[#This Row],[SunRise]])/(MOD(360+V327-P[[#This Row],[Moon]],360))*(13.3333333333333-MOD(P[[#This Row],[Moon]],13.333333333333))+P[[#This Row],[SunRise]]</f>
        <v>45669.476634776976</v>
      </c>
      <c r="M326" s="4" t="str">
        <f>IF(Panchanga!$R326&gt;15,"K","S")&amp;ROUNDUP(MOD(Panchanga!$R326,15),0)&amp;" ("&amp;ROUND(Panchanga!$R326,2)&amp;")"</f>
        <v>S14 (13)</v>
      </c>
      <c r="N326" s="4">
        <f>IF(AND(Panchanga!$R326&lt;28.5,Panchanga!$R326&gt;0.49999),MOD((Panchanga!$R326-0.5)*2,7),MOD((Panchanga!$R326+30-28.5),30)*2+7)</f>
        <v>4.0039999999999978</v>
      </c>
      <c r="O326" s="4" t="str">
        <f>CHOOSE(ROUNDUP(Panchanga!$N326,0),"Bhava","Baalava","Kaulava","Taitula","Garija","Vanija","Vishti","Shakuni","Chatushapda","Naaga","Kimstugna")</f>
        <v>Garija</v>
      </c>
      <c r="P326" s="11" t="str">
        <f>CHOOSE(ROUNDUP(Panchanga!$S326,0),"viṣkambha","prīti","āyuṣmāna","saubhāgya","śobhana","atigaṇḍa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("&amp;Panchanga!$S326&amp;")"</f>
        <v>brahma (24.89)</v>
      </c>
      <c r="Q326" s="4">
        <f>IF(AND(Panchanga!$R326&lt;28.5,Panchanga!$R326&gt;0.49999),MOD((Panchanga!$R326-0.5)*2,7),MOD((Panchanga!$R326+30-28.5),30)*2+7)</f>
        <v>4.0039999999999978</v>
      </c>
      <c r="R326" s="4">
        <f>ROUNDUP(MOD(360+P[[#This Row],[Moon]]-P[[#This Row],[Sun]],360)/12,4)</f>
        <v>13.001999999999999</v>
      </c>
      <c r="S326" s="4">
        <f>ROUNDUP(MOD(P[[#This Row],[Sun]]+P[[#This Row],[Moon]],360)/13.333333333,2)</f>
        <v>24.89</v>
      </c>
      <c r="T326" s="4" t="str">
        <f>SIGN(W327-Panchanga!$W326)*INT(Panchanga!$W326/30+1)&amp;"Ma,"&amp;SIGN(X327-Panchanga!$X326)*INT(Panchanga!$X326/30+1)&amp;"Me,"&amp;SIGN(Y327-Panchanga!$Y326)*INT(Panchanga!$Y326/30+1)&amp;"J, "&amp;SIGN(Z327-Panchanga!$Z326)*INT(Panchanga!$Z326/30+1)&amp;"V,"&amp;SIGN(AA327-Panchanga!$AA326)*INT(Panchanga!$AA326/30+1)&amp;"S,"&amp;INT(Panchanga!$AB326/30+1)&amp;"R"</f>
        <v>-4Ma,9Me,-2J, 11V,11S,12R</v>
      </c>
      <c r="U326" s="4">
        <f t="shared" si="46"/>
        <v>267.86514565009696</v>
      </c>
      <c r="V326" s="4">
        <f t="shared" si="47"/>
        <v>63.888865951704638</v>
      </c>
      <c r="W326" s="4">
        <f>Planet(Panchanga!$G326,4)</f>
        <v>93.626522222124848</v>
      </c>
      <c r="X326" s="4">
        <f>Planet(Panchanga!$G326,2)</f>
        <v>251.00257727411838</v>
      </c>
      <c r="Y326" s="4">
        <f>Planet(Panchanga!$G326,5)</f>
        <v>47.989733458008153</v>
      </c>
      <c r="Z326" s="4">
        <f>Planet(Panchanga!$G326,3)</f>
        <v>315.02038819323394</v>
      </c>
      <c r="AA326" s="4">
        <f>Planet(Panchanga!$G326,6)</f>
        <v>321.23029107403909</v>
      </c>
      <c r="AB326" s="4">
        <f>Planet(Panchanga!$G326,10)</f>
        <v>336.70560862922997</v>
      </c>
      <c r="AC326" s="4" t="str">
        <f>TEXT(Panchanga!$C326+($C327-Panchanga!$C326)/ABS(IF($R327&lt;1,$R327+30,$R327)-Panchanga!$R326)*(ROUNDUP(Panchanga!$R326,0)-Panchanga!$R326),"hh:mm AM/PM")</f>
        <v>05:04 AM</v>
      </c>
      <c r="AD326" s="4"/>
    </row>
    <row r="327" spans="1:30" x14ac:dyDescent="0.2">
      <c r="A327" s="3">
        <f t="shared" si="43"/>
        <v>45670</v>
      </c>
      <c r="B327" s="3">
        <f t="shared" si="44"/>
        <v>45670.229166666664</v>
      </c>
      <c r="C327" s="6">
        <f t="shared" si="45"/>
        <v>45670.275750095643</v>
      </c>
      <c r="D327" s="6">
        <f>sunset(Lat,Long,B327)+TimeZone/24-0.000277777777777778</f>
        <v>45669.749354634943</v>
      </c>
      <c r="E327" s="6">
        <f>PlanetRiseSet(Lat,Long,B327,1,1)+TimeZone/24+0.00103009259259259</f>
        <v>45669.68733664012</v>
      </c>
      <c r="F327" s="6">
        <f>PlanetRiseSet(Lat,Long,B327+1,1,2)+TimeZone/24+0.00103009259259259</f>
        <v>45671.288469349187</v>
      </c>
      <c r="G327" s="17">
        <f>Panchanga!$C327-TimeZone/24</f>
        <v>45670.046583428979</v>
      </c>
      <c r="H327" s="13" t="str">
        <f>INT(P[[#This Row],[Sun]]/30)&amp;"s"&amp;ROUNDUP(MOD(P[[#This Row],[Sun]],30),2)</f>
        <v>8s28.89</v>
      </c>
      <c r="I327" s="13" t="str">
        <f>INT(P[[#This Row],[Moon]]/30)&amp;"s"&amp;ROUNDUP(MOD(P[[#This Row],[Moon]],30),2)</f>
        <v>2s17.71</v>
      </c>
      <c r="J327" s="14">
        <f t="shared" si="42"/>
        <v>45670.046583428979</v>
      </c>
      <c r="K327" s="10" t="str">
        <f>naks(P[[#This Row],[Moon]])</f>
        <v>Ardra</v>
      </c>
      <c r="L327" s="15">
        <f>(C328-P[[#This Row],[SunRise]])/(MOD(360+V328-P[[#This Row],[Moon]],360))*(13.3333333333333-MOD(P[[#This Row],[Moon]],13.333333333333))+P[[#This Row],[SunRise]]</f>
        <v>45670.444492423703</v>
      </c>
      <c r="M327" s="4" t="str">
        <f>IF(Panchanga!$R327&gt;15,"K","S")&amp;ROUNDUP(MOD(Panchanga!$R327,15),0)&amp;" ("&amp;ROUND(Panchanga!$R327,2)&amp;")"</f>
        <v>S15 (14.07)</v>
      </c>
      <c r="N327" s="4">
        <f>IF(AND(Panchanga!$R327&lt;28.5,Panchanga!$R327&gt;0.49999),MOD((Panchanga!$R327-0.5)*2,7),MOD((Panchanga!$R327+30-28.5),30)*2+7)</f>
        <v>6.1375999999999991</v>
      </c>
      <c r="O327" s="4" t="str">
        <f>CHOOSE(ROUNDUP(Panchanga!$N327,0),"Bhava","Baalava","Kaulava","Taitula","Garija","Vanija","Vishti","Shakuni","Chatushapda","Naaga","Kimstugna")</f>
        <v>Vishti</v>
      </c>
      <c r="P327" s="11" t="str">
        <f>CHOOSE(ROUNDUP(Panchanga!$S327,0),"viṣkambha","prīti","āyuṣmāna","saubhāgya","śobhana","atigaṇḍa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("&amp;Panchanga!$S327&amp;")"</f>
        <v>mahendra (26)</v>
      </c>
      <c r="Q327" s="4">
        <f>IF(AND(Panchanga!$R327&lt;28.5,Panchanga!$R327&gt;0.49999),MOD((Panchanga!$R327-0.5)*2,7),MOD((Panchanga!$R327+30-28.5),30)*2+7)</f>
        <v>6.1375999999999991</v>
      </c>
      <c r="R327" s="4">
        <f>ROUNDUP(MOD(360+P[[#This Row],[Moon]]-P[[#This Row],[Sun]],360)/12,4)</f>
        <v>14.0688</v>
      </c>
      <c r="S327" s="4">
        <f>ROUNDUP(MOD(P[[#This Row],[Sun]]+P[[#This Row],[Moon]],360)/13.333333333,2)</f>
        <v>26</v>
      </c>
      <c r="T327" s="4" t="str">
        <f>SIGN(W328-Panchanga!$W327)*INT(Panchanga!$W327/30+1)&amp;"Ma,"&amp;SIGN(X328-Panchanga!$X327)*INT(Panchanga!$X327/30+1)&amp;"Me,"&amp;SIGN(Y328-Panchanga!$Y327)*INT(Panchanga!$Y327/30+1)&amp;"J, "&amp;SIGN(Z328-Panchanga!$Z327)*INT(Panchanga!$Z327/30+1)&amp;"V,"&amp;SIGN(AA328-Panchanga!$AA327)*INT(Panchanga!$AA327/30+1)&amp;"S,"&amp;INT(Panchanga!$AB327/30+1)&amp;"R"</f>
        <v>-4Ma,9Me,-2J, 11V,11S,12R</v>
      </c>
      <c r="U327" s="4">
        <f t="shared" si="46"/>
        <v>268.883691453322</v>
      </c>
      <c r="V327" s="4">
        <f t="shared" si="47"/>
        <v>77.709219825966429</v>
      </c>
      <c r="W327" s="4">
        <f>Planet(Panchanga!$G327,4)</f>
        <v>93.2283419870448</v>
      </c>
      <c r="X327" s="4">
        <f>Planet(Panchanga!$G327,2)</f>
        <v>252.47172276615365</v>
      </c>
      <c r="Y327" s="4">
        <f>Planet(Panchanga!$G327,5)</f>
        <v>47.914358232547926</v>
      </c>
      <c r="Z327" s="4">
        <f>Planet(Panchanga!$G327,3)</f>
        <v>316.0233667851337</v>
      </c>
      <c r="AA327" s="4">
        <f>Planet(Panchanga!$G327,6)</f>
        <v>321.32015742754595</v>
      </c>
      <c r="AB327" s="4">
        <f>Planet(Panchanga!$G327,10)</f>
        <v>336.65260942822709</v>
      </c>
      <c r="AC327" s="4" t="str">
        <f>TEXT(Panchanga!$C327+($C328-Panchanga!$C327)/ABS(IF($R328&lt;1,$R328+30,$R328)-Panchanga!$R327)*(ROUNDUP(Panchanga!$R327,0)-Panchanga!$R327),"hh:mm AM/PM")</f>
        <v>03:58 AM</v>
      </c>
      <c r="AD327" s="4"/>
    </row>
    <row r="328" spans="1:30" x14ac:dyDescent="0.2">
      <c r="A328" s="3">
        <f t="shared" si="43"/>
        <v>45671</v>
      </c>
      <c r="B328" s="3">
        <f t="shared" si="44"/>
        <v>45671.229166666664</v>
      </c>
      <c r="C328" s="6">
        <f t="shared" si="45"/>
        <v>45671.275873968996</v>
      </c>
      <c r="D328" s="6">
        <f>sunset(Lat,Long,B328)+TimeZone/24-0.000277777777777778</f>
        <v>45670.749742320317</v>
      </c>
      <c r="E328" s="6">
        <f>PlanetRiseSet(Lat,Long,B328,1,1)+TimeZone/24+0.00103009259259259</f>
        <v>45670.730228020497</v>
      </c>
      <c r="F328" s="6">
        <f>PlanetRiseSet(Lat,Long,B328+1,1,2)+TimeZone/24+0.00103009259259259</f>
        <v>45672.322523455754</v>
      </c>
      <c r="G328" s="17">
        <f>Panchanga!$C328-TimeZone/24</f>
        <v>45671.046707302332</v>
      </c>
      <c r="H328" s="13" t="str">
        <f>INT(P[[#This Row],[Sun]]/30)&amp;"s"&amp;ROUNDUP(MOD(P[[#This Row],[Sun]],30),2)</f>
        <v>8s29.91</v>
      </c>
      <c r="I328" s="13" t="str">
        <f>INT(P[[#This Row],[Moon]]/30)&amp;"s"&amp;ROUNDUP(MOD(P[[#This Row],[Moon]],30),2)</f>
        <v>3s1.29</v>
      </c>
      <c r="J328" s="14">
        <f t="shared" si="42"/>
        <v>45671.046707302332</v>
      </c>
      <c r="K328" s="10" t="str">
        <f>naks(P[[#This Row],[Moon]])</f>
        <v>Punarvasu</v>
      </c>
      <c r="L328" s="15">
        <f>(C329-P[[#This Row],[SunRise]])/(MOD(360+V329-P[[#This Row],[Moon]],360))*(13.3333333333333-MOD(P[[#This Row],[Moon]],13.333333333333))+P[[#This Row],[SunRise]]</f>
        <v>45671.429996597188</v>
      </c>
      <c r="M328" s="4" t="str">
        <f>IF(Panchanga!$R328&gt;15,"K","S")&amp;ROUNDUP(MOD(Panchanga!$R328,15),0)&amp;" ("&amp;ROUND(Panchanga!$R328,2)&amp;")"</f>
        <v>K1 (15.12)</v>
      </c>
      <c r="N328" s="4">
        <f>IF(AND(Panchanga!$R328&lt;28.5,Panchanga!$R328&gt;0.49999),MOD((Panchanga!$R328-0.5)*2,7),MOD((Panchanga!$R328+30-28.5),30)*2+7)</f>
        <v>1.2307999999999986</v>
      </c>
      <c r="O328" s="4" t="str">
        <f>CHOOSE(ROUNDUP(Panchanga!$N328,0),"Bhava","Baalava","Kaulava","Taitula","Garija","Vanija","Vishti","Shakuni","Chatushapda","Naaga","Kimstugna")</f>
        <v>Baalava</v>
      </c>
      <c r="P328" s="11" t="str">
        <f>CHOOSE(ROUNDUP(Panchanga!$S328,0),"viṣkambha","prīti","āyuṣmāna","saubhāgya","śobhana","atigaṇḍa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("&amp;Panchanga!$S328&amp;")"</f>
        <v>viṣkambha (0.09)</v>
      </c>
      <c r="Q328" s="4">
        <f>IF(AND(Panchanga!$R328&lt;28.5,Panchanga!$R328&gt;0.49999),MOD((Panchanga!$R328-0.5)*2,7),MOD((Panchanga!$R328+30-28.5),30)*2+7)</f>
        <v>1.2307999999999986</v>
      </c>
      <c r="R328" s="4">
        <f>ROUNDUP(MOD(360+P[[#This Row],[Moon]]-P[[#This Row],[Sun]],360)/12,4)</f>
        <v>15.115399999999999</v>
      </c>
      <c r="S328" s="4">
        <f>ROUNDUP(MOD(P[[#This Row],[Sun]]+P[[#This Row],[Moon]],360)/13.333333333,2)</f>
        <v>0.09</v>
      </c>
      <c r="T328" s="4" t="str">
        <f>SIGN(W329-Panchanga!$W328)*INT(Panchanga!$W328/30+1)&amp;"Ma,"&amp;SIGN(X329-Panchanga!$X328)*INT(Panchanga!$X328/30+1)&amp;"Me,"&amp;SIGN(Y329-Panchanga!$Y328)*INT(Panchanga!$Y328/30+1)&amp;"J, "&amp;SIGN(Z329-Panchanga!$Z328)*INT(Panchanga!$Z328/30+1)&amp;"V,"&amp;SIGN(AA329-Panchanga!$AA328)*INT(Panchanga!$AA328/30+1)&amp;"S,"&amp;INT(Panchanga!$AB328/30+1)&amp;"R"</f>
        <v>-4Ma,9Me,-2J, 11V,11S,12R</v>
      </c>
      <c r="U328" s="4">
        <f t="shared" si="46"/>
        <v>269.90210672855272</v>
      </c>
      <c r="V328" s="4">
        <f t="shared" si="47"/>
        <v>91.286512299209377</v>
      </c>
      <c r="W328" s="4">
        <f>Planet(Panchanga!$G328,4)</f>
        <v>92.828709424799683</v>
      </c>
      <c r="X328" s="4">
        <f>Planet(Panchanga!$G328,2)</f>
        <v>253.95108091146085</v>
      </c>
      <c r="Y328" s="4">
        <f>Planet(Panchanga!$G328,5)</f>
        <v>47.841993808317213</v>
      </c>
      <c r="Z328" s="4">
        <f>Planet(Panchanga!$G328,3)</f>
        <v>317.01870168062584</v>
      </c>
      <c r="AA328" s="4">
        <f>Planet(Panchanga!$G328,6)</f>
        <v>321.41114420275062</v>
      </c>
      <c r="AB328" s="4">
        <f>Planet(Panchanga!$G328,10)</f>
        <v>336.59961087720433</v>
      </c>
      <c r="AC328" s="4" t="str">
        <f>TEXT(Panchanga!$C328+($C329-Panchanga!$C328)/ABS(IF($R329&lt;1,$R329+30,$R329)-Panchanga!$R328)*(ROUNDUP(Panchanga!$R328,0)-Panchanga!$R328),"hh:mm AM/PM")</f>
        <v>03:23 AM</v>
      </c>
      <c r="AD328" s="4"/>
    </row>
    <row r="329" spans="1:30" x14ac:dyDescent="0.2">
      <c r="A329" s="3">
        <f t="shared" si="43"/>
        <v>45672</v>
      </c>
      <c r="B329" s="3">
        <f t="shared" si="44"/>
        <v>45672.229166666664</v>
      </c>
      <c r="C329" s="6">
        <f t="shared" si="45"/>
        <v>45672.275985486958</v>
      </c>
      <c r="D329" s="6">
        <f>sunset(Lat,Long,B329)+TimeZone/24-0.000277777777777778</f>
        <v>45671.750127412888</v>
      </c>
      <c r="E329" s="6">
        <f>PlanetRiseSet(Lat,Long,B329,1,1)+TimeZone/24+0.00103009259259259</f>
        <v>45671.771797619447</v>
      </c>
      <c r="F329" s="6">
        <f>PlanetRiseSet(Lat,Long,B329+1,1,2)+TimeZone/24+0.00103009259259259</f>
        <v>45673.352665068269</v>
      </c>
      <c r="G329" s="17">
        <f>Panchanga!$C329-TimeZone/24</f>
        <v>45672.046818820294</v>
      </c>
      <c r="H329" s="13" t="str">
        <f>INT(P[[#This Row],[Sun]]/30)&amp;"s"&amp;ROUNDUP(MOD(P[[#This Row],[Sun]],30),2)</f>
        <v>9s0.93</v>
      </c>
      <c r="I329" s="13" t="str">
        <f>INT(P[[#This Row],[Moon]]/30)&amp;"s"&amp;ROUNDUP(MOD(P[[#This Row],[Moon]],30),2)</f>
        <v>3s14.57</v>
      </c>
      <c r="J329" s="14">
        <f t="shared" si="42"/>
        <v>45672.046818820294</v>
      </c>
      <c r="K329" s="10" t="str">
        <f>naks(P[[#This Row],[Moon]])</f>
        <v>Pushya</v>
      </c>
      <c r="L329" s="15">
        <f>(C330-P[[#This Row],[SunRise]])/(MOD(360+V330-P[[#This Row],[Moon]],360))*(13.3333333333333-MOD(P[[#This Row],[Moon]],13.333333333333))+P[[#This Row],[SunRise]]</f>
        <v>45672.437924115766</v>
      </c>
      <c r="M329" s="4" t="str">
        <f>IF(Panchanga!$R329&gt;15,"K","S")&amp;ROUNDUP(MOD(Panchanga!$R329,15),0)&amp;" ("&amp;ROUND(Panchanga!$R329,2)&amp;")"</f>
        <v>K2 (16.14)</v>
      </c>
      <c r="N329" s="4">
        <f>IF(AND(Panchanga!$R329&lt;28.5,Panchanga!$R329&gt;0.49999),MOD((Panchanga!$R329-0.5)*2,7),MOD((Panchanga!$R329+30-28.5),30)*2+7)</f>
        <v>3.274799999999999</v>
      </c>
      <c r="O329" s="4" t="str">
        <f>CHOOSE(ROUNDUP(Panchanga!$N329,0),"Bhava","Baalava","Kaulava","Taitula","Garija","Vanija","Vishti","Shakuni","Chatushapda","Naaga","Kimstugna")</f>
        <v>Taitula</v>
      </c>
      <c r="P329" s="11" t="str">
        <f>CHOOSE(ROUNDUP(Panchanga!$S329,0),"viṣkambha","prīti","āyuṣmāna","saubhāgya","śobhana","atigaṇḍa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("&amp;Panchanga!$S329&amp;")"</f>
        <v>prīti (1.17)</v>
      </c>
      <c r="Q329" s="4">
        <f>IF(AND(Panchanga!$R329&lt;28.5,Panchanga!$R329&gt;0.49999),MOD((Panchanga!$R329-0.5)*2,7),MOD((Panchanga!$R329+30-28.5),30)*2+7)</f>
        <v>3.274799999999999</v>
      </c>
      <c r="R329" s="4">
        <f>ROUNDUP(MOD(360+P[[#This Row],[Moon]]-P[[#This Row],[Sun]],360)/12,4)</f>
        <v>16.1374</v>
      </c>
      <c r="S329" s="4">
        <f>ROUNDUP(MOD(P[[#This Row],[Sun]]+P[[#This Row],[Moon]],360)/13.333333333,2)</f>
        <v>1.17</v>
      </c>
      <c r="T329" s="4" t="str">
        <f>SIGN(W330-Panchanga!$W329)*INT(Panchanga!$W329/30+1)&amp;"Ma,"&amp;SIGN(X330-Panchanga!$X329)*INT(Panchanga!$X329/30+1)&amp;"Me,"&amp;SIGN(Y330-Panchanga!$Y329)*INT(Panchanga!$Y329/30+1)&amp;"J, "&amp;SIGN(Z330-Panchanga!$Z329)*INT(Panchanga!$Z329/30+1)&amp;"V,"&amp;SIGN(AA330-Panchanga!$AA329)*INT(Panchanga!$AA329/30+1)&amp;"S,"&amp;INT(Panchanga!$AB329/30+1)&amp;"R"</f>
        <v>-4Ma,9Me,-2J, 11V,11S,12R</v>
      </c>
      <c r="U329" s="4">
        <f t="shared" si="46"/>
        <v>270.9203994978663</v>
      </c>
      <c r="V329" s="4">
        <f t="shared" si="47"/>
        <v>104.56846392098807</v>
      </c>
      <c r="W329" s="4">
        <f>Planet(Panchanga!$G329,4)</f>
        <v>92.428392159729313</v>
      </c>
      <c r="X329" s="4">
        <f>Planet(Panchanga!$G329,2)</f>
        <v>255.44035297913922</v>
      </c>
      <c r="Y329" s="4">
        <f>Planet(Panchanga!$G329,5)</f>
        <v>47.772677892261441</v>
      </c>
      <c r="Z329" s="4">
        <f>Planet(Panchanga!$G329,3)</f>
        <v>318.00613393489954</v>
      </c>
      <c r="AA329" s="4">
        <f>Planet(Panchanga!$G329,6)</f>
        <v>321.50323410243323</v>
      </c>
      <c r="AB329" s="4">
        <f>Planet(Panchanga!$G329,10)</f>
        <v>336.54661298099944</v>
      </c>
      <c r="AC329" s="4" t="str">
        <f>TEXT(Panchanga!$C329+($C330-Panchanga!$C329)/ABS(IF($R330&lt;1,$R330+30,$R330)-Panchanga!$R329)*(ROUNDUP(Panchanga!$R329,0)-Panchanga!$R329),"hh:mm AM/PM")</f>
        <v>03:25 AM</v>
      </c>
      <c r="AD329" s="4"/>
    </row>
    <row r="330" spans="1:30" x14ac:dyDescent="0.2">
      <c r="A330" s="3">
        <f t="shared" si="43"/>
        <v>45673</v>
      </c>
      <c r="B330" s="3">
        <f t="shared" si="44"/>
        <v>45673.229166666664</v>
      </c>
      <c r="C330" s="6">
        <f t="shared" si="45"/>
        <v>45673.276084572695</v>
      </c>
      <c r="D330" s="6">
        <f>sunset(Lat,Long,B330)+TimeZone/24-0.000277777777777778</f>
        <v>45672.750509649559</v>
      </c>
      <c r="E330" s="6">
        <f>PlanetRiseSet(Lat,Long,B330,1,1)+TimeZone/24+0.00103009259259259</f>
        <v>45672.810878305849</v>
      </c>
      <c r="F330" s="6">
        <f>PlanetRiseSet(Lat,Long,B330+1,1,2)+TimeZone/24+0.00103009259259259</f>
        <v>45674.379685551081</v>
      </c>
      <c r="G330" s="17">
        <f>Panchanga!$C330-TimeZone/24</f>
        <v>45673.046917906031</v>
      </c>
      <c r="H330" s="13" t="str">
        <f>INT(P[[#This Row],[Sun]]/30)&amp;"s"&amp;ROUNDUP(MOD(P[[#This Row],[Sun]],30),2)</f>
        <v>9s1.94</v>
      </c>
      <c r="I330" s="13" t="str">
        <f>INT(P[[#This Row],[Moon]]/30)&amp;"s"&amp;ROUNDUP(MOD(P[[#This Row],[Moon]],30),2)</f>
        <v>3s27.53</v>
      </c>
      <c r="J330" s="14">
        <f t="shared" ref="J330:J393" si="48">G330</f>
        <v>45673.046917906031</v>
      </c>
      <c r="K330" s="10" t="str">
        <f>naks(P[[#This Row],[Moon]])</f>
        <v>Aslesha</v>
      </c>
      <c r="L330" s="15">
        <f>(C331-P[[#This Row],[SunRise]])/(MOD(360+V331-P[[#This Row],[Moon]],360))*(13.3333333333333-MOD(P[[#This Row],[Moon]],13.333333333333))+P[[#This Row],[SunRise]]</f>
        <v>45673.471887800813</v>
      </c>
      <c r="M330" s="4" t="str">
        <f>IF(Panchanga!$R330&gt;15,"K","S")&amp;ROUNDUP(MOD(Panchanga!$R330,15),0)&amp;" ("&amp;ROUND(Panchanga!$R330,2)&amp;")"</f>
        <v>K3 (17.13)</v>
      </c>
      <c r="N330" s="4">
        <f>IF(AND(Panchanga!$R330&lt;28.5,Panchanga!$R330&gt;0.49999),MOD((Panchanga!$R330-0.5)*2,7),MOD((Panchanga!$R330+30-28.5),30)*2+7)</f>
        <v>5.264800000000001</v>
      </c>
      <c r="O330" s="4" t="str">
        <f>CHOOSE(ROUNDUP(Panchanga!$N330,0),"Bhava","Baalava","Kaulava","Taitula","Garija","Vanija","Vishti","Shakuni","Chatushapda","Naaga","Kimstugna")</f>
        <v>Vanija</v>
      </c>
      <c r="P330" s="11" t="str">
        <f>CHOOSE(ROUNDUP(Panchanga!$S330,0),"viṣkambha","prīti","āyuṣmāna","saubhāgya","śobhana","atigaṇḍa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("&amp;Panchanga!$S330&amp;")"</f>
        <v>āyuṣmāna (2.21)</v>
      </c>
      <c r="Q330" s="4">
        <f>IF(AND(Panchanga!$R330&lt;28.5,Panchanga!$R330&gt;0.49999),MOD((Panchanga!$R330-0.5)*2,7),MOD((Panchanga!$R330+30-28.5),30)*2+7)</f>
        <v>5.264800000000001</v>
      </c>
      <c r="R330" s="4">
        <f>ROUNDUP(MOD(360+P[[#This Row],[Moon]]-P[[#This Row],[Sun]],360)/12,4)</f>
        <v>17.132400000000001</v>
      </c>
      <c r="S330" s="4">
        <f>ROUNDUP(MOD(P[[#This Row],[Sun]]+P[[#This Row],[Moon]],360)/13.333333333,2)</f>
        <v>2.21</v>
      </c>
      <c r="T330" s="4" t="str">
        <f>SIGN(W331-Panchanga!$W330)*INT(Panchanga!$W330/30+1)&amp;"Ma,"&amp;SIGN(X331-Panchanga!$X330)*INT(Panchanga!$X330/30+1)&amp;"Me,"&amp;SIGN(Y331-Panchanga!$Y330)*INT(Panchanga!$Y330/30+1)&amp;"J, "&amp;SIGN(Z331-Panchanga!$Z330)*INT(Panchanga!$Z330/30+1)&amp;"V,"&amp;SIGN(AA331-Panchanga!$AA330)*INT(Panchanga!$AA330/30+1)&amp;"S,"&amp;INT(Panchanga!$AB330/30+1)&amp;"R"</f>
        <v>-4Ma,9Me,-2J, 11V,11S,12R</v>
      </c>
      <c r="U330" s="4">
        <f t="shared" si="46"/>
        <v>271.93857665991328</v>
      </c>
      <c r="V330" s="4">
        <f t="shared" si="47"/>
        <v>117.52652502768913</v>
      </c>
      <c r="W330" s="4">
        <f>Planet(Panchanga!$G330,4)</f>
        <v>92.028161001611181</v>
      </c>
      <c r="X330" s="4">
        <f>Planet(Panchanga!$G330,2)</f>
        <v>256.93931669945255</v>
      </c>
      <c r="Y330" s="4">
        <f>Planet(Panchanga!$G330,5)</f>
        <v>47.706446771596241</v>
      </c>
      <c r="Z330" s="4">
        <f>Planet(Panchanga!$G330,3)</f>
        <v>318.98539741803478</v>
      </c>
      <c r="AA330" s="4">
        <f>Planet(Panchanga!$G330,6)</f>
        <v>321.59641005154629</v>
      </c>
      <c r="AB330" s="4">
        <f>Planet(Panchanga!$G330,10)</f>
        <v>336.4936157435726</v>
      </c>
      <c r="AC330" s="4" t="str">
        <f>TEXT(Panchanga!$C330+($C331-Panchanga!$C330)/ABS(IF($R331&lt;1,$R331+30,$R331)-Panchanga!$R330)*(ROUNDUP(Panchanga!$R330,0)-Panchanga!$R330),"hh:mm AM/PM")</f>
        <v>04:08 AM</v>
      </c>
      <c r="AD330" s="4"/>
    </row>
    <row r="331" spans="1:30" x14ac:dyDescent="0.2">
      <c r="A331" s="3">
        <f t="shared" ref="A331:A394" si="49">A330+1</f>
        <v>45674</v>
      </c>
      <c r="B331" s="3">
        <f t="shared" si="44"/>
        <v>45674.229166666664</v>
      </c>
      <c r="C331" s="6">
        <f t="shared" si="45"/>
        <v>45674.276171157289</v>
      </c>
      <c r="D331" s="6">
        <f>sunset(Lat,Long,B331)+TimeZone/24-0.000277777777777778</f>
        <v>45673.750888776078</v>
      </c>
      <c r="E331" s="6">
        <f>PlanetRiseSet(Lat,Long,B331,1,1)+TimeZone/24+0.00103009259259259</f>
        <v>45673.847200749595</v>
      </c>
      <c r="F331" s="6">
        <f>PlanetRiseSet(Lat,Long,B331+1,1,2)+TimeZone/24+0.00103009259259259</f>
        <v>45675.404529323023</v>
      </c>
      <c r="G331" s="17">
        <f>Panchanga!$C331-TimeZone/24</f>
        <v>45674.047004490625</v>
      </c>
      <c r="H331" s="13" t="str">
        <f>INT(P[[#This Row],[Sun]]/30)&amp;"s"&amp;ROUNDUP(MOD(P[[#This Row],[Sun]],30),2)</f>
        <v>9s2.96</v>
      </c>
      <c r="I331" s="13" t="str">
        <f>INT(P[[#This Row],[Moon]]/30)&amp;"s"&amp;ROUNDUP(MOD(P[[#This Row],[Moon]],30),2)</f>
        <v>4s10.17</v>
      </c>
      <c r="J331" s="14">
        <f t="shared" si="48"/>
        <v>45674.047004490625</v>
      </c>
      <c r="K331" s="10" t="str">
        <f>naks(P[[#This Row],[Moon]])</f>
        <v>Makha</v>
      </c>
      <c r="L331" s="15">
        <f>(C332-P[[#This Row],[SunRise]])/(MOD(360+V332-P[[#This Row],[Moon]],360))*(13.3333333333333-MOD(P[[#This Row],[Moon]],13.333333333333))+P[[#This Row],[SunRise]]</f>
        <v>45674.533425339388</v>
      </c>
      <c r="M331" s="4" t="str">
        <f>IF(Panchanga!$R331&gt;15,"K","S")&amp;ROUNDUP(MOD(Panchanga!$R331,15),0)&amp;" ("&amp;ROUND(Panchanga!$R331,2)&amp;")"</f>
        <v>K4 (18.1)</v>
      </c>
      <c r="N331" s="4">
        <f>IF(AND(Panchanga!$R331&lt;28.5,Panchanga!$R331&gt;0.49999),MOD((Panchanga!$R331-0.5)*2,7),MOD((Panchanga!$R331+30-28.5),30)*2+7)</f>
        <v>0.20060000000000144</v>
      </c>
      <c r="O331" s="4" t="str">
        <f>CHOOSE(ROUNDUP(Panchanga!$N331,0),"Bhava","Baalava","Kaulava","Taitula","Garija","Vanija","Vishti","Shakuni","Chatushapda","Naaga","Kimstugna")</f>
        <v>Bhava</v>
      </c>
      <c r="P331" s="11" t="str">
        <f>CHOOSE(ROUNDUP(Panchanga!$S331,0),"viṣkambha","prīti","āyuṣmāna","saubhāgya","śobhana","atigaṇḍa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("&amp;Panchanga!$S331&amp;")"</f>
        <v>saubhāgya (3.24)</v>
      </c>
      <c r="Q331" s="4">
        <f>IF(AND(Panchanga!$R331&lt;28.5,Panchanga!$R331&gt;0.49999),MOD((Panchanga!$R331-0.5)*2,7),MOD((Panchanga!$R331+30-28.5),30)*2+7)</f>
        <v>0.20060000000000144</v>
      </c>
      <c r="R331" s="4">
        <f>ROUNDUP(MOD(360+P[[#This Row],[Moon]]-P[[#This Row],[Sun]],360)/12,4)</f>
        <v>18.100300000000001</v>
      </c>
      <c r="S331" s="4">
        <f>ROUNDUP(MOD(P[[#This Row],[Sun]]+P[[#This Row],[Moon]],360)/13.333333333,2)</f>
        <v>3.2399999999999998</v>
      </c>
      <c r="T331" s="4" t="str">
        <f>SIGN(W332-Panchanga!$W331)*INT(Panchanga!$W331/30+1)&amp;"Ma,"&amp;SIGN(X332-Panchanga!$X331)*INT(Panchanga!$X331/30+1)&amp;"Me,"&amp;SIGN(Y332-Panchanga!$Y331)*INT(Panchanga!$Y331/30+1)&amp;"J, "&amp;SIGN(Z332-Panchanga!$Z331)*INT(Panchanga!$Z331/30+1)&amp;"V,"&amp;SIGN(AA332-Panchanga!$AA331)*INT(Panchanga!$AA331/30+1)&amp;"S,"&amp;INT(Panchanga!$AB331/30+1)&amp;"R"</f>
        <v>-4Ma,9Me,-2J, 11V,11S,12R</v>
      </c>
      <c r="U331" s="4">
        <f t="shared" si="46"/>
        <v>272.95664311907484</v>
      </c>
      <c r="V331" s="4">
        <f t="shared" si="47"/>
        <v>130.16007127137988</v>
      </c>
      <c r="W331" s="4">
        <f>Planet(Panchanga!$G331,4)</f>
        <v>91.62878878856047</v>
      </c>
      <c r="X331" s="4">
        <f>Planet(Panchanga!$G331,2)</f>
        <v>258.44781695042496</v>
      </c>
      <c r="Y331" s="4">
        <f>Planet(Panchanga!$G331,5)</f>
        <v>47.64333539734686</v>
      </c>
      <c r="Z331" s="4">
        <f>Planet(Panchanga!$G331,3)</f>
        <v>319.9562167663608</v>
      </c>
      <c r="AA331" s="4">
        <f>Planet(Panchanga!$G331,6)</f>
        <v>321.69065506493956</v>
      </c>
      <c r="AB331" s="4">
        <f>Planet(Panchanga!$G331,10)</f>
        <v>336.44061916858556</v>
      </c>
      <c r="AC331" s="4" t="str">
        <f>TEXT(Panchanga!$C331+($C332-Panchanga!$C331)/ABS(IF($R332&lt;1,$R332+30,$R332)-Panchanga!$R331)*(ROUNDUP(Panchanga!$R331,0)-Panchanga!$R331),"hh:mm AM/PM")</f>
        <v>05:31 AM</v>
      </c>
      <c r="AD331" s="4"/>
    </row>
    <row r="332" spans="1:30" x14ac:dyDescent="0.2">
      <c r="A332" s="3">
        <f t="shared" si="49"/>
        <v>45675</v>
      </c>
      <c r="B332" s="3">
        <f t="shared" si="44"/>
        <v>45675.229166666664</v>
      </c>
      <c r="C332" s="6">
        <f t="shared" si="45"/>
        <v>45675.276245179739</v>
      </c>
      <c r="D332" s="6">
        <f>sunset(Lat,Long,B332)+TimeZone/24-0.000277777777777778</f>
        <v>45674.751264543316</v>
      </c>
      <c r="E332" s="6">
        <f>PlanetRiseSet(Lat,Long,B332,1,1)+TimeZone/24+0.00103009259259259</f>
        <v>45674.88113766598</v>
      </c>
      <c r="F332" s="6">
        <f>PlanetRiseSet(Lat,Long,B332+1,1,2)+TimeZone/24+0.00103009259259259</f>
        <v>45676.428132007517</v>
      </c>
      <c r="G332" s="17">
        <f>Panchanga!$C332-TimeZone/24</f>
        <v>45675.047078513075</v>
      </c>
      <c r="H332" s="13" t="str">
        <f>INT(P[[#This Row],[Sun]]/30)&amp;"s"&amp;ROUNDUP(MOD(P[[#This Row],[Sun]],30),2)</f>
        <v>9s3.98</v>
      </c>
      <c r="I332" s="13" t="str">
        <f>INT(P[[#This Row],[Moon]]/30)&amp;"s"&amp;ROUNDUP(MOD(P[[#This Row],[Moon]],30),2)</f>
        <v>4s22.5</v>
      </c>
      <c r="J332" s="14">
        <f t="shared" si="48"/>
        <v>45675.047078513075</v>
      </c>
      <c r="K332" s="10" t="str">
        <f>naks(P[[#This Row],[Moon]])</f>
        <v>Purva Phalguni</v>
      </c>
      <c r="L332" s="15">
        <f>(C333-P[[#This Row],[SunRise]])/(MOD(360+V333-P[[#This Row],[Moon]],360))*(13.3333333333333-MOD(P[[#This Row],[Moon]],13.333333333333))+P[[#This Row],[SunRise]]</f>
        <v>45675.621239403052</v>
      </c>
      <c r="M332" s="4" t="str">
        <f>IF(Panchanga!$R332&gt;15,"K","S")&amp;ROUNDUP(MOD(Panchanga!$R332,15),0)&amp;" ("&amp;ROUND(Panchanga!$R332,2)&amp;")"</f>
        <v>K5 (19.04)</v>
      </c>
      <c r="N332" s="4">
        <f>IF(AND(Panchanga!$R332&lt;28.5,Panchanga!$R332&gt;0.49999),MOD((Panchanga!$R332-0.5)*2,7),MOD((Panchanga!$R332+30-28.5),30)*2+7)</f>
        <v>2.0869999999999962</v>
      </c>
      <c r="O332" s="4" t="str">
        <f>CHOOSE(ROUNDUP(Panchanga!$N332,0),"Bhava","Baalava","Kaulava","Taitula","Garija","Vanija","Vishti","Shakuni","Chatushapda","Naaga","Kimstugna")</f>
        <v>Kaulava</v>
      </c>
      <c r="P332" s="11" t="str">
        <f>CHOOSE(ROUNDUP(Panchanga!$S332,0),"viṣkambha","prīti","āyuṣmāna","saubhāgya","śobhana","atigaṇḍa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("&amp;Panchanga!$S332&amp;")"</f>
        <v>śobhana (4.24)</v>
      </c>
      <c r="Q332" s="4">
        <f>IF(AND(Panchanga!$R332&lt;28.5,Panchanga!$R332&gt;0.49999),MOD((Panchanga!$R332-0.5)*2,7),MOD((Panchanga!$R332+30-28.5),30)*2+7)</f>
        <v>2.0869999999999962</v>
      </c>
      <c r="R332" s="4">
        <f>ROUNDUP(MOD(360+P[[#This Row],[Moon]]-P[[#This Row],[Sun]],360)/12,4)</f>
        <v>19.043499999999998</v>
      </c>
      <c r="S332" s="4">
        <f>ROUNDUP(MOD(P[[#This Row],[Sun]]+P[[#This Row],[Moon]],360)/13.333333333,2)</f>
        <v>4.24</v>
      </c>
      <c r="T332" s="4" t="str">
        <f>SIGN(W333-Panchanga!$W332)*INT(Panchanga!$W332/30+1)&amp;"Ma,"&amp;SIGN(X333-Panchanga!$X332)*INT(Panchanga!$X332/30+1)&amp;"Me,"&amp;SIGN(Y333-Panchanga!$Y332)*INT(Panchanga!$Y332/30+1)&amp;"J, "&amp;SIGN(Z333-Panchanga!$Z332)*INT(Panchanga!$Z332/30+1)&amp;"V,"&amp;SIGN(AA333-Panchanga!$AA332)*INT(Panchanga!$AA332/30+1)&amp;"S,"&amp;INT(Panchanga!$AB332/30+1)&amp;"R"</f>
        <v>-4Ma,9Me,-2J, 11V,11S,12R</v>
      </c>
      <c r="U332" s="4">
        <f t="shared" si="46"/>
        <v>273.97460127831363</v>
      </c>
      <c r="V332" s="4">
        <f t="shared" si="47"/>
        <v>142.49610767184231</v>
      </c>
      <c r="W332" s="4">
        <f>Planet(Panchanga!$G332,4)</f>
        <v>91.231048463882885</v>
      </c>
      <c r="X332" s="4">
        <f>Planet(Panchanga!$G332,2)</f>
        <v>259.96575783353046</v>
      </c>
      <c r="Y332" s="4">
        <f>Planet(Panchanga!$G332,5)</f>
        <v>47.583377349686238</v>
      </c>
      <c r="Z332" s="4">
        <f>Planet(Panchanga!$G332,3)</f>
        <v>320.91830537876558</v>
      </c>
      <c r="AA332" s="4">
        <f>Planet(Panchanga!$G332,6)</f>
        <v>321.78595212372915</v>
      </c>
      <c r="AB332" s="4">
        <f>Planet(Panchanga!$G332,10)</f>
        <v>336.38762325931862</v>
      </c>
      <c r="AC332" s="4" t="str">
        <f>TEXT(Panchanga!$C332+($C333-Panchanga!$C332)/ABS(IF($R333&lt;1,$R333+30,$R333)-Panchanga!$R332)*(ROUNDUP(Panchanga!$R332,0)-Panchanga!$R332),"hh:mm AM/PM")</f>
        <v>07:30 AM</v>
      </c>
      <c r="AD332" s="4"/>
    </row>
    <row r="333" spans="1:30" x14ac:dyDescent="0.2">
      <c r="A333" s="3">
        <f t="shared" si="49"/>
        <v>45676</v>
      </c>
      <c r="B333" s="3">
        <f t="shared" si="44"/>
        <v>45676.229166666664</v>
      </c>
      <c r="C333" s="6">
        <f t="shared" si="45"/>
        <v>45676.276306586493</v>
      </c>
      <c r="D333" s="6">
        <f>sunset(Lat,Long,B333)+TimeZone/24-0.000277777777777778</f>
        <v>45675.751636705405</v>
      </c>
      <c r="E333" s="6">
        <f>PlanetRiseSet(Lat,Long,B333,1,1)+TimeZone/24+0.00103009259259259</f>
        <v>45675.913385130618</v>
      </c>
      <c r="F333" s="6">
        <f>PlanetRiseSet(Lat,Long,B333+1,1,2)+TimeZone/24+0.00103009259259259</f>
        <v>45677.451381706785</v>
      </c>
      <c r="G333" s="17">
        <f>Panchanga!$C333-TimeZone/24</f>
        <v>45676.047139919829</v>
      </c>
      <c r="H333" s="13" t="str">
        <f>INT(P[[#This Row],[Sun]]/30)&amp;"s"&amp;ROUNDUP(MOD(P[[#This Row],[Sun]],30),2)</f>
        <v>9s5</v>
      </c>
      <c r="I333" s="13" t="str">
        <f>INT(P[[#This Row],[Moon]]/30)&amp;"s"&amp;ROUNDUP(MOD(P[[#This Row],[Moon]],30),2)</f>
        <v>5s4.59</v>
      </c>
      <c r="J333" s="14">
        <f t="shared" si="48"/>
        <v>45676.047139919829</v>
      </c>
      <c r="K333" s="10" t="str">
        <f>naks(P[[#This Row],[Moon]])</f>
        <v>Uttara Phalguni</v>
      </c>
      <c r="L333" s="15">
        <f>(C334-P[[#This Row],[SunRise]])/(MOD(360+V334-P[[#This Row],[Moon]],360))*(13.3333333333333-MOD(P[[#This Row],[Moon]],13.333333333333))+P[[#This Row],[SunRise]]</f>
        <v>45676.730840047458</v>
      </c>
      <c r="M333" s="4" t="str">
        <f>IF(Panchanga!$R333&gt;15,"K","S")&amp;ROUNDUP(MOD(Panchanga!$R333,15),0)&amp;" ("&amp;ROUND(Panchanga!$R333,2)&amp;")"</f>
        <v>K5 (19.97)</v>
      </c>
      <c r="N333" s="4">
        <f>IF(AND(Panchanga!$R333&lt;28.5,Panchanga!$R333&gt;0.49999),MOD((Panchanga!$R333-0.5)*2,7),MOD((Panchanga!$R333+30-28.5),30)*2+7)</f>
        <v>3.9322000000000017</v>
      </c>
      <c r="O333" s="4" t="str">
        <f>CHOOSE(ROUNDUP(Panchanga!$N333,0),"Bhava","Baalava","Kaulava","Taitula","Garija","Vanija","Vishti","Shakuni","Chatushapda","Naaga","Kimstugna")</f>
        <v>Taitula</v>
      </c>
      <c r="P333" s="11" t="str">
        <f>CHOOSE(ROUNDUP(Panchanga!$S333,0),"viṣkambha","prīti","āyuṣmāna","saubhāgya","śobhana","atigaṇḍa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("&amp;Panchanga!$S333&amp;")"</f>
        <v>atigaṇḍa  (5.22)</v>
      </c>
      <c r="Q333" s="4">
        <f>IF(AND(Panchanga!$R333&lt;28.5,Panchanga!$R333&gt;0.49999),MOD((Panchanga!$R333-0.5)*2,7),MOD((Panchanga!$R333+30-28.5),30)*2+7)</f>
        <v>3.9322000000000017</v>
      </c>
      <c r="R333" s="4">
        <f>ROUNDUP(MOD(360+P[[#This Row],[Moon]]-P[[#This Row],[Sun]],360)/12,4)</f>
        <v>19.966100000000001</v>
      </c>
      <c r="S333" s="4">
        <f>ROUNDUP(MOD(P[[#This Row],[Sun]]+P[[#This Row],[Moon]],360)/13.333333333,2)</f>
        <v>5.22</v>
      </c>
      <c r="T333" s="4" t="str">
        <f>SIGN(W334-Panchanga!$W333)*INT(Panchanga!$W333/30+1)&amp;"Ma,"&amp;SIGN(X334-Panchanga!$X333)*INT(Panchanga!$X333/30+1)&amp;"Me,"&amp;SIGN(Y334-Panchanga!$Y333)*INT(Panchanga!$Y333/30+1)&amp;"J, "&amp;SIGN(Z334-Panchanga!$Z333)*INT(Panchanga!$Z333/30+1)&amp;"V,"&amp;SIGN(AA334-Panchanga!$AA333)*INT(Panchanga!$AA333/30+1)&amp;"S,"&amp;INT(Panchanga!$AB333/30+1)&amp;"R"</f>
        <v>-4Ma,9Me,-2J, 11V,11S,12R</v>
      </c>
      <c r="U333" s="4">
        <f t="shared" si="46"/>
        <v>274.99245091140295</v>
      </c>
      <c r="V333" s="4">
        <f t="shared" si="47"/>
        <v>154.58562921590485</v>
      </c>
      <c r="W333" s="4">
        <f>Planet(Panchanga!$G333,4)</f>
        <v>90.835710353822861</v>
      </c>
      <c r="X333" s="4">
        <f>Planet(Panchanga!$G333,2)</f>
        <v>261.49309591576423</v>
      </c>
      <c r="Y333" s="4">
        <f>Planet(Panchanga!$G333,5)</f>
        <v>47.526604723735829</v>
      </c>
      <c r="Z333" s="4">
        <f>Planet(Panchanga!$G333,3)</f>
        <v>321.87136372027709</v>
      </c>
      <c r="AA333" s="4">
        <f>Planet(Panchanga!$G333,6)</f>
        <v>321.88228407303473</v>
      </c>
      <c r="AB333" s="4">
        <f>Planet(Panchanga!$G333,10)</f>
        <v>336.33462801855563</v>
      </c>
      <c r="AC333" s="4" t="str">
        <f>TEXT(Panchanga!$C333+($C334-Panchanga!$C333)/ABS(IF($R334&lt;1,$R334+30,$R334)-Panchanga!$R333)*(ROUNDUP(Panchanga!$R333,0)-Panchanga!$R333),"hh:mm AM/PM")</f>
        <v>07:31 AM</v>
      </c>
      <c r="AD333" s="4"/>
    </row>
    <row r="334" spans="1:30" x14ac:dyDescent="0.2">
      <c r="A334" s="3">
        <f t="shared" si="49"/>
        <v>45677</v>
      </c>
      <c r="B334" s="3">
        <f t="shared" si="44"/>
        <v>45677.229166666664</v>
      </c>
      <c r="C334" s="6">
        <f t="shared" si="45"/>
        <v>45677.276355330985</v>
      </c>
      <c r="D334" s="6">
        <f>sunset(Lat,Long,B334)+TimeZone/24-0.000277777777777778</f>
        <v>45676.7520050202</v>
      </c>
      <c r="E334" s="6">
        <f>PlanetRiseSet(Lat,Long,B334,1,1)+TimeZone/24+0.00103009259259259</f>
        <v>45676.944754185773</v>
      </c>
      <c r="F334" s="6">
        <f>PlanetRiseSet(Lat,Long,B334+1,1,2)+TimeZone/24+0.00103009259259259</f>
        <v>45678.475135564026</v>
      </c>
      <c r="G334" s="17">
        <f>Panchanga!$C334-TimeZone/24</f>
        <v>45677.047188664321</v>
      </c>
      <c r="H334" s="13" t="str">
        <f>INT(P[[#This Row],[Sun]]/30)&amp;"s"&amp;ROUNDUP(MOD(P[[#This Row],[Sun]],30),2)</f>
        <v>9s6.02</v>
      </c>
      <c r="I334" s="13" t="str">
        <f>INT(P[[#This Row],[Moon]]/30)&amp;"s"&amp;ROUNDUP(MOD(P[[#This Row],[Moon]],30),2)</f>
        <v>5s16.5</v>
      </c>
      <c r="J334" s="14">
        <f t="shared" si="48"/>
        <v>45677.047188664321</v>
      </c>
      <c r="K334" s="10" t="str">
        <f>naks(P[[#This Row],[Moon]])</f>
        <v>Hasta</v>
      </c>
      <c r="L334" s="15">
        <f>(C335-P[[#This Row],[SunRise]])/(MOD(360+V335-P[[#This Row],[Moon]],360))*(13.3333333333333-MOD(P[[#This Row],[Moon]],13.333333333333))+P[[#This Row],[SunRise]]</f>
        <v>45677.854769120218</v>
      </c>
      <c r="M334" s="4" t="str">
        <f>IF(Panchanga!$R334&gt;15,"K","S")&amp;ROUNDUP(MOD(Panchanga!$R334,15),0)&amp;" ("&amp;ROUND(Panchanga!$R334,2)&amp;")"</f>
        <v>K6 (20.87)</v>
      </c>
      <c r="N334" s="4">
        <f>IF(AND(Panchanga!$R334&lt;28.5,Panchanga!$R334&gt;0.49999),MOD((Panchanga!$R334-0.5)*2,7),MOD((Panchanga!$R334+30-28.5),30)*2+7)</f>
        <v>5.7479999999999976</v>
      </c>
      <c r="O334" s="4" t="str">
        <f>CHOOSE(ROUNDUP(Panchanga!$N334,0),"Bhava","Baalava","Kaulava","Taitula","Garija","Vanija","Vishti","Shakuni","Chatushapda","Naaga","Kimstugna")</f>
        <v>Vanija</v>
      </c>
      <c r="P334" s="11" t="str">
        <f>CHOOSE(ROUNDUP(Panchanga!$S334,0),"viṣkambha","prīti","āyuṣmāna","saubhāgya","śobhana","atigaṇḍa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("&amp;Panchanga!$S334&amp;")"</f>
        <v>sukarmā  (6.19)</v>
      </c>
      <c r="Q334" s="4">
        <f>IF(AND(Panchanga!$R334&lt;28.5,Panchanga!$R334&gt;0.49999),MOD((Panchanga!$R334-0.5)*2,7),MOD((Panchanga!$R334+30-28.5),30)*2+7)</f>
        <v>5.7479999999999976</v>
      </c>
      <c r="R334" s="4">
        <f>ROUNDUP(MOD(360+P[[#This Row],[Moon]]-P[[#This Row],[Sun]],360)/12,4)</f>
        <v>20.873999999999999</v>
      </c>
      <c r="S334" s="4">
        <f>ROUNDUP(MOD(P[[#This Row],[Sun]]+P[[#This Row],[Moon]],360)/13.333333333,2)</f>
        <v>6.1899999999999995</v>
      </c>
      <c r="T334" s="4" t="str">
        <f>SIGN(W335-Panchanga!$W334)*INT(Panchanga!$W334/30+1)&amp;"Ma,"&amp;SIGN(X335-Panchanga!$X334)*INT(Panchanga!$X334/30+1)&amp;"Me,"&amp;SIGN(Y335-Panchanga!$Y334)*INT(Panchanga!$Y334/30+1)&amp;"J, "&amp;SIGN(Z335-Panchanga!$Z334)*INT(Panchanga!$Z334/30+1)&amp;"V,"&amp;SIGN(AA335-Panchanga!$AA334)*INT(Panchanga!$AA334/30+1)&amp;"S,"&amp;INT(Panchanga!$AB334/30+1)&amp;"R"</f>
        <v>-4Ma,9Me,-2J, 11V,11S,12R</v>
      </c>
      <c r="U334" s="4">
        <f t="shared" si="46"/>
        <v>276.01018930601106</v>
      </c>
      <c r="V334" s="4">
        <f t="shared" si="47"/>
        <v>166.49813988861851</v>
      </c>
      <c r="W334" s="4">
        <f>Planet(Panchanga!$G334,4)</f>
        <v>90.443538866461495</v>
      </c>
      <c r="X334" s="4">
        <f>Planet(Panchanga!$G334,2)</f>
        <v>263.02983435805601</v>
      </c>
      <c r="Y334" s="4">
        <f>Planet(Panchanga!$G334,5)</f>
        <v>47.473047990161291</v>
      </c>
      <c r="Z334" s="4">
        <f>Planet(Panchanga!$G334,3)</f>
        <v>322.81507805495795</v>
      </c>
      <c r="AA334" s="4">
        <f>Planet(Panchanga!$G334,6)</f>
        <v>321.97963356497104</v>
      </c>
      <c r="AB334" s="4">
        <f>Planet(Panchanga!$G334,10)</f>
        <v>336.281633448815</v>
      </c>
      <c r="AC334" s="4" t="str">
        <f>TEXT(Panchanga!$C334+($C335-Panchanga!$C334)/ABS(IF($R335&lt;1,$R335+30,$R335)-Panchanga!$R334)*(ROUNDUP(Panchanga!$R334,0)-Panchanga!$R334),"hh:mm AM/PM")</f>
        <v>09:59 AM</v>
      </c>
      <c r="AD334" s="4"/>
    </row>
    <row r="335" spans="1:30" x14ac:dyDescent="0.2">
      <c r="A335" s="3">
        <f t="shared" si="49"/>
        <v>45678</v>
      </c>
      <c r="B335" s="3">
        <f t="shared" si="44"/>
        <v>45678.229166666664</v>
      </c>
      <c r="C335" s="6">
        <f t="shared" si="45"/>
        <v>45678.276391376428</v>
      </c>
      <c r="D335" s="6">
        <f>sunset(Lat,Long,B335)+TimeZone/24-0.000277777777777778</f>
        <v>45677.75236925068</v>
      </c>
      <c r="E335" s="6">
        <f>PlanetRiseSet(Lat,Long,B335,1,1)+TimeZone/24+0.00103009259259259</f>
        <v>45677.976068753436</v>
      </c>
      <c r="F335" s="6">
        <f>PlanetRiseSet(Lat,Long,B335+1,1,2)+TimeZone/24+0.00103009259259259</f>
        <v>45678.475135572873</v>
      </c>
      <c r="G335" s="17">
        <f>Panchanga!$C335-TimeZone/24</f>
        <v>45678.047224709764</v>
      </c>
      <c r="H335" s="13" t="str">
        <f>INT(P[[#This Row],[Sun]]/30)&amp;"s"&amp;ROUNDUP(MOD(P[[#This Row],[Sun]],30),2)</f>
        <v>9s7.03</v>
      </c>
      <c r="I335" s="13" t="str">
        <f>INT(P[[#This Row],[Moon]]/30)&amp;"s"&amp;ROUNDUP(MOD(P[[#This Row],[Moon]],30),2)</f>
        <v>5s28.32</v>
      </c>
      <c r="J335" s="14">
        <f t="shared" si="48"/>
        <v>45678.047224709764</v>
      </c>
      <c r="K335" s="10" t="str">
        <f>naks(P[[#This Row],[Moon]])</f>
        <v>Chitra</v>
      </c>
      <c r="L335" s="15">
        <f>(C336-P[[#This Row],[SunRise]])/(MOD(360+V336-P[[#This Row],[Moon]],360))*(13.3333333333333-MOD(P[[#This Row],[Moon]],13.333333333333))+P[[#This Row],[SunRise]]</f>
        <v>45678.983420197139</v>
      </c>
      <c r="M335" s="4" t="str">
        <f>IF(Panchanga!$R335&gt;15,"K","S")&amp;ROUNDUP(MOD(Panchanga!$R335,15),0)&amp;" ("&amp;ROUND(Panchanga!$R335,2)&amp;")"</f>
        <v>K7 (21.77)</v>
      </c>
      <c r="N335" s="4">
        <f>IF(AND(Panchanga!$R335&lt;28.5,Panchanga!$R335&gt;0.49999),MOD((Panchanga!$R335-0.5)*2,7),MOD((Panchanga!$R335+30-28.5),30)*2+7)</f>
        <v>0.54800000000000182</v>
      </c>
      <c r="O335" s="4" t="str">
        <f>CHOOSE(ROUNDUP(Panchanga!$N335,0),"Bhava","Baalava","Kaulava","Taitula","Garija","Vanija","Vishti","Shakuni","Chatushapda","Naaga","Kimstugna")</f>
        <v>Bhava</v>
      </c>
      <c r="P335" s="11" t="str">
        <f>CHOOSE(ROUNDUP(Panchanga!$S335,0),"viṣkambha","prīti","āyuṣmāna","saubhāgya","śobhana","atigaṇḍa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("&amp;Panchanga!$S335&amp;")"</f>
        <v>dhṛti  (7.16)</v>
      </c>
      <c r="Q335" s="4">
        <f>IF(AND(Panchanga!$R335&lt;28.5,Panchanga!$R335&gt;0.49999),MOD((Panchanga!$R335-0.5)*2,7),MOD((Panchanga!$R335+30-28.5),30)*2+7)</f>
        <v>0.54800000000000182</v>
      </c>
      <c r="R335" s="4">
        <f>ROUNDUP(MOD(360+P[[#This Row],[Moon]]-P[[#This Row],[Sun]],360)/12,4)</f>
        <v>21.774000000000001</v>
      </c>
      <c r="S335" s="4">
        <f>ROUNDUP(MOD(P[[#This Row],[Sun]]+P[[#This Row],[Moon]],360)/13.333333333,2)</f>
        <v>7.16</v>
      </c>
      <c r="T335" s="4" t="str">
        <f>SIGN(W336-Panchanga!$W335)*INT(Panchanga!$W335/30+1)&amp;"Ma,"&amp;SIGN(X336-Panchanga!$X335)*INT(Panchanga!$X335/30+1)&amp;"Me,"&amp;SIGN(Y336-Panchanga!$Y335)*INT(Panchanga!$Y335/30+1)&amp;"J, "&amp;SIGN(Z336-Panchanga!$Z335)*INT(Panchanga!$Z335/30+1)&amp;"V,"&amp;SIGN(AA336-Panchanga!$AA335)*INT(Panchanga!$AA335/30+1)&amp;"S,"&amp;INT(Panchanga!$AB335/30+1)&amp;"R"</f>
        <v>-4Ma,9Me,-2J, 11V,11S,12R</v>
      </c>
      <c r="U335" s="4">
        <f t="shared" si="46"/>
        <v>277.02781152594901</v>
      </c>
      <c r="V335" s="4">
        <f t="shared" si="47"/>
        <v>178.31570017077385</v>
      </c>
      <c r="W335" s="4">
        <f>Planet(Panchanga!$G335,4)</f>
        <v>90.055288977815366</v>
      </c>
      <c r="X335" s="4">
        <f>Planet(Panchanga!$G335,2)</f>
        <v>264.57601770265262</v>
      </c>
      <c r="Y335" s="4">
        <f>Planet(Panchanga!$G335,5)</f>
        <v>47.422735881986547</v>
      </c>
      <c r="Z335" s="4">
        <f>Planet(Panchanga!$G335,3)</f>
        <v>323.74911957503127</v>
      </c>
      <c r="AA335" s="4">
        <f>Planet(Panchanga!$G335,6)</f>
        <v>322.07798303146569</v>
      </c>
      <c r="AB335" s="4">
        <f>Planet(Panchanga!$G335,10)</f>
        <v>336.22863955201865</v>
      </c>
      <c r="AC335" s="4" t="str">
        <f>TEXT(Panchanga!$C335+($C336-Panchanga!$C335)/ABS(IF($R336&lt;1,$R336+30,$R336)-Panchanga!$R335)*(ROUNDUP(Panchanga!$R335,0)-Panchanga!$R335),"hh:mm AM/PM")</f>
        <v>12:39 PM</v>
      </c>
      <c r="AD335" s="4"/>
    </row>
    <row r="336" spans="1:30" x14ac:dyDescent="0.2">
      <c r="A336" s="3">
        <f t="shared" si="49"/>
        <v>45679</v>
      </c>
      <c r="B336" s="3">
        <f t="shared" si="44"/>
        <v>45679.229166666664</v>
      </c>
      <c r="C336" s="6">
        <f t="shared" si="45"/>
        <v>45679.27641469302</v>
      </c>
      <c r="D336" s="6">
        <f>sunset(Lat,Long,B336)+TimeZone/24-0.000277777777777778</f>
        <v>45678.752729164014</v>
      </c>
      <c r="E336" s="6">
        <f>PlanetRiseSet(Lat,Long,B336,1,1)+TimeZone/24+0.00103009259259259</f>
        <v>45679.008114617005</v>
      </c>
      <c r="F336" s="6">
        <f>PlanetRiseSet(Lat,Long,B336+1,1,2)+TimeZone/24+0.00103009259259259</f>
        <v>45679.500246987831</v>
      </c>
      <c r="G336" s="17">
        <f>Panchanga!$C336-TimeZone/24</f>
        <v>45679.047248026356</v>
      </c>
      <c r="H336" s="13" t="str">
        <f>INT(P[[#This Row],[Sun]]/30)&amp;"s"&amp;ROUNDUP(MOD(P[[#This Row],[Sun]],30),2)</f>
        <v>9s8.05</v>
      </c>
      <c r="I336" s="13" t="str">
        <f>INT(P[[#This Row],[Moon]]/30)&amp;"s"&amp;ROUNDUP(MOD(P[[#This Row],[Moon]],30),2)</f>
        <v>6s10.13</v>
      </c>
      <c r="J336" s="14">
        <f t="shared" si="48"/>
        <v>45679.047248026356</v>
      </c>
      <c r="K336" s="10" t="str">
        <f>naks(P[[#This Row],[Moon]])</f>
        <v>Swati</v>
      </c>
      <c r="L336" s="15">
        <f>(C337-P[[#This Row],[SunRise]])/(MOD(360+V337-P[[#This Row],[Moon]],360))*(13.3333333333333-MOD(P[[#This Row],[Moon]],13.333333333333))+P[[#This Row],[SunRise]]</f>
        <v>45680.106307546252</v>
      </c>
      <c r="M336" s="4" t="str">
        <f>IF(Panchanga!$R336&gt;15,"K","S")&amp;ROUNDUP(MOD(Panchanga!$R336,15),0)&amp;" ("&amp;ROUND(Panchanga!$R336,2)&amp;")"</f>
        <v>K8 (22.67)</v>
      </c>
      <c r="N336" s="4">
        <f>IF(AND(Panchanga!$R336&lt;28.5,Panchanga!$R336&gt;0.49999),MOD((Panchanga!$R336-0.5)*2,7),MOD((Panchanga!$R336+30-28.5),30)*2+7)</f>
        <v>2.3472000000000008</v>
      </c>
      <c r="O336" s="4" t="str">
        <f>CHOOSE(ROUNDUP(Panchanga!$N336,0),"Bhava","Baalava","Kaulava","Taitula","Garija","Vanija","Vishti","Shakuni","Chatushapda","Naaga","Kimstugna")</f>
        <v>Kaulava</v>
      </c>
      <c r="P336" s="11" t="str">
        <f>CHOOSE(ROUNDUP(Panchanga!$S336,0),"viṣkambha","prīti","āyuṣmāna","saubhāgya","śobhana","atigaṇḍa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("&amp;Panchanga!$S336&amp;")"</f>
        <v>śūla  (8.12)</v>
      </c>
      <c r="Q336" s="4">
        <f>IF(AND(Panchanga!$R336&lt;28.5,Panchanga!$R336&gt;0.49999),MOD((Panchanga!$R336-0.5)*2,7),MOD((Panchanga!$R336+30-28.5),30)*2+7)</f>
        <v>2.3472000000000008</v>
      </c>
      <c r="R336" s="4">
        <f>ROUNDUP(MOD(360+P[[#This Row],[Moon]]-P[[#This Row],[Sun]],360)/12,4)</f>
        <v>22.6736</v>
      </c>
      <c r="S336" s="4">
        <f>ROUNDUP(MOD(P[[#This Row],[Sun]]+P[[#This Row],[Moon]],360)/13.333333333,2)</f>
        <v>8.1199999999999992</v>
      </c>
      <c r="T336" s="4" t="str">
        <f>SIGN(W337-Panchanga!$W336)*INT(Panchanga!$W336/30+1)&amp;"Ma,"&amp;SIGN(X337-Panchanga!$X336)*INT(Panchanga!$X336/30+1)&amp;"Me,"&amp;SIGN(Y337-Panchanga!$Y336)*INT(Panchanga!$Y336/30+1)&amp;"J, "&amp;SIGN(Z337-Panchanga!$Z336)*INT(Panchanga!$Z336/30+1)&amp;"V,"&amp;SIGN(AA337-Panchanga!$AA336)*INT(Panchanga!$AA336/30+1)&amp;"S,"&amp;INT(Panchanga!$AB336/30+1)&amp;"R"</f>
        <v>-3Ma,9Me,-2J, 11V,11S,12R</v>
      </c>
      <c r="U336" s="4">
        <f t="shared" si="46"/>
        <v>278.04531060672116</v>
      </c>
      <c r="V336" s="4">
        <f t="shared" si="47"/>
        <v>190.12732788292874</v>
      </c>
      <c r="W336" s="4">
        <f>Planet(Panchanga!$G336,4)</f>
        <v>89.671702868050801</v>
      </c>
      <c r="X336" s="4">
        <f>Planet(Panchanga!$G336,2)</f>
        <v>266.13172708904267</v>
      </c>
      <c r="Y336" s="4">
        <f>Planet(Panchanga!$G336,5)</f>
        <v>47.375695334141739</v>
      </c>
      <c r="Z336" s="4">
        <f>Planet(Panchanga!$G336,3)</f>
        <v>324.67314371448998</v>
      </c>
      <c r="AA336" s="4">
        <f>Planet(Panchanga!$G336,6)</f>
        <v>322.1773146780456</v>
      </c>
      <c r="AB336" s="4">
        <f>Planet(Panchanga!$G336,10)</f>
        <v>336.17564632977371</v>
      </c>
      <c r="AC336" s="4" t="str">
        <f>TEXT(Panchanga!$C336+($C337-Panchanga!$C336)/ABS(IF($R337&lt;1,$R337+30,$R337)-Panchanga!$R336)*(ROUNDUP(Panchanga!$R336,0)-Panchanga!$R336),"hh:mm AM/PM")</f>
        <v>03:16 PM</v>
      </c>
      <c r="AD336" s="4"/>
    </row>
    <row r="337" spans="1:30" x14ac:dyDescent="0.2">
      <c r="A337" s="3">
        <f t="shared" si="49"/>
        <v>45680</v>
      </c>
      <c r="B337" s="3">
        <f t="shared" si="44"/>
        <v>45680.229166666664</v>
      </c>
      <c r="C337" s="6">
        <f t="shared" si="45"/>
        <v>45680.276425259341</v>
      </c>
      <c r="D337" s="6">
        <f>sunset(Lat,Long,B337)+TimeZone/24-0.000277777777777778</f>
        <v>45679.753084534357</v>
      </c>
      <c r="E337" s="6">
        <f>PlanetRiseSet(Lat,Long,B337,1,1)+TimeZone/24+0.00103009259259259</f>
        <v>45680.041585674662</v>
      </c>
      <c r="F337" s="6">
        <f>PlanetRiseSet(Lat,Long,B337+1,1,2)+TimeZone/24+0.00103009259259259</f>
        <v>45680.52756933371</v>
      </c>
      <c r="G337" s="17">
        <f>Panchanga!$C337-TimeZone/24</f>
        <v>45680.047258592676</v>
      </c>
      <c r="H337" s="13" t="str">
        <f>INT(P[[#This Row],[Sun]]/30)&amp;"s"&amp;ROUNDUP(MOD(P[[#This Row],[Sun]],30),2)</f>
        <v>9s9.07</v>
      </c>
      <c r="I337" s="13" t="str">
        <f>INT(P[[#This Row],[Moon]]/30)&amp;"s"&amp;ROUNDUP(MOD(P[[#This Row],[Moon]],30),2)</f>
        <v>6s22.03</v>
      </c>
      <c r="J337" s="14">
        <f t="shared" si="48"/>
        <v>45680.047258592676</v>
      </c>
      <c r="K337" s="10" t="str">
        <f>naks(P[[#This Row],[Moon]])</f>
        <v>Visakha</v>
      </c>
      <c r="L337" s="15">
        <f>(C338-P[[#This Row],[SunRise]])/(MOD(360+V338-P[[#This Row],[Moon]],360))*(13.3333333333333-MOD(P[[#This Row],[Moon]],13.333333333333))+P[[#This Row],[SunRise]]</f>
        <v>45681.213549308028</v>
      </c>
      <c r="M337" s="4" t="str">
        <f>IF(Panchanga!$R337&gt;15,"K","S")&amp;ROUNDUP(MOD(Panchanga!$R337,15),0)&amp;" ("&amp;ROUND(Panchanga!$R337,2)&amp;")"</f>
        <v>K9 (23.58)</v>
      </c>
      <c r="N337" s="4">
        <f>IF(AND(Panchanga!$R337&lt;28.5,Panchanga!$R337&gt;0.49999),MOD((Panchanga!$R337-0.5)*2,7),MOD((Panchanga!$R337+30-28.5),30)*2+7)</f>
        <v>4.1601999999999961</v>
      </c>
      <c r="O337" s="4" t="str">
        <f>CHOOSE(ROUNDUP(Panchanga!$N337,0),"Bhava","Baalava","Kaulava","Taitula","Garija","Vanija","Vishti","Shakuni","Chatushapda","Naaga","Kimstugna")</f>
        <v>Garija</v>
      </c>
      <c r="P337" s="11" t="str">
        <f>CHOOSE(ROUNDUP(Panchanga!$S337,0),"viṣkambha","prīti","āyuṣmāna","saubhāgya","śobhana","atigaṇḍa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("&amp;Panchanga!$S337&amp;")"</f>
        <v>gaṇḍa  (9.09)</v>
      </c>
      <c r="Q337" s="4">
        <f>IF(AND(Panchanga!$R337&lt;28.5,Panchanga!$R337&gt;0.49999),MOD((Panchanga!$R337-0.5)*2,7),MOD((Panchanga!$R337+30-28.5),30)*2+7)</f>
        <v>4.1601999999999961</v>
      </c>
      <c r="R337" s="4">
        <f>ROUNDUP(MOD(360+P[[#This Row],[Moon]]-P[[#This Row],[Sun]],360)/12,4)</f>
        <v>23.580099999999998</v>
      </c>
      <c r="S337" s="4">
        <f>ROUNDUP(MOD(P[[#This Row],[Sun]]+P[[#This Row],[Moon]],360)/13.333333333,2)</f>
        <v>9.09</v>
      </c>
      <c r="T337" s="4" t="str">
        <f>SIGN(W338-Panchanga!$W337)*INT(Panchanga!$W337/30+1)&amp;"Ma,"&amp;SIGN(X338-Panchanga!$X337)*INT(Panchanga!$X337/30+1)&amp;"Me,"&amp;SIGN(Y338-Panchanga!$Y337)*INT(Panchanga!$Y337/30+1)&amp;"J, "&amp;SIGN(Z338-Panchanga!$Z337)*INT(Panchanga!$Z337/30+1)&amp;"V,"&amp;SIGN(AA338-Panchanga!$AA337)*INT(Panchanga!$AA337/30+1)&amp;"S,"&amp;INT(Panchanga!$AB337/30+1)&amp;"R"</f>
        <v>-3Ma,9Me,-2J, 11V,11S,12R</v>
      </c>
      <c r="U337" s="4">
        <f t="shared" si="46"/>
        <v>279.06267761443064</v>
      </c>
      <c r="V337" s="4">
        <f t="shared" si="47"/>
        <v>202.02377499225162</v>
      </c>
      <c r="W337" s="4">
        <f>Planet(Panchanga!$G337,4)</f>
        <v>89.293506912276399</v>
      </c>
      <c r="X337" s="4">
        <f>Planet(Panchanga!$G337,2)</f>
        <v>267.69707582808167</v>
      </c>
      <c r="Y337" s="4">
        <f>Planet(Panchanga!$G337,5)</f>
        <v>47.331951469740524</v>
      </c>
      <c r="Z337" s="4">
        <f>Planet(Panchanga!$G337,3)</f>
        <v>325.58678943463008</v>
      </c>
      <c r="AA337" s="4">
        <f>Planet(Panchanga!$G337,6)</f>
        <v>322.27761047718741</v>
      </c>
      <c r="AB337" s="4">
        <f>Planet(Panchanga!$G337,10)</f>
        <v>336.1226537831738</v>
      </c>
      <c r="AC337" s="4" t="str">
        <f>TEXT(Panchanga!$C337+($C338-Panchanga!$C337)/ABS(IF($R338&lt;1,$R338+30,$R338)-Panchanga!$R337)*(ROUNDUP(Panchanga!$R337,0)-Panchanga!$R337),"hh:mm AM/PM")</f>
        <v>05:34 PM</v>
      </c>
      <c r="AD337" s="4"/>
    </row>
    <row r="338" spans="1:30" x14ac:dyDescent="0.2">
      <c r="A338" s="3">
        <f t="shared" si="49"/>
        <v>45681</v>
      </c>
      <c r="B338" s="3">
        <f t="shared" si="44"/>
        <v>45681.229166666664</v>
      </c>
      <c r="C338" s="6">
        <f t="shared" si="45"/>
        <v>45681.276423062816</v>
      </c>
      <c r="D338" s="6">
        <f>sunset(Lat,Long,B338)+TimeZone/24-0.000277777777777778</f>
        <v>45680.753435139588</v>
      </c>
      <c r="E338" s="6">
        <f>PlanetRiseSet(Lat,Long,B338,1,1)+TimeZone/24+0.00103009259259259</f>
        <v>45681.076982283186</v>
      </c>
      <c r="F338" s="6">
        <f>PlanetRiseSet(Lat,Long,B338+1,1,2)+TimeZone/24+0.00103009259259259</f>
        <v>45681.557895846818</v>
      </c>
      <c r="G338" s="17">
        <f>Panchanga!$C338-TimeZone/24</f>
        <v>45681.047256396152</v>
      </c>
      <c r="H338" s="13" t="str">
        <f>INT(P[[#This Row],[Sun]]/30)&amp;"s"&amp;ROUNDUP(MOD(P[[#This Row],[Sun]],30),2)</f>
        <v>9s10.08</v>
      </c>
      <c r="I338" s="13" t="str">
        <f>INT(P[[#This Row],[Moon]]/30)&amp;"s"&amp;ROUNDUP(MOD(P[[#This Row],[Moon]],30),2)</f>
        <v>7s4.1</v>
      </c>
      <c r="J338" s="14">
        <f t="shared" si="48"/>
        <v>45681.047256396152</v>
      </c>
      <c r="K338" s="10" t="str">
        <f>naks(P[[#This Row],[Moon]])</f>
        <v>Anuradha</v>
      </c>
      <c r="L338" s="15">
        <f>(C339-P[[#This Row],[SunRise]])/(MOD(360+V339-P[[#This Row],[Moon]],360))*(13.3333333333333-MOD(P[[#This Row],[Moon]],13.333333333333))+P[[#This Row],[SunRise]]</f>
        <v>45682.297273833916</v>
      </c>
      <c r="M338" s="4" t="str">
        <f>IF(Panchanga!$R338&gt;15,"K","S")&amp;ROUNDUP(MOD(Panchanga!$R338,15),0)&amp;" ("&amp;ROUND(Panchanga!$R338,2)&amp;")"</f>
        <v>K10 (24.5)</v>
      </c>
      <c r="N338" s="4">
        <f>IF(AND(Panchanga!$R338&lt;28.5,Panchanga!$R338&gt;0.49999),MOD((Panchanga!$R338-0.5)*2,7),MOD((Panchanga!$R338+30-28.5),30)*2+7)</f>
        <v>6.002200000000002</v>
      </c>
      <c r="O338" s="4" t="str">
        <f>CHOOSE(ROUNDUP(Panchanga!$N338,0),"Bhava","Baalava","Kaulava","Taitula","Garija","Vanija","Vishti","Shakuni","Chatushapda","Naaga","Kimstugna")</f>
        <v>Vishti</v>
      </c>
      <c r="P338" s="11" t="str">
        <f>CHOOSE(ROUNDUP(Panchanga!$S338,0),"viṣkambha","prīti","āyuṣmāna","saubhāgya","śobhana","atigaṇḍa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("&amp;Panchanga!$S338&amp;")"</f>
        <v>vṛddhi  (10.07)</v>
      </c>
      <c r="Q338" s="4">
        <f>IF(AND(Panchanga!$R338&lt;28.5,Panchanga!$R338&gt;0.49999),MOD((Panchanga!$R338-0.5)*2,7),MOD((Panchanga!$R338+30-28.5),30)*2+7)</f>
        <v>6.002200000000002</v>
      </c>
      <c r="R338" s="4">
        <f>ROUNDUP(MOD(360+P[[#This Row],[Moon]]-P[[#This Row],[Sun]],360)/12,4)</f>
        <v>24.501100000000001</v>
      </c>
      <c r="S338" s="4">
        <f>ROUNDUP(MOD(P[[#This Row],[Sun]]+P[[#This Row],[Moon]],360)/13.333333333,2)</f>
        <v>10.07</v>
      </c>
      <c r="T338" s="4" t="str">
        <f>SIGN(W339-Panchanga!$W338)*INT(Panchanga!$W338/30+1)&amp;"Ma,"&amp;SIGN(X339-Panchanga!$X338)*INT(Panchanga!$X338/30+1)&amp;"Me,"&amp;SIGN(Y339-Panchanga!$Y338)*INT(Panchanga!$Y338/30+1)&amp;"J, "&amp;SIGN(Z339-Panchanga!$Z338)*INT(Panchanga!$Z338/30+1)&amp;"V,"&amp;SIGN(AA339-Panchanga!$AA338)*INT(Panchanga!$AA338/30+1)&amp;"S,"&amp;INT(Panchanga!$AB338/30+1)&amp;"R"</f>
        <v>-3Ma,9Me,-2J, 11V,11S,12R</v>
      </c>
      <c r="U338" s="4">
        <f t="shared" si="46"/>
        <v>280.07990153462742</v>
      </c>
      <c r="V338" s="4">
        <f t="shared" si="47"/>
        <v>214.0921169744872</v>
      </c>
      <c r="W338" s="4">
        <f>Planet(Panchanga!$G338,4)</f>
        <v>88.92140907043958</v>
      </c>
      <c r="X338" s="4">
        <f>Planet(Panchanga!$G338,2)</f>
        <v>269.27220525585835</v>
      </c>
      <c r="Y338" s="4">
        <f>Planet(Panchanga!$G338,5)</f>
        <v>47.291527612686153</v>
      </c>
      <c r="Z338" s="4">
        <f>Planet(Panchanga!$G338,3)</f>
        <v>326.48967826869108</v>
      </c>
      <c r="AA338" s="4">
        <f>Planet(Panchanga!$G338,6)</f>
        <v>322.37885215004445</v>
      </c>
      <c r="AB338" s="4">
        <f>Planet(Panchanga!$G338,10)</f>
        <v>336.06966191289831</v>
      </c>
      <c r="AC338" s="4" t="str">
        <f>TEXT(Panchanga!$C338+($C339-Panchanga!$C338)/ABS(IF($R339&lt;1,$R339+30,$R339)-Panchanga!$R338)*(ROUNDUP(Panchanga!$R338,0)-Panchanga!$R338),"hh:mm AM/PM")</f>
        <v>07:20 PM</v>
      </c>
      <c r="AD338" s="4"/>
    </row>
    <row r="339" spans="1:30" x14ac:dyDescent="0.2">
      <c r="A339" s="3">
        <f t="shared" si="49"/>
        <v>45682</v>
      </c>
      <c r="B339" s="3">
        <f t="shared" si="44"/>
        <v>45682.229166666664</v>
      </c>
      <c r="C339" s="6">
        <f t="shared" si="45"/>
        <v>45682.276408096928</v>
      </c>
      <c r="D339" s="6">
        <f>sunset(Lat,Long,B339)+TimeZone/24-0.000277777777777778</f>
        <v>45681.753780764106</v>
      </c>
      <c r="E339" s="6">
        <f>PlanetRiseSet(Lat,Long,B339,1,1)+TimeZone/24+0.00103009259259259</f>
        <v>45682.114437918797</v>
      </c>
      <c r="F339" s="6">
        <f>PlanetRiseSet(Lat,Long,B339+1,1,2)+TimeZone/24+0.00103009259259259</f>
        <v>45682.591791405495</v>
      </c>
      <c r="G339" s="17">
        <f>Panchanga!$C339-TimeZone/24</f>
        <v>45682.047241430264</v>
      </c>
      <c r="H339" s="13" t="str">
        <f>INT(P[[#This Row],[Sun]]/30)&amp;"s"&amp;ROUNDUP(MOD(P[[#This Row],[Sun]],30),2)</f>
        <v>9s11.1</v>
      </c>
      <c r="I339" s="13" t="str">
        <f>INT(P[[#This Row],[Moon]]/30)&amp;"s"&amp;ROUNDUP(MOD(P[[#This Row],[Moon]],30),2)</f>
        <v>7s16.41</v>
      </c>
      <c r="J339" s="14">
        <f t="shared" si="48"/>
        <v>45682.047241430264</v>
      </c>
      <c r="K339" s="10" t="str">
        <f>naks(P[[#This Row],[Moon]])</f>
        <v>Anuradha</v>
      </c>
      <c r="L339" s="15">
        <f>(C340-P[[#This Row],[SunRise]])/(MOD(360+V340-P[[#This Row],[Moon]],360))*(13.3333333333333-MOD(P[[#This Row],[Moon]],13.333333333333))+P[[#This Row],[SunRise]]</f>
        <v>45682.296761356643</v>
      </c>
      <c r="M339" s="4" t="str">
        <f>IF(Panchanga!$R339&gt;15,"K","S")&amp;ROUNDUP(MOD(Panchanga!$R339,15),0)&amp;" ("&amp;ROUND(Panchanga!$R339,2)&amp;")"</f>
        <v>K11 (25.44)</v>
      </c>
      <c r="N339" s="4">
        <f>IF(AND(Panchanga!$R339&lt;28.5,Panchanga!$R339&gt;0.49999),MOD((Panchanga!$R339-0.5)*2,7),MOD((Panchanga!$R339+30-28.5),30)*2+7)</f>
        <v>0.88559999999999661</v>
      </c>
      <c r="O339" s="4" t="str">
        <f>CHOOSE(ROUNDUP(Panchanga!$N339,0),"Bhava","Baalava","Kaulava","Taitula","Garija","Vanija","Vishti","Shakuni","Chatushapda","Naaga","Kimstugna")</f>
        <v>Bhava</v>
      </c>
      <c r="P339" s="11" t="str">
        <f>CHOOSE(ROUNDUP(Panchanga!$S339,0),"viṣkambha","prīti","āyuṣmāna","saubhāgya","śobhana","atigaṇḍa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("&amp;Panchanga!$S339&amp;")"</f>
        <v>dhruva  (11.07)</v>
      </c>
      <c r="Q339" s="4">
        <f>IF(AND(Panchanga!$R339&lt;28.5,Panchanga!$R339&gt;0.49999),MOD((Panchanga!$R339-0.5)*2,7),MOD((Panchanga!$R339+30-28.5),30)*2+7)</f>
        <v>0.88559999999999661</v>
      </c>
      <c r="R339" s="4">
        <f>ROUNDUP(MOD(360+P[[#This Row],[Moon]]-P[[#This Row],[Sun]],360)/12,4)</f>
        <v>25.442799999999998</v>
      </c>
      <c r="S339" s="4">
        <f>ROUNDUP(MOD(P[[#This Row],[Sun]]+P[[#This Row],[Moon]],360)/13.333333333,2)</f>
        <v>11.07</v>
      </c>
      <c r="T339" s="4" t="str">
        <f>SIGN(W340-Panchanga!$W339)*INT(Panchanga!$W339/30+1)&amp;"Ma,"&amp;SIGN(X340-Panchanga!$X339)*INT(Panchanga!$X339/30+1)&amp;"Me,"&amp;SIGN(Y340-Panchanga!$Y339)*INT(Panchanga!$Y339/30+1)&amp;"J, "&amp;SIGN(Z340-Panchanga!$Z339)*INT(Panchanga!$Z339/30+1)&amp;"V,"&amp;SIGN(AA340-Panchanga!$AA339)*INT(Panchanga!$AA339/30+1)&amp;"S,"&amp;INT(Panchanga!$AB339/30+1)&amp;"R"</f>
        <v>-3Ma,10Me,-2J, 11V,11S,12R</v>
      </c>
      <c r="U339" s="4">
        <f t="shared" si="46"/>
        <v>281.09696904060166</v>
      </c>
      <c r="V339" s="4">
        <f t="shared" si="47"/>
        <v>226.40964844807249</v>
      </c>
      <c r="W339" s="4">
        <f>Planet(Panchanga!$G339,4)</f>
        <v>88.556096578984807</v>
      </c>
      <c r="X339" s="4">
        <f>Planet(Panchanga!$G339,2)</f>
        <v>270.85728083773307</v>
      </c>
      <c r="Y339" s="4">
        <f>Planet(Panchanga!$G339,5)</f>
        <v>47.254445291777003</v>
      </c>
      <c r="Z339" s="4">
        <f>Planet(Panchanga!$G339,3)</f>
        <v>327.38141301738762</v>
      </c>
      <c r="AA339" s="4">
        <f>Planet(Panchanga!$G339,6)</f>
        <v>322.48102113972544</v>
      </c>
      <c r="AB339" s="4">
        <f>Planet(Panchanga!$G339,10)</f>
        <v>336.01667071934475</v>
      </c>
      <c r="AC339" s="4" t="str">
        <f>TEXT(Panchanga!$C339+($C340-Panchanga!$C339)/ABS(IF($R340&lt;1,$R340+30,$R340)-Panchanga!$R339)*(ROUNDUP(Panchanga!$R339,0)-Panchanga!$R339),"hh:mm AM/PM")</f>
        <v>08:27 PM</v>
      </c>
      <c r="AD339" s="4"/>
    </row>
    <row r="340" spans="1:30" x14ac:dyDescent="0.2">
      <c r="A340" s="3">
        <f t="shared" si="49"/>
        <v>45683</v>
      </c>
      <c r="B340" s="3">
        <f t="shared" si="44"/>
        <v>45683.229166666664</v>
      </c>
      <c r="C340" s="6">
        <f t="shared" si="45"/>
        <v>45683.276380361211</v>
      </c>
      <c r="D340" s="6">
        <f>sunset(Lat,Long,B340)+TimeZone/24-0.000277777777777778</f>
        <v>45682.754121197897</v>
      </c>
      <c r="E340" s="6">
        <f>PlanetRiseSet(Lat,Long,B340,1,1)+TimeZone/24+0.00103009259259259</f>
        <v>45683.153518921848</v>
      </c>
      <c r="F340" s="6">
        <f>PlanetRiseSet(Lat,Long,B340+1,1,2)+TimeZone/24+0.00103009259259259</f>
        <v>45683.629316951767</v>
      </c>
      <c r="G340" s="17">
        <f>Panchanga!$C340-TimeZone/24</f>
        <v>45683.047213694546</v>
      </c>
      <c r="H340" s="13" t="str">
        <f>INT(P[[#This Row],[Sun]]/30)&amp;"s"&amp;ROUNDUP(MOD(P[[#This Row],[Sun]],30),2)</f>
        <v>9s12.12</v>
      </c>
      <c r="I340" s="13" t="str">
        <f>INT(P[[#This Row],[Moon]]/30)&amp;"s"&amp;ROUNDUP(MOD(P[[#This Row],[Moon]],30),2)</f>
        <v>7s29.04</v>
      </c>
      <c r="J340" s="14">
        <f t="shared" si="48"/>
        <v>45683.047213694546</v>
      </c>
      <c r="K340" s="10" t="str">
        <f>naks(P[[#This Row],[Moon]])</f>
        <v>Jyestha</v>
      </c>
      <c r="L340" s="15">
        <f>(C341-P[[#This Row],[SunRise]])/(MOD(360+V341-P[[#This Row],[Moon]],360))*(13.3333333333333-MOD(P[[#This Row],[Moon]],13.333333333333))+P[[#This Row],[SunRise]]</f>
        <v>45683.350583419022</v>
      </c>
      <c r="M340" s="4" t="str">
        <f>IF(Panchanga!$R340&gt;15,"K","S")&amp;ROUNDUP(MOD(Panchanga!$R340,15),0)&amp;" ("&amp;ROUND(Panchanga!$R340,2)&amp;")"</f>
        <v>K12 (26.41)</v>
      </c>
      <c r="N340" s="4">
        <f>IF(AND(Panchanga!$R340&lt;28.5,Panchanga!$R340&gt;0.49999),MOD((Panchanga!$R340-0.5)*2,7),MOD((Panchanga!$R340+30-28.5),30)*2+7)</f>
        <v>2.8205999999999989</v>
      </c>
      <c r="O340" s="4" t="str">
        <f>CHOOSE(ROUNDUP(Panchanga!$N340,0),"Bhava","Baalava","Kaulava","Taitula","Garija","Vanija","Vishti","Shakuni","Chatushapda","Naaga","Kimstugna")</f>
        <v>Kaulava</v>
      </c>
      <c r="P340" s="11" t="str">
        <f>CHOOSE(ROUNDUP(Panchanga!$S340,0),"viṣkambha","prīti","āyuṣmāna","saubhāgya","śobhana","atigaṇḍa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("&amp;Panchanga!$S340&amp;")"</f>
        <v>vyāghāta (12.09)</v>
      </c>
      <c r="Q340" s="4">
        <f>IF(AND(Panchanga!$R340&lt;28.5,Panchanga!$R340&gt;0.49999),MOD((Panchanga!$R340-0.5)*2,7),MOD((Panchanga!$R340+30-28.5),30)*2+7)</f>
        <v>2.8205999999999989</v>
      </c>
      <c r="R340" s="4">
        <f>ROUNDUP(MOD(360+P[[#This Row],[Moon]]-P[[#This Row],[Sun]],360)/12,4)</f>
        <v>26.410299999999999</v>
      </c>
      <c r="S340" s="4">
        <f>ROUNDUP(MOD(P[[#This Row],[Sun]]+P[[#This Row],[Moon]],360)/13.333333333,2)</f>
        <v>12.09</v>
      </c>
      <c r="T340" s="4" t="str">
        <f>SIGN(W341-Panchanga!$W340)*INT(Panchanga!$W340/30+1)&amp;"Ma,"&amp;SIGN(X341-Panchanga!$X340)*INT(Panchanga!$X340/30+1)&amp;"Me,"&amp;SIGN(Y341-Panchanga!$Y340)*INT(Panchanga!$Y340/30+1)&amp;"J, "&amp;SIGN(Z341-Panchanga!$Z340)*INT(Panchanga!$Z340/30+1)&amp;"V,"&amp;SIGN(AA341-Panchanga!$AA340)*INT(Panchanga!$AA340/30+1)&amp;"S,"&amp;INT(Panchanga!$AB340/30+1)&amp;"R"</f>
        <v>-3Ma,10Me,-2J, 11V,11S,12R</v>
      </c>
      <c r="U340" s="4">
        <f t="shared" si="46"/>
        <v>282.11386422248717</v>
      </c>
      <c r="V340" s="4">
        <f t="shared" si="47"/>
        <v>239.03716333452752</v>
      </c>
      <c r="W340" s="4">
        <f>Planet(Panchanga!$G340,4)</f>
        <v>88.198233793274966</v>
      </c>
      <c r="X340" s="4">
        <f>Planet(Panchanga!$G340,2)</f>
        <v>272.45248848681439</v>
      </c>
      <c r="Y340" s="4">
        <f>Planet(Panchanga!$G340,5)</f>
        <v>47.22072421231686</v>
      </c>
      <c r="Z340" s="4">
        <f>Planet(Panchanga!$G340,3)</f>
        <v>328.26157607402405</v>
      </c>
      <c r="AA340" s="4">
        <f>Planet(Panchanga!$G340,6)</f>
        <v>322.58409855808543</v>
      </c>
      <c r="AB340" s="4">
        <f>Planet(Panchanga!$G340,10)</f>
        <v>335.96368020241374</v>
      </c>
      <c r="AC340" s="4" t="str">
        <f>TEXT(Panchanga!$C340+($C341-Panchanga!$C340)/ABS(IF($R341&lt;1,$R341+30,$R341)-Panchanga!$R340)*(ROUNDUP(Panchanga!$R340,0)-Panchanga!$R340),"hh:mm AM/PM")</f>
        <v>08:50 PM</v>
      </c>
      <c r="AD340" s="4"/>
    </row>
    <row r="341" spans="1:30" x14ac:dyDescent="0.2">
      <c r="A341" s="3">
        <f t="shared" si="49"/>
        <v>45684</v>
      </c>
      <c r="B341" s="3">
        <f t="shared" si="44"/>
        <v>45684.229166666664</v>
      </c>
      <c r="C341" s="6">
        <f t="shared" si="45"/>
        <v>45684.276339860786</v>
      </c>
      <c r="D341" s="6">
        <f>sunset(Lat,Long,B341)+TimeZone/24-0.000277777777777778</f>
        <v>45683.754456232346</v>
      </c>
      <c r="E341" s="6">
        <f>PlanetRiseSet(Lat,Long,B341,1,1)+TimeZone/24+0.00103009259259259</f>
        <v>45684.193162033022</v>
      </c>
      <c r="F341" s="6">
        <f>PlanetRiseSet(Lat,Long,B341+1,1,2)+TimeZone/24+0.00103009259259259</f>
        <v>45684.669789450862</v>
      </c>
      <c r="G341" s="17">
        <f>Panchanga!$C341-TimeZone/24</f>
        <v>45684.047173194122</v>
      </c>
      <c r="H341" s="13" t="str">
        <f>INT(P[[#This Row],[Sun]]/30)&amp;"s"&amp;ROUNDUP(MOD(P[[#This Row],[Sun]],30),2)</f>
        <v>9s13.14</v>
      </c>
      <c r="I341" s="13" t="str">
        <f>INT(P[[#This Row],[Moon]]/30)&amp;"s"&amp;ROUNDUP(MOD(P[[#This Row],[Moon]],30),2)</f>
        <v>8s12.02</v>
      </c>
      <c r="J341" s="14">
        <f t="shared" si="48"/>
        <v>45684.047173194122</v>
      </c>
      <c r="K341" s="10" t="str">
        <f>naks(P[[#This Row],[Moon]])</f>
        <v>Moola</v>
      </c>
      <c r="L341" s="15">
        <f>(C342-P[[#This Row],[SunRise]])/(MOD(360+V342-P[[#This Row],[Moon]],360))*(13.3333333333333-MOD(P[[#This Row],[Moon]],13.333333333333))+P[[#This Row],[SunRise]]</f>
        <v>45684.375418591051</v>
      </c>
      <c r="M341" s="4" t="str">
        <f>IF(Panchanga!$R341&gt;15,"K","S")&amp;ROUNDUP(MOD(Panchanga!$R341,15),0)&amp;" ("&amp;ROUND(Panchanga!$R341,2)&amp;")"</f>
        <v>K13 (27.41)</v>
      </c>
      <c r="N341" s="4">
        <f>IF(AND(Panchanga!$R341&lt;28.5,Panchanga!$R341&gt;0.49999),MOD((Panchanga!$R341-0.5)*2,7),MOD((Panchanga!$R341+30-28.5),30)*2+7)</f>
        <v>4.8138000000000005</v>
      </c>
      <c r="O341" s="4" t="str">
        <f>CHOOSE(ROUNDUP(Panchanga!$N341,0),"Bhava","Baalava","Kaulava","Taitula","Garija","Vanija","Vishti","Shakuni","Chatushapda","Naaga","Kimstugna")</f>
        <v>Garija</v>
      </c>
      <c r="P341" s="11" t="str">
        <f>CHOOSE(ROUNDUP(Panchanga!$S341,0),"viṣkambha","prīti","āyuṣmāna","saubhāgya","śobhana","atigaṇḍa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("&amp;Panchanga!$S341&amp;")"</f>
        <v>harṣaṇa (13.14)</v>
      </c>
      <c r="Q341" s="4">
        <f>IF(AND(Panchanga!$R341&lt;28.5,Panchanga!$R341&gt;0.49999),MOD((Panchanga!$R341-0.5)*2,7),MOD((Panchanga!$R341+30-28.5),30)*2+7)</f>
        <v>4.8138000000000005</v>
      </c>
      <c r="R341" s="4">
        <f>ROUNDUP(MOD(360+P[[#This Row],[Moon]]-P[[#This Row],[Sun]],360)/12,4)</f>
        <v>27.4069</v>
      </c>
      <c r="S341" s="4">
        <f>ROUNDUP(MOD(P[[#This Row],[Sun]]+P[[#This Row],[Moon]],360)/13.333333333,2)</f>
        <v>13.14</v>
      </c>
      <c r="T341" s="4" t="str">
        <f>SIGN(W342-Panchanga!$W341)*INT(Panchanga!$W341/30+1)&amp;"Ma,"&amp;SIGN(X342-Panchanga!$X341)*INT(Panchanga!$X341/30+1)&amp;"Me,"&amp;SIGN(Y342-Panchanga!$Y341)*INT(Panchanga!$Y341/30+1)&amp;"J, "&amp;SIGN(Z342-Panchanga!$Z341)*INT(Panchanga!$Z341/30+1)&amp;"V,"&amp;SIGN(AA342-Panchanga!$AA341)*INT(Panchanga!$AA341/30+1)&amp;"S,"&amp;INT(Panchanga!$AB341/30+1)&amp;"R"</f>
        <v>-3Ma,10Me,-2J, 11V,11S,12R</v>
      </c>
      <c r="U341" s="4">
        <f t="shared" si="46"/>
        <v>283.13056834384372</v>
      </c>
      <c r="V341" s="4">
        <f t="shared" si="47"/>
        <v>252.01233846327358</v>
      </c>
      <c r="W341" s="4">
        <f>Planet(Panchanga!$G341,4)</f>
        <v>87.848460025702067</v>
      </c>
      <c r="X341" s="4">
        <f>Planet(Panchanga!$G341,2)</f>
        <v>274.05803099982768</v>
      </c>
      <c r="Y341" s="4">
        <f>Planet(Panchanga!$G341,5)</f>
        <v>47.190382176232333</v>
      </c>
      <c r="Z341" s="4">
        <f>Planet(Panchanga!$G341,3)</f>
        <v>329.12972740153754</v>
      </c>
      <c r="AA341" s="4">
        <f>Planet(Panchanga!$G341,6)</f>
        <v>322.68806513146643</v>
      </c>
      <c r="AB341" s="4">
        <f>Planet(Panchanga!$G341,10)</f>
        <v>335.91069036200582</v>
      </c>
      <c r="AC341" s="4" t="str">
        <f>TEXT(Panchanga!$C341+($C342-Panchanga!$C341)/ABS(IF($R342&lt;1,$R342+30,$R342)-Panchanga!$R341)*(ROUNDUP(Panchanga!$R341,0)-Panchanga!$R341),"hh:mm AM/PM")</f>
        <v>08:30 PM</v>
      </c>
      <c r="AD341" s="4"/>
    </row>
    <row r="342" spans="1:30" x14ac:dyDescent="0.2">
      <c r="A342" s="3">
        <f t="shared" si="49"/>
        <v>45685</v>
      </c>
      <c r="B342" s="3">
        <f t="shared" si="44"/>
        <v>45685.229166666664</v>
      </c>
      <c r="C342" s="6">
        <f t="shared" si="45"/>
        <v>45685.276286604501</v>
      </c>
      <c r="D342" s="6">
        <f>sunset(Lat,Long,B342)+TimeZone/24-0.000277777777777778</f>
        <v>45684.754785663958</v>
      </c>
      <c r="E342" s="6">
        <f>PlanetRiseSet(Lat,Long,B342,1,1)+TimeZone/24+0.00103009259259259</f>
        <v>45685.231946924388</v>
      </c>
      <c r="F342" s="6">
        <f>PlanetRiseSet(Lat,Long,B342+1,1,2)+TimeZone/24+0.00103009259259259</f>
        <v>45685.711858254544</v>
      </c>
      <c r="G342" s="17">
        <f>Panchanga!$C342-TimeZone/24</f>
        <v>45685.047119937837</v>
      </c>
      <c r="H342" s="13" t="str">
        <f>INT(P[[#This Row],[Sun]]/30)&amp;"s"&amp;ROUNDUP(MOD(P[[#This Row],[Sun]],30),2)</f>
        <v>9s14.15</v>
      </c>
      <c r="I342" s="13" t="str">
        <f>INT(P[[#This Row],[Moon]]/30)&amp;"s"&amp;ROUNDUP(MOD(P[[#This Row],[Moon]],30),2)</f>
        <v>8s25.35</v>
      </c>
      <c r="J342" s="14">
        <f t="shared" si="48"/>
        <v>45685.047119937837</v>
      </c>
      <c r="K342" s="10" t="str">
        <f>naks(P[[#This Row],[Moon]])</f>
        <v>Purva Asadha</v>
      </c>
      <c r="L342" s="15">
        <f>(C343-P[[#This Row],[SunRise]])/(MOD(360+V343-P[[#This Row],[Moon]],360))*(13.3333333333333-MOD(P[[#This Row],[Moon]],13.333333333333))+P[[#This Row],[SunRise]]</f>
        <v>45685.373026561836</v>
      </c>
      <c r="M342" s="4" t="str">
        <f>IF(Panchanga!$R342&gt;15,"K","S")&amp;ROUNDUP(MOD(Panchanga!$R342,15),0)&amp;" ("&amp;ROUND(Panchanga!$R342,2)&amp;")"</f>
        <v>K14 (28.43)</v>
      </c>
      <c r="N342" s="4">
        <f>IF(AND(Panchanga!$R342&lt;28.5,Panchanga!$R342&gt;0.49999),MOD((Panchanga!$R342-0.5)*2,7),MOD((Panchanga!$R342+30-28.5),30)*2+7)</f>
        <v>6.8663999999999987</v>
      </c>
      <c r="O342" s="4" t="str">
        <f>CHOOSE(ROUNDUP(Panchanga!$N342,0),"Bhava","Baalava","Kaulava","Taitula","Garija","Vanija","Vishti","Shakuni","Chatushapda","Naaga","Kimstugna")</f>
        <v>Vishti</v>
      </c>
      <c r="P342" s="11" t="str">
        <f>CHOOSE(ROUNDUP(Panchanga!$S342,0),"viṣkambha","prīti","āyuṣmāna","saubhāgya","śobhana","atigaṇḍa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("&amp;Panchanga!$S342&amp;")"</f>
        <v>vajra (14.22)</v>
      </c>
      <c r="Q342" s="4">
        <f>IF(AND(Panchanga!$R342&lt;28.5,Panchanga!$R342&gt;0.49999),MOD((Panchanga!$R342-0.5)*2,7),MOD((Panchanga!$R342+30-28.5),30)*2+7)</f>
        <v>6.8663999999999987</v>
      </c>
      <c r="R342" s="4">
        <f>ROUNDUP(MOD(360+P[[#This Row],[Moon]]-P[[#This Row],[Sun]],360)/12,4)</f>
        <v>28.433199999999999</v>
      </c>
      <c r="S342" s="4">
        <f>ROUNDUP(MOD(P[[#This Row],[Sun]]+P[[#This Row],[Moon]],360)/13.333333333,2)</f>
        <v>14.22</v>
      </c>
      <c r="T342" s="4" t="str">
        <f>SIGN(W343-Panchanga!$W342)*INT(Panchanga!$W342/30+1)&amp;"Ma,"&amp;SIGN(X343-Panchanga!$X342)*INT(Panchanga!$X342/30+1)&amp;"Me,"&amp;SIGN(Y343-Panchanga!$Y342)*INT(Panchanga!$Y342/30+1)&amp;"J, "&amp;SIGN(Z343-Panchanga!$Z342)*INT(Panchanga!$Z342/30+1)&amp;"V,"&amp;SIGN(AA343-Panchanga!$AA342)*INT(Panchanga!$AA342/30+1)&amp;"S,"&amp;INT(Panchanga!$AB342/30+1)&amp;"R"</f>
        <v>-3Ma,10Me,-2J, 11V,11S,12R</v>
      </c>
      <c r="U342" s="4">
        <f t="shared" si="46"/>
        <v>284.14705971876674</v>
      </c>
      <c r="V342" s="4">
        <f t="shared" si="47"/>
        <v>265.3444079722027</v>
      </c>
      <c r="W342" s="4">
        <f>Planet(Panchanga!$G342,4)</f>
        <v>87.507387235652288</v>
      </c>
      <c r="X342" s="4">
        <f>Planet(Panchanga!$G342,2)</f>
        <v>275.67412456807449</v>
      </c>
      <c r="Y342" s="4">
        <f>Planet(Panchanga!$G342,5)</f>
        <v>47.16343494012991</v>
      </c>
      <c r="Z342" s="4">
        <f>Planet(Panchanga!$G342,3)</f>
        <v>329.98540225912387</v>
      </c>
      <c r="AA342" s="4">
        <f>Planet(Panchanga!$G342,6)</f>
        <v>322.79290114084898</v>
      </c>
      <c r="AB342" s="4">
        <f>Planet(Panchanga!$G342,10)</f>
        <v>335.85770119747502</v>
      </c>
      <c r="AC342" s="4" t="str">
        <f>TEXT(Panchanga!$C342+($C343-Panchanga!$C342)/ABS(IF($R343&lt;1,$R343+30,$R343)-Panchanga!$R342)*(ROUNDUP(Panchanga!$R342,0)-Panchanga!$R342),"hh:mm AM/PM")</f>
        <v>07:32 PM</v>
      </c>
      <c r="AD342" s="4"/>
    </row>
    <row r="343" spans="1:30" x14ac:dyDescent="0.2">
      <c r="A343" s="3">
        <f t="shared" si="49"/>
        <v>45686</v>
      </c>
      <c r="B343" s="3">
        <f t="shared" si="44"/>
        <v>45686.229166666664</v>
      </c>
      <c r="C343" s="6">
        <f t="shared" si="45"/>
        <v>45686.276220605861</v>
      </c>
      <c r="D343" s="6">
        <f>sunset(Lat,Long,B343)+TimeZone/24-0.000277777777777778</f>
        <v>45685.755109292499</v>
      </c>
      <c r="E343" s="6">
        <f>PlanetRiseSet(Lat,Long,B343,1,1)+TimeZone/24+0.00103009259259259</f>
        <v>45686.26864916148</v>
      </c>
      <c r="F343" s="6">
        <f>PlanetRiseSet(Lat,Long,B343+1,1,2)+TimeZone/24+0.00103009259259259</f>
        <v>45686.754010440935</v>
      </c>
      <c r="G343" s="17">
        <f>Panchanga!$C343-TimeZone/24</f>
        <v>45686.047053939197</v>
      </c>
      <c r="H343" s="13" t="str">
        <f>INT(P[[#This Row],[Sun]]/30)&amp;"s"&amp;ROUNDUP(MOD(P[[#This Row],[Sun]],30),2)</f>
        <v>9s15.17</v>
      </c>
      <c r="I343" s="13" t="str">
        <f>INT(P[[#This Row],[Moon]]/30)&amp;"s"&amp;ROUNDUP(MOD(P[[#This Row],[Moon]],30),2)</f>
        <v>9s9.02</v>
      </c>
      <c r="J343" s="14">
        <f t="shared" si="48"/>
        <v>45686.047053939197</v>
      </c>
      <c r="K343" s="10" t="str">
        <f>naks(P[[#This Row],[Moon]])</f>
        <v>Uttara Asadha</v>
      </c>
      <c r="L343" s="15">
        <f>(C344-P[[#This Row],[SunRise]])/(MOD(360+V344-P[[#This Row],[Moon]],360))*(13.3333333333333-MOD(P[[#This Row],[Moon]],13.333333333333))+P[[#This Row],[SunRise]]</f>
        <v>45686.347052872356</v>
      </c>
      <c r="M343" s="4" t="str">
        <f>IF(Panchanga!$R343&gt;15,"K","S")&amp;ROUNDUP(MOD(Panchanga!$R343,15),0)&amp;" ("&amp;ROUND(Panchanga!$R343,2)&amp;")"</f>
        <v>K15 (29.49)</v>
      </c>
      <c r="N343" s="4">
        <f>IF(AND(Panchanga!$R343&lt;28.5,Panchanga!$R343&gt;0.49999),MOD((Panchanga!$R343-0.5)*2,7),MOD((Panchanga!$R343+30-28.5),30)*2+7)</f>
        <v>8.9748000000000019</v>
      </c>
      <c r="O343" s="4" t="str">
        <f>CHOOSE(ROUNDUP(Panchanga!$N343,0),"Bhava","Baalava","Kaulava","Taitula","Garija","Vanija","Vishti","Shakuni","Chatushapda","Naaga","Kimstugna")</f>
        <v>Chatushapda</v>
      </c>
      <c r="P343" s="11" t="str">
        <f>CHOOSE(ROUNDUP(Panchanga!$S343,0),"viṣkambha","prīti","āyuṣmāna","saubhāgya","śobhana","atigaṇḍa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("&amp;Panchanga!$S343&amp;")"</f>
        <v>siddhi (15.32)</v>
      </c>
      <c r="Q343" s="4">
        <f>IF(AND(Panchanga!$R343&lt;28.5,Panchanga!$R343&gt;0.49999),MOD((Panchanga!$R343-0.5)*2,7),MOD((Panchanga!$R343+30-28.5),30)*2+7)</f>
        <v>8.9748000000000019</v>
      </c>
      <c r="R343" s="4">
        <f>ROUNDUP(MOD(360+P[[#This Row],[Moon]]-P[[#This Row],[Sun]],360)/12,4)</f>
        <v>29.487400000000001</v>
      </c>
      <c r="S343" s="4">
        <f>ROUNDUP(MOD(P[[#This Row],[Sun]]+P[[#This Row],[Moon]],360)/13.333333333,2)</f>
        <v>15.32</v>
      </c>
      <c r="T343" s="4" t="str">
        <f>SIGN(W344-Panchanga!$W343)*INT(Panchanga!$W343/30+1)&amp;"Ma,"&amp;SIGN(X344-Panchanga!$X343)*INT(Panchanga!$X343/30+1)&amp;"Me,"&amp;SIGN(Y344-Panchanga!$Y343)*INT(Panchanga!$Y343/30+1)&amp;"J, "&amp;SIGN(Z344-Panchanga!$Z343)*INT(Panchanga!$Z343/30+1)&amp;"V,"&amp;SIGN(AA344-Panchanga!$AA343)*INT(Panchanga!$AA343/30+1)&amp;"S,"&amp;INT(Panchanga!$AB343/30+1)&amp;"R"</f>
        <v>-3Ma,10Me,-2J, 12V,11S,12R</v>
      </c>
      <c r="U343" s="4">
        <f t="shared" si="46"/>
        <v>285.16331379532659</v>
      </c>
      <c r="V343" s="4">
        <f t="shared" si="47"/>
        <v>279.01168118233892</v>
      </c>
      <c r="W343" s="4">
        <f>Planet(Panchanga!$G343,4)</f>
        <v>87.175597447051317</v>
      </c>
      <c r="X343" s="4">
        <f>Planet(Panchanga!$G343,2)</f>
        <v>277.30099530526201</v>
      </c>
      <c r="Y343" s="4">
        <f>Planet(Panchanga!$G343,5)</f>
        <v>47.139896009450815</v>
      </c>
      <c r="Z343" s="4">
        <f>Planet(Panchanga!$G343,3)</f>
        <v>330.82810882534153</v>
      </c>
      <c r="AA343" s="4">
        <f>Planet(Panchanga!$G343,6)</f>
        <v>322.89858637396964</v>
      </c>
      <c r="AB343" s="4">
        <f>Planet(Panchanga!$G343,10)</f>
        <v>335.80471270822466</v>
      </c>
      <c r="AC343" s="4" t="str">
        <f>TEXT(Panchanga!$C343+($C344-Panchanga!$C343)/ABS(IF($R344&lt;1,$R344+30,$R344)-Panchanga!$R343)*(ROUNDUP(Panchanga!$R343,0)-Panchanga!$R343),"hh:mm AM/PM")</f>
        <v>06:02 PM</v>
      </c>
      <c r="AD343" s="4"/>
    </row>
    <row r="344" spans="1:30" x14ac:dyDescent="0.2">
      <c r="A344" s="3">
        <f t="shared" si="49"/>
        <v>45687</v>
      </c>
      <c r="B344" s="3">
        <f t="shared" si="44"/>
        <v>45687.229166666664</v>
      </c>
      <c r="C344" s="6">
        <f t="shared" si="45"/>
        <v>45687.276141883027</v>
      </c>
      <c r="D344" s="6">
        <f>sunset(Lat,Long,B344)+TimeZone/24-0.000277777777777778</f>
        <v>45686.755426922391</v>
      </c>
      <c r="E344" s="6">
        <f>PlanetRiseSet(Lat,Long,B344,1,1)+TimeZone/24+0.00103009259259259</f>
        <v>45687.302692878678</v>
      </c>
      <c r="F344" s="6">
        <f>PlanetRiseSet(Lat,Long,B344+1,1,2)+TimeZone/24+0.00103009259259259</f>
        <v>45687.795177275468</v>
      </c>
      <c r="G344" s="17">
        <f>Panchanga!$C344-TimeZone/24</f>
        <v>45687.046975216363</v>
      </c>
      <c r="H344" s="13" t="str">
        <f>INT(P[[#This Row],[Sun]]/30)&amp;"s"&amp;ROUNDUP(MOD(P[[#This Row],[Sun]],30),2)</f>
        <v>9s16.18</v>
      </c>
      <c r="I344" s="13" t="str">
        <f>INT(P[[#This Row],[Moon]]/30)&amp;"s"&amp;ROUNDUP(MOD(P[[#This Row],[Moon]],30),2)</f>
        <v>9s22.97</v>
      </c>
      <c r="J344" s="14">
        <f t="shared" si="48"/>
        <v>45687.046975216363</v>
      </c>
      <c r="K344" s="10" t="str">
        <f>naks(P[[#This Row],[Moon]])</f>
        <v>Sravana</v>
      </c>
      <c r="L344" s="15">
        <f>(C345-P[[#This Row],[SunRise]])/(MOD(360+V345-P[[#This Row],[Moon]],360))*(13.3333333333333-MOD(P[[#This Row],[Moon]],13.333333333333))+P[[#This Row],[SunRise]]</f>
        <v>45687.302248009153</v>
      </c>
      <c r="M344" s="4" t="str">
        <f>IF(Panchanga!$R344&gt;15,"K","S")&amp;ROUNDUP(MOD(Panchanga!$R344,15),0)&amp;" ("&amp;ROUND(Panchanga!$R344,2)&amp;")"</f>
        <v>S1 (0.57)</v>
      </c>
      <c r="N344" s="4">
        <f>IF(AND(Panchanga!$R344&lt;28.5,Panchanga!$R344&gt;0.49999),MOD((Panchanga!$R344-0.5)*2,7),MOD((Panchanga!$R344+30-28.5),30)*2+7)</f>
        <v>0.13080000000000003</v>
      </c>
      <c r="O344" s="4" t="str">
        <f>CHOOSE(ROUNDUP(Panchanga!$N344,0),"Bhava","Baalava","Kaulava","Taitula","Garija","Vanija","Vishti","Shakuni","Chatushapda","Naaga","Kimstugna")</f>
        <v>Bhava</v>
      </c>
      <c r="P344" s="11" t="str">
        <f>CHOOSE(ROUNDUP(Panchanga!$S344,0),"viṣkambha","prīti","āyuṣmāna","saubhāgya","śobhana","atigaṇḍa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("&amp;Panchanga!$S344&amp;")"</f>
        <v>vyatipāta (16.44)</v>
      </c>
      <c r="Q344" s="4">
        <f>IF(AND(Panchanga!$R344&lt;28.5,Panchanga!$R344&gt;0.49999),MOD((Panchanga!$R344-0.5)*2,7),MOD((Panchanga!$R344+30-28.5),30)*2+7)</f>
        <v>0.13080000000000003</v>
      </c>
      <c r="R344" s="4">
        <f>ROUNDUP(MOD(360+P[[#This Row],[Moon]]-P[[#This Row],[Sun]],360)/12,4)</f>
        <v>0.56540000000000001</v>
      </c>
      <c r="S344" s="4">
        <f>ROUNDUP(MOD(P[[#This Row],[Sun]]+P[[#This Row],[Moon]],360)/13.333333333,2)</f>
        <v>16.440000000000001</v>
      </c>
      <c r="T344" s="4" t="str">
        <f>SIGN(W345-Panchanga!$W344)*INT(Panchanga!$W344/30+1)&amp;"Ma,"&amp;SIGN(X345-Panchanga!$X344)*INT(Panchanga!$X344/30+1)&amp;"Me,"&amp;SIGN(Y345-Panchanga!$Y344)*INT(Panchanga!$Y344/30+1)&amp;"J, "&amp;SIGN(Z345-Panchanga!$Z344)*INT(Panchanga!$Z344/30+1)&amp;"V,"&amp;SIGN(AA345-Panchanga!$AA344)*INT(Panchanga!$AA344/30+1)&amp;"S,"&amp;INT(Panchanga!$AB344/30+1)&amp;"R"</f>
        <v>-3Ma,10Me,-2J, 12V,11S,12R</v>
      </c>
      <c r="U344" s="4">
        <f t="shared" si="46"/>
        <v>286.17930354888557</v>
      </c>
      <c r="V344" s="4">
        <f t="shared" si="47"/>
        <v>292.96352916436268</v>
      </c>
      <c r="W344" s="4">
        <f>Planet(Panchanga!$G344,4)</f>
        <v>86.853639798374047</v>
      </c>
      <c r="X344" s="4">
        <f>Planet(Panchanga!$G344,2)</f>
        <v>278.93887579480429</v>
      </c>
      <c r="Y344" s="4">
        <f>Planet(Panchanga!$G344,5)</f>
        <v>47.119776375062813</v>
      </c>
      <c r="Z344" s="4">
        <f>Planet(Panchanga!$G344,3)</f>
        <v>331.65732596450044</v>
      </c>
      <c r="AA344" s="4">
        <f>Planet(Panchanga!$G344,6)</f>
        <v>323.00510010325058</v>
      </c>
      <c r="AB344" s="4">
        <f>Planet(Panchanga!$G344,10)</f>
        <v>335.75172489324405</v>
      </c>
      <c r="AC344" s="4" t="str">
        <f>TEXT(Panchanga!$C344+($C345-Panchanga!$C344)/ABS(IF($R345&lt;1,$R345+30,$R345)-Panchanga!$R344)*(ROUNDUP(Panchanga!$R344,0)-Panchanga!$R344),"hh:mm AM/PM")</f>
        <v>04:08 PM</v>
      </c>
      <c r="AD344" s="4"/>
    </row>
    <row r="345" spans="1:30" x14ac:dyDescent="0.2">
      <c r="A345" s="3">
        <f t="shared" si="49"/>
        <v>45688</v>
      </c>
      <c r="B345" s="3">
        <f t="shared" si="44"/>
        <v>45688.229166666664</v>
      </c>
      <c r="C345" s="6">
        <f t="shared" si="45"/>
        <v>45688.276050461143</v>
      </c>
      <c r="D345" s="6">
        <f>sunset(Lat,Long,B345)+TimeZone/24-0.000277777777777778</f>
        <v>45687.755738365042</v>
      </c>
      <c r="E345" s="6">
        <f>PlanetRiseSet(Lat,Long,B345,1,1)+TimeZone/24+0.00103009259259259</f>
        <v>45688.334220956232</v>
      </c>
      <c r="F345" s="6">
        <f>PlanetRiseSet(Lat,Long,B345+1,1,2)+TimeZone/24+0.00103009259259259</f>
        <v>45688.835016401637</v>
      </c>
      <c r="G345" s="17">
        <f>Panchanga!$C345-TimeZone/24</f>
        <v>45688.046883794479</v>
      </c>
      <c r="H345" s="13" t="str">
        <f>INT(P[[#This Row],[Sun]]/30)&amp;"s"&amp;ROUNDUP(MOD(P[[#This Row],[Sun]],30),2)</f>
        <v>9s17.2</v>
      </c>
      <c r="I345" s="13" t="str">
        <f>INT(P[[#This Row],[Moon]]/30)&amp;"s"&amp;ROUNDUP(MOD(P[[#This Row],[Moon]],30),2)</f>
        <v>10s7.13</v>
      </c>
      <c r="J345" s="14">
        <f t="shared" si="48"/>
        <v>45688.046883794479</v>
      </c>
      <c r="K345" s="10" t="str">
        <f>naks(P[[#This Row],[Moon]])</f>
        <v>Satabhisaj</v>
      </c>
      <c r="L345" s="15">
        <f>(C346-P[[#This Row],[SunRise]])/(MOD(360+V346-P[[#This Row],[Moon]],360))*(13.3333333333333-MOD(P[[#This Row],[Moon]],13.333333333333))+P[[#This Row],[SunRise]]</f>
        <v>45689.176505690441</v>
      </c>
      <c r="M345" s="4" t="str">
        <f>IF(Panchanga!$R345&gt;15,"K","S")&amp;ROUNDUP(MOD(Panchanga!$R345,15),0)&amp;" ("&amp;ROUND(Panchanga!$R345,2)&amp;")"</f>
        <v>S2 (1.66)</v>
      </c>
      <c r="N345" s="4">
        <f>IF(AND(Panchanga!$R345&lt;28.5,Panchanga!$R345&gt;0.49999),MOD((Panchanga!$R345-0.5)*2,7),MOD((Panchanga!$R345+30-28.5),30)*2+7)</f>
        <v>2.3222</v>
      </c>
      <c r="O345" s="4" t="str">
        <f>CHOOSE(ROUNDUP(Panchanga!$N345,0),"Bhava","Baalava","Kaulava","Taitula","Garija","Vanija","Vishti","Shakuni","Chatushapda","Naaga","Kimstugna")</f>
        <v>Kaulava</v>
      </c>
      <c r="P345" s="11" t="str">
        <f>CHOOSE(ROUNDUP(Panchanga!$S345,0),"viṣkambha","prīti","āyuṣmāna","saubhāgya","śobhana","atigaṇḍa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("&amp;Panchanga!$S345&amp;")"</f>
        <v>varīyas (17.58)</v>
      </c>
      <c r="Q345" s="4">
        <f>IF(AND(Panchanga!$R345&lt;28.5,Panchanga!$R345&gt;0.49999),MOD((Panchanga!$R345-0.5)*2,7),MOD((Panchanga!$R345+30-28.5),30)*2+7)</f>
        <v>2.3222</v>
      </c>
      <c r="R345" s="4">
        <f>ROUNDUP(MOD(360+P[[#This Row],[Moon]]-P[[#This Row],[Sun]],360)/12,4)</f>
        <v>1.6611</v>
      </c>
      <c r="S345" s="4">
        <f>ROUNDUP(MOD(P[[#This Row],[Sun]]+P[[#This Row],[Moon]],360)/13.333333333,2)</f>
        <v>17.580000000000002</v>
      </c>
      <c r="T345" s="4" t="str">
        <f>SIGN(W346-Panchanga!$W345)*INT(Panchanga!$W345/30+1)&amp;"Ma,"&amp;SIGN(X346-Panchanga!$X345)*INT(Panchanga!$X345/30+1)&amp;"Me,"&amp;SIGN(Y346-Panchanga!$Y345)*INT(Panchanga!$Y345/30+1)&amp;"J, "&amp;SIGN(Z346-Panchanga!$Z345)*INT(Panchanga!$Z345/30+1)&amp;"V,"&amp;SIGN(AA346-Panchanga!$AA345)*INT(Panchanga!$AA345/30+1)&amp;"S,"&amp;INT(Panchanga!$AB345/30+1)&amp;"R"</f>
        <v>-3Ma,10Me,-2J, 12V,11S,12R</v>
      </c>
      <c r="U345" s="4">
        <f t="shared" si="46"/>
        <v>287.19500028098588</v>
      </c>
      <c r="V345" s="4">
        <f t="shared" si="47"/>
        <v>307.12765136838823</v>
      </c>
      <c r="W345" s="4">
        <f>Planet(Panchanga!$G345,4)</f>
        <v>86.542027229213801</v>
      </c>
      <c r="X345" s="4">
        <f>Planet(Panchanga!$G345,2)</f>
        <v>280.58800164817279</v>
      </c>
      <c r="Y345" s="4">
        <f>Planet(Panchanga!$G345,5)</f>
        <v>47.103084218285723</v>
      </c>
      <c r="Z345" s="4">
        <f>Planet(Panchanga!$G345,3)</f>
        <v>332.47250148402514</v>
      </c>
      <c r="AA345" s="4">
        <f>Planet(Panchanga!$G345,6)</f>
        <v>323.11242110431476</v>
      </c>
      <c r="AB345" s="4">
        <f>Planet(Panchanga!$G345,10)</f>
        <v>335.69873775122431</v>
      </c>
      <c r="AC345" s="4" t="str">
        <f>TEXT(Panchanga!$C345+($C346-Panchanga!$C345)/ABS(IF($R346&lt;1,$R346+30,$R346)-Panchanga!$R345)*(ROUNDUP(Panchanga!$R345,0)-Panchanga!$R345),"hh:mm AM/PM")</f>
        <v>01:58 PM</v>
      </c>
      <c r="AD345" s="4"/>
    </row>
    <row r="346" spans="1:30" x14ac:dyDescent="0.2">
      <c r="A346" s="3">
        <f t="shared" si="49"/>
        <v>45689</v>
      </c>
      <c r="B346" s="3">
        <f t="shared" si="44"/>
        <v>45689.229166666664</v>
      </c>
      <c r="C346" s="6">
        <f t="shared" si="45"/>
        <v>45689.275946377464</v>
      </c>
      <c r="D346" s="6">
        <f>sunset(Lat,Long,B346)+TimeZone/24-0.000277777777777778</f>
        <v>45688.7560434435</v>
      </c>
      <c r="E346" s="6">
        <f>PlanetRiseSet(Lat,Long,B346,1,1)+TimeZone/24+0.00103009259259259</f>
        <v>45689.363886576299</v>
      </c>
      <c r="F346" s="6">
        <f>PlanetRiseSet(Lat,Long,B346+1,1,2)+TimeZone/24+0.00103009259259259</f>
        <v>45689.873820164859</v>
      </c>
      <c r="G346" s="17">
        <f>Panchanga!$C346-TimeZone/24</f>
        <v>45689.046779710799</v>
      </c>
      <c r="H346" s="13" t="str">
        <f>INT(P[[#This Row],[Sun]]/30)&amp;"s"&amp;ROUNDUP(MOD(P[[#This Row],[Sun]],30),2)</f>
        <v>9s18.22</v>
      </c>
      <c r="I346" s="13" t="str">
        <f>INT(P[[#This Row],[Moon]]/30)&amp;"s"&amp;ROUNDUP(MOD(P[[#This Row],[Moon]],30),2)</f>
        <v>10s21.43</v>
      </c>
      <c r="J346" s="14">
        <f t="shared" si="48"/>
        <v>45689.046779710799</v>
      </c>
      <c r="K346" s="10" t="str">
        <f>naks(P[[#This Row],[Moon]])</f>
        <v>Purva Bhadrapada</v>
      </c>
      <c r="L346" s="15">
        <f>(C347-P[[#This Row],[SunRise]])/(MOD(360+V347-P[[#This Row],[Moon]],360))*(13.3333333333333-MOD(P[[#This Row],[Moon]],13.333333333333))+P[[#This Row],[SunRise]]</f>
        <v>45690.106314898032</v>
      </c>
      <c r="M346" s="4" t="str">
        <f>IF(Panchanga!$R346&gt;15,"K","S")&amp;ROUNDUP(MOD(Panchanga!$R346,15),0)&amp;" ("&amp;ROUND(Panchanga!$R346,2)&amp;")"</f>
        <v>S3 (2.77)</v>
      </c>
      <c r="N346" s="4">
        <f>IF(AND(Panchanga!$R346&lt;28.5,Panchanga!$R346&gt;0.49999),MOD((Panchanga!$R346-0.5)*2,7),MOD((Panchanga!$R346+30-28.5),30)*2+7)</f>
        <v>4.5352000000000006</v>
      </c>
      <c r="O346" s="4" t="str">
        <f>CHOOSE(ROUNDUP(Panchanga!$N346,0),"Bhava","Baalava","Kaulava","Taitula","Garija","Vanija","Vishti","Shakuni","Chatushapda","Naaga","Kimstugna")</f>
        <v>Garija</v>
      </c>
      <c r="P346" s="11" t="str">
        <f>CHOOSE(ROUNDUP(Panchanga!$S346,0),"viṣkambha","prīti","āyuṣmāna","saubhāgya","śobhana","atigaṇḍa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("&amp;Panchanga!$S346&amp;")"</f>
        <v>parigha (18.73)</v>
      </c>
      <c r="Q346" s="4">
        <f>IF(AND(Panchanga!$R346&lt;28.5,Panchanga!$R346&gt;0.49999),MOD((Panchanga!$R346-0.5)*2,7),MOD((Panchanga!$R346+30-28.5),30)*2+7)</f>
        <v>4.5352000000000006</v>
      </c>
      <c r="R346" s="4">
        <f>ROUNDUP(MOD(360+P[[#This Row],[Moon]]-P[[#This Row],[Sun]],360)/12,4)</f>
        <v>2.7676000000000003</v>
      </c>
      <c r="S346" s="4">
        <f>ROUNDUP(MOD(P[[#This Row],[Sun]]+P[[#This Row],[Moon]],360)/13.333333333,2)</f>
        <v>18.73</v>
      </c>
      <c r="T346" s="4" t="str">
        <f>SIGN(W347-Panchanga!$W346)*INT(Panchanga!$W346/30+1)&amp;"Ma,"&amp;SIGN(X347-Panchanga!$X346)*INT(Panchanga!$X346/30+1)&amp;"Me,"&amp;SIGN(Y347-Panchanga!$Y346)*INT(Panchanga!$Y346/30+1)&amp;"J, "&amp;SIGN(Z347-Panchanga!$Z346)*INT(Panchanga!$Z346/30+1)&amp;"V,"&amp;SIGN(AA347-Panchanga!$AA346)*INT(Panchanga!$AA346/30+1)&amp;"S,"&amp;INT(Panchanga!$AB346/30+1)&amp;"R"</f>
        <v>-3Ma,10Me,-2J, 12V,11S,12R</v>
      </c>
      <c r="U346" s="4">
        <f t="shared" si="46"/>
        <v>288.2103748330216</v>
      </c>
      <c r="V346" s="4">
        <f t="shared" si="47"/>
        <v>321.42154229309222</v>
      </c>
      <c r="W346" s="4">
        <f>Planet(Panchanga!$G346,4)</f>
        <v>86.241232982331894</v>
      </c>
      <c r="X346" s="4">
        <f>Planet(Panchanga!$G346,2)</f>
        <v>282.24860799026362</v>
      </c>
      <c r="Y346" s="4">
        <f>Planet(Panchanga!$G346,5)</f>
        <v>47.08982463337491</v>
      </c>
      <c r="Z346" s="4">
        <f>Planet(Panchanga!$G346,3)</f>
        <v>333.27305125087173</v>
      </c>
      <c r="AA346" s="4">
        <f>Planet(Panchanga!$G346,6)</f>
        <v>323.22052773503532</v>
      </c>
      <c r="AB346" s="4">
        <f>Planet(Panchanga!$G346,10)</f>
        <v>335.64575128019379</v>
      </c>
      <c r="AC346" s="4" t="str">
        <f>TEXT(Panchanga!$C346+($C347-Panchanga!$C346)/ABS(IF($R347&lt;1,$R347+30,$R347)-Panchanga!$R346)*(ROUNDUP(Panchanga!$R346,0)-Panchanga!$R346),"hh:mm AM/PM")</f>
        <v>11:38 AM</v>
      </c>
      <c r="AD346" s="4"/>
    </row>
    <row r="347" spans="1:30" x14ac:dyDescent="0.2">
      <c r="A347" s="3">
        <f t="shared" si="49"/>
        <v>45690</v>
      </c>
      <c r="B347" s="3">
        <f t="shared" si="44"/>
        <v>45690.229166666664</v>
      </c>
      <c r="C347" s="6">
        <f t="shared" si="45"/>
        <v>45690.275829684608</v>
      </c>
      <c r="D347" s="6">
        <f>sunset(Lat,Long,B347)+TimeZone/24-0.000277777777777778</f>
        <v>45689.756341997578</v>
      </c>
      <c r="E347" s="6">
        <f>PlanetRiseSet(Lat,Long,B347,1,1)+TimeZone/24+0.00103009259259259</f>
        <v>45690.392611429248</v>
      </c>
      <c r="F347" s="6">
        <f>PlanetRiseSet(Lat,Long,B347+1,1,2)+TimeZone/24+0.00103009259259259</f>
        <v>45690.912266976353</v>
      </c>
      <c r="G347" s="17">
        <f>Panchanga!$C347-TimeZone/24</f>
        <v>45690.046663017944</v>
      </c>
      <c r="H347" s="13" t="str">
        <f>INT(P[[#This Row],[Sun]]/30)&amp;"s"&amp;ROUNDUP(MOD(P[[#This Row],[Sun]],30),2)</f>
        <v>9s19.23</v>
      </c>
      <c r="I347" s="13" t="str">
        <f>INT(P[[#This Row],[Moon]]/30)&amp;"s"&amp;ROUNDUP(MOD(P[[#This Row],[Moon]],30),2)</f>
        <v>11s5.77</v>
      </c>
      <c r="J347" s="14">
        <f t="shared" si="48"/>
        <v>45690.046663017944</v>
      </c>
      <c r="K347" s="10" t="str">
        <f>naks(P[[#This Row],[Moon]])</f>
        <v>Uttara Bhadrapada</v>
      </c>
      <c r="L347" s="15">
        <f>(C348-P[[#This Row],[SunRise]])/(MOD(360+V348-P[[#This Row],[Moon]],360))*(13.3333333333333-MOD(P[[#This Row],[Moon]],13.333333333333))+P[[#This Row],[SunRise]]</f>
        <v>45691.036738645351</v>
      </c>
      <c r="M347" s="4" t="str">
        <f>IF(Panchanga!$R347&gt;15,"K","S")&amp;ROUNDUP(MOD(Panchanga!$R347,15),0)&amp;" ("&amp;ROUND(Panchanga!$R347,2)&amp;")"</f>
        <v>S4 (3.88)</v>
      </c>
      <c r="N347" s="4">
        <f>IF(AND(Panchanga!$R347&lt;28.5,Panchanga!$R347&gt;0.49999),MOD((Panchanga!$R347-0.5)*2,7),MOD((Panchanga!$R347+30-28.5),30)*2+7)</f>
        <v>6.7568000000000001</v>
      </c>
      <c r="O347" s="4" t="str">
        <f>CHOOSE(ROUNDUP(Panchanga!$N347,0),"Bhava","Baalava","Kaulava","Taitula","Garija","Vanija","Vishti","Shakuni","Chatushapda","Naaga","Kimstugna")</f>
        <v>Vishti</v>
      </c>
      <c r="P347" s="11" t="str">
        <f>CHOOSE(ROUNDUP(Panchanga!$S347,0),"viṣkambha","prīti","āyuṣmāna","saubhāgya","śobhana","atigaṇḍa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("&amp;Panchanga!$S347&amp;")"</f>
        <v>śiva (19.88)</v>
      </c>
      <c r="Q347" s="4">
        <f>IF(AND(Panchanga!$R347&lt;28.5,Panchanga!$R347&gt;0.49999),MOD((Panchanga!$R347-0.5)*2,7),MOD((Panchanga!$R347+30-28.5),30)*2+7)</f>
        <v>6.7568000000000001</v>
      </c>
      <c r="R347" s="4">
        <f>ROUNDUP(MOD(360+P[[#This Row],[Moon]]-P[[#This Row],[Sun]],360)/12,4)</f>
        <v>3.8784000000000001</v>
      </c>
      <c r="S347" s="4">
        <f>ROUNDUP(MOD(P[[#This Row],[Sun]]+P[[#This Row],[Moon]],360)/13.333333333,2)</f>
        <v>19.880000000000003</v>
      </c>
      <c r="T347" s="4" t="str">
        <f>SIGN(W348-Panchanga!$W347)*INT(Panchanga!$W347/30+1)&amp;"Ma,"&amp;SIGN(X348-Panchanga!$X347)*INT(Panchanga!$X347/30+1)&amp;"Me,"&amp;SIGN(Y348-Panchanga!$Y347)*INT(Panchanga!$Y347/30+1)&amp;"J, "&amp;SIGN(Z348-Panchanga!$Z347)*INT(Panchanga!$Z347/30+1)&amp;"V,"&amp;SIGN(AA348-Panchanga!$AA347)*INT(Panchanga!$AA347/30+1)&amp;"S,"&amp;INT(Panchanga!$AB347/30+1)&amp;"R"</f>
        <v>-3Ma,10Me,-2J, 12V,11S,12R</v>
      </c>
      <c r="U347" s="4">
        <f t="shared" si="46"/>
        <v>289.22539912433382</v>
      </c>
      <c r="V347" s="4">
        <f t="shared" si="47"/>
        <v>335.76505450998098</v>
      </c>
      <c r="W347" s="4">
        <f>Planet(Panchanga!$G347,4)</f>
        <v>85.951687318346202</v>
      </c>
      <c r="X347" s="4">
        <f>Planet(Panchanga!$G347,2)</f>
        <v>283.92092568404786</v>
      </c>
      <c r="Y347" s="4">
        <f>Planet(Panchanga!$G347,5)</f>
        <v>47.079999431949211</v>
      </c>
      <c r="Z347" s="4">
        <f>Planet(Panchanga!$G347,3)</f>
        <v>334.0583594530068</v>
      </c>
      <c r="AA347" s="4">
        <f>Planet(Panchanga!$G347,6)</f>
        <v>323.32939807451646</v>
      </c>
      <c r="AB347" s="4">
        <f>Planet(Panchanga!$G347,10)</f>
        <v>335.59276547736886</v>
      </c>
      <c r="AC347" s="4" t="str">
        <f>TEXT(Panchanga!$C347+($C348-Panchanga!$C347)/ABS(IF($R348&lt;1,$R348+30,$R348)-Panchanga!$R347)*(ROUNDUP(Panchanga!$R347,0)-Panchanga!$R347),"hh:mm AM/PM")</f>
        <v>09:15 AM</v>
      </c>
      <c r="AD347" s="4"/>
    </row>
    <row r="348" spans="1:30" x14ac:dyDescent="0.2">
      <c r="A348" s="3">
        <f t="shared" si="49"/>
        <v>45691</v>
      </c>
      <c r="B348" s="3">
        <f t="shared" si="44"/>
        <v>45691.229166666664</v>
      </c>
      <c r="C348" s="6">
        <f t="shared" si="45"/>
        <v>45691.275700455684</v>
      </c>
      <c r="D348" s="6">
        <f>sunset(Lat,Long,B348)+TimeZone/24-0.000277777777777778</f>
        <v>45690.75663388618</v>
      </c>
      <c r="E348" s="6">
        <f>PlanetRiseSet(Lat,Long,B348,1,1)+TimeZone/24+0.00103009259259259</f>
        <v>45691.421429458693</v>
      </c>
      <c r="F348" s="6">
        <f>PlanetRiseSet(Lat,Long,B348+1,1,2)+TimeZone/24+0.00103009259259259</f>
        <v>45691.951174603462</v>
      </c>
      <c r="G348" s="17">
        <f>Panchanga!$C348-TimeZone/24</f>
        <v>45691.04653378902</v>
      </c>
      <c r="H348" s="13" t="str">
        <f>INT(P[[#This Row],[Sun]]/30)&amp;"s"&amp;ROUNDUP(MOD(P[[#This Row],[Sun]],30),2)</f>
        <v>9s20.25</v>
      </c>
      <c r="I348" s="13" t="str">
        <f>INT(P[[#This Row],[Moon]]/30)&amp;"s"&amp;ROUNDUP(MOD(P[[#This Row],[Moon]],30),2)</f>
        <v>11s20.1</v>
      </c>
      <c r="J348" s="14">
        <f t="shared" si="48"/>
        <v>45691.04653378902</v>
      </c>
      <c r="K348" s="10" t="str">
        <f>naks(P[[#This Row],[Moon]])</f>
        <v>Revati</v>
      </c>
      <c r="L348" s="15">
        <f>(C349-P[[#This Row],[SunRise]])/(MOD(360+V349-P[[#This Row],[Moon]],360))*(13.3333333333333-MOD(P[[#This Row],[Moon]],13.333333333333))+P[[#This Row],[SunRise]]</f>
        <v>45691.970723383565</v>
      </c>
      <c r="M348" s="4" t="str">
        <f>IF(Panchanga!$R348&gt;15,"K","S")&amp;ROUNDUP(MOD(Panchanga!$R348,15),0)&amp;" ("&amp;ROUND(Panchanga!$R348,2)&amp;")"</f>
        <v>S5 (4.99)</v>
      </c>
      <c r="N348" s="4">
        <f>IF(AND(Panchanga!$R348&lt;28.5,Panchanga!$R348&gt;0.49999),MOD((Panchanga!$R348-0.5)*2,7),MOD((Panchanga!$R348+30-28.5),30)*2+7)</f>
        <v>1.9751999999999992</v>
      </c>
      <c r="O348" s="4" t="str">
        <f>CHOOSE(ROUNDUP(Panchanga!$N348,0),"Bhava","Baalava","Kaulava","Taitula","Garija","Vanija","Vishti","Shakuni","Chatushapda","Naaga","Kimstugna")</f>
        <v>Baalava</v>
      </c>
      <c r="P348" s="11" t="str">
        <f>CHOOSE(ROUNDUP(Panchanga!$S348,0),"viṣkambha","prīti","āyuṣmāna","saubhāgya","śobhana","atigaṇḍa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("&amp;Panchanga!$S348&amp;")"</f>
        <v>sādhya (21.03)</v>
      </c>
      <c r="Q348" s="4">
        <f>IF(AND(Panchanga!$R348&lt;28.5,Panchanga!$R348&gt;0.49999),MOD((Panchanga!$R348-0.5)*2,7),MOD((Panchanga!$R348+30-28.5),30)*2+7)</f>
        <v>1.9751999999999992</v>
      </c>
      <c r="R348" s="4">
        <f>ROUNDUP(MOD(360+P[[#This Row],[Moon]]-P[[#This Row],[Sun]],360)/12,4)</f>
        <v>4.9875999999999996</v>
      </c>
      <c r="S348" s="4">
        <f>ROUNDUP(MOD(P[[#This Row],[Sun]]+P[[#This Row],[Moon]],360)/13.333333333,2)</f>
        <v>21.03</v>
      </c>
      <c r="T348" s="4" t="str">
        <f>SIGN(W349-Panchanga!$W348)*INT(Panchanga!$W348/30+1)&amp;"Ma,"&amp;SIGN(X349-Panchanga!$X348)*INT(Panchanga!$X348/30+1)&amp;"Me,"&amp;SIGN(Y349-Panchanga!$Y348)*INT(Panchanga!$Y348/30+1)&amp;"J, "&amp;SIGN(Z349-Panchanga!$Z348)*INT(Panchanga!$Z348/30+1)&amp;"V,"&amp;SIGN(AA349-Panchanga!$AA348)*INT(Panchanga!$AA348/30+1)&amp;"S,"&amp;INT(Panchanga!$AB348/30+1)&amp;"R"</f>
        <v>-3Ma,10Me,-2J, 12V,11S,12R</v>
      </c>
      <c r="U348" s="4">
        <f t="shared" si="46"/>
        <v>290.24004776997629</v>
      </c>
      <c r="V348" s="4">
        <f t="shared" si="47"/>
        <v>350.09029434210646</v>
      </c>
      <c r="W348" s="4">
        <f>Planet(Panchanga!$G348,4)</f>
        <v>85.673775000160518</v>
      </c>
      <c r="X348" s="4">
        <f>Planet(Panchanga!$G348,2)</f>
        <v>285.60517696324746</v>
      </c>
      <c r="Y348" s="4">
        <f>Planet(Panchanga!$G348,5)</f>
        <v>47.073607099491227</v>
      </c>
      <c r="Z348" s="4">
        <f>Planet(Panchanga!$G348,3)</f>
        <v>334.82778001542351</v>
      </c>
      <c r="AA348" s="4">
        <f>Planet(Panchanga!$G348,6)</f>
        <v>323.43901011274346</v>
      </c>
      <c r="AB348" s="4">
        <f>Planet(Panchanga!$G348,10)</f>
        <v>335.53978033880617</v>
      </c>
      <c r="AC348" s="4" t="str">
        <f>TEXT(Panchanga!$C348+($C349-Panchanga!$C348)/ABS(IF($R349&lt;1,$R349+30,$R349)-Panchanga!$R348)*(ROUNDUP(Panchanga!$R348,0)-Panchanga!$R348),"hh:mm AM/PM")</f>
        <v>06:53 AM</v>
      </c>
      <c r="AD348" s="4"/>
    </row>
    <row r="349" spans="1:30" x14ac:dyDescent="0.2">
      <c r="A349" s="3">
        <f t="shared" si="49"/>
        <v>45692</v>
      </c>
      <c r="B349" s="3">
        <f t="shared" si="44"/>
        <v>45692.229166666664</v>
      </c>
      <c r="C349" s="6">
        <f t="shared" si="45"/>
        <v>45692.275558787551</v>
      </c>
      <c r="D349" s="6">
        <f>sunset(Lat,Long,B349)+TimeZone/24-0.000277777777777778</f>
        <v>45691.756918991494</v>
      </c>
      <c r="E349" s="6">
        <f>PlanetRiseSet(Lat,Long,B349,1,1)+TimeZone/24+0.00103009259259259</f>
        <v>45692.451400604717</v>
      </c>
      <c r="F349" s="6">
        <f>PlanetRiseSet(Lat,Long,B349+1,1,2)+TimeZone/24+0.00103009259259259</f>
        <v>45692.991270408187</v>
      </c>
      <c r="G349" s="17">
        <f>Panchanga!$C349-TimeZone/24</f>
        <v>45692.046392120887</v>
      </c>
      <c r="H349" s="13" t="str">
        <f>INT(P[[#This Row],[Sun]]/30)&amp;"s"&amp;ROUNDUP(MOD(P[[#This Row],[Sun]],30),2)</f>
        <v>9s21.26</v>
      </c>
      <c r="I349" s="13" t="str">
        <f>INT(P[[#This Row],[Moon]]/30)&amp;"s"&amp;ROUNDUP(MOD(P[[#This Row],[Moon]],30),2)</f>
        <v>0s4.35</v>
      </c>
      <c r="J349" s="14">
        <f t="shared" si="48"/>
        <v>45692.046392120887</v>
      </c>
      <c r="K349" s="10" t="str">
        <f>naks(P[[#This Row],[Moon]])</f>
        <v>Aswini</v>
      </c>
      <c r="L349" s="15">
        <f>(C350-P[[#This Row],[SunRise]])/(MOD(360+V350-P[[#This Row],[Moon]],360))*(13.3333333333333-MOD(P[[#This Row],[Moon]],13.333333333333))+P[[#This Row],[SunRise]]</f>
        <v>45692.910471954281</v>
      </c>
      <c r="M349" s="4" t="str">
        <f>IF(Panchanga!$R349&gt;15,"K","S")&amp;ROUNDUP(MOD(Panchanga!$R349,15),0)&amp;" ("&amp;ROUND(Panchanga!$R349,2)&amp;")"</f>
        <v>S7 (6.09)</v>
      </c>
      <c r="N349" s="4">
        <f>IF(AND(Panchanga!$R349&lt;28.5,Panchanga!$R349&gt;0.49999),MOD((Panchanga!$R349-0.5)*2,7),MOD((Panchanga!$R349+30-28.5),30)*2+7)</f>
        <v>4.1821999999999999</v>
      </c>
      <c r="O349" s="4" t="str">
        <f>CHOOSE(ROUNDUP(Panchanga!$N349,0),"Bhava","Baalava","Kaulava","Taitula","Garija","Vanija","Vishti","Shakuni","Chatushapda","Naaga","Kimstugna")</f>
        <v>Garija</v>
      </c>
      <c r="P349" s="11" t="str">
        <f>CHOOSE(ROUNDUP(Panchanga!$S349,0),"viṣkambha","prīti","āyuṣmāna","saubhāgya","śobhana","atigaṇḍa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("&amp;Panchanga!$S349&amp;")"</f>
        <v>śubha (22.18)</v>
      </c>
      <c r="Q349" s="4">
        <f>IF(AND(Panchanga!$R349&lt;28.5,Panchanga!$R349&gt;0.49999),MOD((Panchanga!$R349-0.5)*2,7),MOD((Panchanga!$R349+30-28.5),30)*2+7)</f>
        <v>4.1821999999999999</v>
      </c>
      <c r="R349" s="4">
        <f>ROUNDUP(MOD(360+P[[#This Row],[Moon]]-P[[#This Row],[Sun]],360)/12,4)</f>
        <v>6.0911</v>
      </c>
      <c r="S349" s="4">
        <f>ROUNDUP(MOD(P[[#This Row],[Sun]]+P[[#This Row],[Moon]],360)/13.333333333,2)</f>
        <v>22.180000000000003</v>
      </c>
      <c r="T349" s="4" t="str">
        <f>SIGN(W350-Panchanga!$W349)*INT(Panchanga!$W349/30+1)&amp;"Ma,"&amp;SIGN(X350-Panchanga!$X349)*INT(Panchanga!$X349/30+1)&amp;"Me,"&amp;SIGN(Y350-Panchanga!$Y349)*INT(Panchanga!$Y349/30+1)&amp;"J, "&amp;SIGN(Z350-Panchanga!$Z349)*INT(Panchanga!$Z349/30+1)&amp;"V,"&amp;SIGN(AA350-Panchanga!$AA349)*INT(Panchanga!$AA349/30+1)&amp;"S,"&amp;INT(Panchanga!$AB349/30+1)&amp;"R"</f>
        <v>-3Ma,10Me,2J, 12V,11S,12R</v>
      </c>
      <c r="U349" s="4">
        <f t="shared" si="46"/>
        <v>291.25429946802757</v>
      </c>
      <c r="V349" s="4">
        <f t="shared" si="47"/>
        <v>4.3463733446041681</v>
      </c>
      <c r="W349" s="4">
        <f>Planet(Panchanga!$G349,4)</f>
        <v>85.407834073754472</v>
      </c>
      <c r="X349" s="4">
        <f>Planet(Panchanga!$G349,2)</f>
        <v>287.3015700886059</v>
      </c>
      <c r="Y349" s="4">
        <f>Planet(Panchanga!$G349,5)</f>
        <v>47.070642936100249</v>
      </c>
      <c r="Z349" s="4">
        <f>Planet(Panchanga!$G349,3)</f>
        <v>335.58063884859371</v>
      </c>
      <c r="AA349" s="4">
        <f>Planet(Panchanga!$G349,6)</f>
        <v>323.5493419603132</v>
      </c>
      <c r="AB349" s="4">
        <f>Planet(Panchanga!$G349,10)</f>
        <v>335.48679585945229</v>
      </c>
      <c r="AC349" s="4" t="str">
        <f>TEXT(Panchanga!$C349+($C350-Panchanga!$C349)/ABS(IF($R350&lt;1,$R350+30,$R350)-Panchanga!$R349)*(ROUNDUP(Panchanga!$R349,0)-Panchanga!$R349),"hh:mm AM/PM")</f>
        <v>02:32 AM</v>
      </c>
      <c r="AD349" s="4"/>
    </row>
    <row r="350" spans="1:30" x14ac:dyDescent="0.2">
      <c r="A350" s="3">
        <f t="shared" si="49"/>
        <v>45693</v>
      </c>
      <c r="B350" s="3">
        <f t="shared" si="44"/>
        <v>45693.229166666664</v>
      </c>
      <c r="C350" s="6">
        <f t="shared" si="45"/>
        <v>45693.275404801279</v>
      </c>
      <c r="D350" s="6">
        <f>sunset(Lat,Long,B350)+TimeZone/24-0.000277777777777778</f>
        <v>45692.757197221785</v>
      </c>
      <c r="E350" s="6">
        <f>PlanetRiseSet(Lat,Long,B350,1,1)+TimeZone/24+0.00103009259259259</f>
        <v>45693.483522753384</v>
      </c>
      <c r="F350" s="6">
        <f>PlanetRiseSet(Lat,Long,B350+1,1,2)+TimeZone/24+0.00103009259259259</f>
        <v>45694.03292934053</v>
      </c>
      <c r="G350" s="17">
        <f>Panchanga!$C350-TimeZone/24</f>
        <v>45693.046238134615</v>
      </c>
      <c r="H350" s="13" t="str">
        <f>INT(P[[#This Row],[Sun]]/30)&amp;"s"&amp;ROUNDUP(MOD(P[[#This Row],[Sun]],30),2)</f>
        <v>9s22.27</v>
      </c>
      <c r="I350" s="13" t="str">
        <f>INT(P[[#This Row],[Moon]]/30)&amp;"s"&amp;ROUNDUP(MOD(P[[#This Row],[Moon]],30),2)</f>
        <v>0s18.5</v>
      </c>
      <c r="J350" s="14">
        <f t="shared" si="48"/>
        <v>45693.046238134615</v>
      </c>
      <c r="K350" s="10" t="str">
        <f>naks(P[[#This Row],[Moon]])</f>
        <v>Bharani</v>
      </c>
      <c r="L350" s="15">
        <f>(C351-P[[#This Row],[SunRise]])/(MOD(360+V351-P[[#This Row],[Moon]],360))*(13.3333333333333-MOD(P[[#This Row],[Moon]],13.333333333333))+P[[#This Row],[SunRise]]</f>
        <v>45693.857625744742</v>
      </c>
      <c r="M350" s="4" t="str">
        <f>IF(Panchanga!$R350&gt;15,"K","S")&amp;ROUNDUP(MOD(Panchanga!$R350,15),0)&amp;" ("&amp;ROUND(Panchanga!$R350,2)&amp;")"</f>
        <v>S8 (7.19)</v>
      </c>
      <c r="N350" s="4">
        <f>IF(AND(Panchanga!$R350&lt;28.5,Panchanga!$R350&gt;0.49999),MOD((Panchanga!$R350-0.5)*2,7),MOD((Panchanga!$R350+30-28.5),30)*2+7)</f>
        <v>6.3718000000000004</v>
      </c>
      <c r="O350" s="4" t="str">
        <f>CHOOSE(ROUNDUP(Panchanga!$N350,0),"Bhava","Baalava","Kaulava","Taitula","Garija","Vanija","Vishti","Shakuni","Chatushapda","Naaga","Kimstugna")</f>
        <v>Vishti</v>
      </c>
      <c r="P350" s="11" t="str">
        <f>CHOOSE(ROUNDUP(Panchanga!$S350,0),"viṣkambha","prīti","āyuṣmāna","saubhāgya","śobhana","atigaṇḍa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("&amp;Panchanga!$S350&amp;")"</f>
        <v>śukla (23.31)</v>
      </c>
      <c r="Q350" s="4">
        <f>IF(AND(Panchanga!$R350&lt;28.5,Panchanga!$R350&gt;0.49999),MOD((Panchanga!$R350-0.5)*2,7),MOD((Panchanga!$R350+30-28.5),30)*2+7)</f>
        <v>6.3718000000000004</v>
      </c>
      <c r="R350" s="4">
        <f>ROUNDUP(MOD(360+P[[#This Row],[Moon]]-P[[#This Row],[Sun]],360)/12,4)</f>
        <v>7.1859000000000002</v>
      </c>
      <c r="S350" s="4">
        <f>ROUNDUP(MOD(P[[#This Row],[Sun]]+P[[#This Row],[Moon]],360)/13.333333333,2)</f>
        <v>23.310000000000002</v>
      </c>
      <c r="T350" s="4" t="str">
        <f>SIGN(W351-Panchanga!$W350)*INT(Panchanga!$W350/30+1)&amp;"Ma,"&amp;SIGN(X351-Panchanga!$X350)*INT(Panchanga!$X350/30+1)&amp;"Me,"&amp;SIGN(Y351-Panchanga!$Y350)*INT(Panchanga!$Y350/30+1)&amp;"J, "&amp;SIGN(Z351-Panchanga!$Z350)*INT(Panchanga!$Z350/30+1)&amp;"V,"&amp;SIGN(AA351-Panchanga!$AA350)*INT(Panchanga!$AA350/30+1)&amp;"S,"&amp;INT(Panchanga!$AB350/30+1)&amp;"R"</f>
        <v>-3Ma,10Me,2J, 12V,11S,12R</v>
      </c>
      <c r="U350" s="4">
        <f t="shared" si="46"/>
        <v>292.26813789393555</v>
      </c>
      <c r="V350" s="4">
        <f t="shared" si="47"/>
        <v>18.49882220080843</v>
      </c>
      <c r="W350" s="4">
        <f>Planet(Panchanga!$G350,4)</f>
        <v>85.15415621412491</v>
      </c>
      <c r="X350" s="4">
        <f>Planet(Panchanga!$G350,2)</f>
        <v>289.01029270198728</v>
      </c>
      <c r="Y350" s="4">
        <f>Planet(Panchanga!$G350,5)</f>
        <v>47.071099370885008</v>
      </c>
      <c r="Z350" s="4">
        <f>Planet(Panchanga!$G350,3)</f>
        <v>336.31623635770353</v>
      </c>
      <c r="AA350" s="4">
        <f>Planet(Panchanga!$G350,6)</f>
        <v>323.66037203938822</v>
      </c>
      <c r="AB350" s="4">
        <f>Planet(Panchanga!$G350,10)</f>
        <v>335.43381203284537</v>
      </c>
      <c r="AC350" s="4" t="str">
        <f>TEXT(Panchanga!$C350+($C351-Panchanga!$C350)/ABS(IF($R351&lt;1,$R351+30,$R351)-Panchanga!$R350)*(ROUNDUP(Panchanga!$R350,0)-Panchanga!$R350),"hh:mm AM/PM")</f>
        <v>12:37 AM</v>
      </c>
      <c r="AD350" s="4"/>
    </row>
    <row r="351" spans="1:30" x14ac:dyDescent="0.2">
      <c r="A351" s="3">
        <f t="shared" si="49"/>
        <v>45694</v>
      </c>
      <c r="B351" s="3">
        <f t="shared" si="44"/>
        <v>45694.229166666664</v>
      </c>
      <c r="C351" s="6">
        <f t="shared" si="45"/>
        <v>45694.275238639362</v>
      </c>
      <c r="D351" s="6">
        <f>sunset(Lat,Long,B351)+TimeZone/24-0.000277777777777778</f>
        <v>45693.757468511394</v>
      </c>
      <c r="E351" s="6">
        <f>PlanetRiseSet(Lat,Long,B351,1,1)+TimeZone/24+0.00103009259259259</f>
        <v>45693.483522783186</v>
      </c>
      <c r="F351" s="6">
        <f>PlanetRiseSet(Lat,Long,B351+1,1,2)+TimeZone/24+0.00103009259259259</f>
        <v>45695.075880109485</v>
      </c>
      <c r="G351" s="17">
        <f>Panchanga!$C351-TimeZone/24</f>
        <v>45694.046071972698</v>
      </c>
      <c r="H351" s="13" t="str">
        <f>INT(P[[#This Row],[Sun]]/30)&amp;"s"&amp;ROUNDUP(MOD(P[[#This Row],[Sun]],30),2)</f>
        <v>9s23.29</v>
      </c>
      <c r="I351" s="13" t="str">
        <f>INT(P[[#This Row],[Moon]]/30)&amp;"s"&amp;ROUNDUP(MOD(P[[#This Row],[Moon]],30),2)</f>
        <v>1s2.53</v>
      </c>
      <c r="J351" s="14">
        <f t="shared" si="48"/>
        <v>45694.046071972698</v>
      </c>
      <c r="K351" s="10" t="str">
        <f>naks(P[[#This Row],[Moon]])</f>
        <v>Krittika</v>
      </c>
      <c r="L351" s="15">
        <f>(C352-P[[#This Row],[SunRise]])/(MOD(360+V352-P[[#This Row],[Moon]],360))*(13.3333333333333-MOD(P[[#This Row],[Moon]],13.333333333333))+P[[#This Row],[SunRise]]</f>
        <v>45694.813501746969</v>
      </c>
      <c r="M351" s="4" t="str">
        <f>IF(Panchanga!$R351&gt;15,"K","S")&amp;ROUNDUP(MOD(Panchanga!$R351,15),0)&amp;" ("&amp;ROUND(Panchanga!$R351,2)&amp;")"</f>
        <v>S9 (8.27)</v>
      </c>
      <c r="N351" s="4">
        <f>IF(AND(Panchanga!$R351&lt;28.5,Panchanga!$R351&gt;0.49999),MOD((Panchanga!$R351-0.5)*2,7),MOD((Panchanga!$R351+30-28.5),30)*2+7)</f>
        <v>1.5408000000000008</v>
      </c>
      <c r="O351" s="4" t="str">
        <f>CHOOSE(ROUNDUP(Panchanga!$N351,0),"Bhava","Baalava","Kaulava","Taitula","Garija","Vanija","Vishti","Shakuni","Chatushapda","Naaga","Kimstugna")</f>
        <v>Baalava</v>
      </c>
      <c r="P351" s="11" t="str">
        <f>CHOOSE(ROUNDUP(Panchanga!$S351,0),"viṣkambha","prīti","āyuṣmāna","saubhāgya","śobhana","atigaṇḍa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("&amp;Panchanga!$S351&amp;")"</f>
        <v>brahma (24.44)</v>
      </c>
      <c r="Q351" s="4">
        <f>IF(AND(Panchanga!$R351&lt;28.5,Panchanga!$R351&gt;0.49999),MOD((Panchanga!$R351-0.5)*2,7),MOD((Panchanga!$R351+30-28.5),30)*2+7)</f>
        <v>1.5408000000000008</v>
      </c>
      <c r="R351" s="4">
        <f>ROUNDUP(MOD(360+P[[#This Row],[Moon]]-P[[#This Row],[Sun]],360)/12,4)</f>
        <v>8.2704000000000004</v>
      </c>
      <c r="S351" s="4">
        <f>ROUNDUP(MOD(P[[#This Row],[Sun]]+P[[#This Row],[Moon]],360)/13.333333333,2)</f>
        <v>24.44</v>
      </c>
      <c r="T351" s="4" t="str">
        <f>SIGN(W352-Panchanga!$W351)*INT(Panchanga!$W351/30+1)&amp;"Ma,"&amp;SIGN(X352-Panchanga!$X351)*INT(Panchanga!$X351/30+1)&amp;"Me,"&amp;SIGN(Y352-Panchanga!$Y351)*INT(Panchanga!$Y351/30+1)&amp;"J, "&amp;SIGN(Z352-Panchanga!$Z351)*INT(Panchanga!$Z351/30+1)&amp;"V,"&amp;SIGN(AA352-Panchanga!$AA351)*INT(Panchanga!$AA351/30+1)&amp;"S,"&amp;INT(Panchanga!$AB351/30+1)&amp;"R"</f>
        <v>-3Ma,10Me,2J, 12V,11S,12R</v>
      </c>
      <c r="U351" s="4">
        <f t="shared" si="46"/>
        <v>293.28155197780904</v>
      </c>
      <c r="V351" s="4">
        <f t="shared" si="47"/>
        <v>32.525262460010573</v>
      </c>
      <c r="W351" s="4">
        <f>Planet(Panchanga!$G351,4)</f>
        <v>84.912988528231992</v>
      </c>
      <c r="X351" s="4">
        <f>Planet(Panchanga!$G351,2)</f>
        <v>290.73150365725149</v>
      </c>
      <c r="Y351" s="4">
        <f>Planet(Panchanga!$G351,5)</f>
        <v>47.074966388234039</v>
      </c>
      <c r="Z351" s="4">
        <f>Planet(Panchanga!$G351,3)</f>
        <v>337.03384961683355</v>
      </c>
      <c r="AA351" s="4">
        <f>Planet(Panchanga!$G351,6)</f>
        <v>323.77207922057232</v>
      </c>
      <c r="AB351" s="4">
        <f>Planet(Panchanga!$G351,10)</f>
        <v>335.38082885149618</v>
      </c>
      <c r="AC351" s="4" t="str">
        <f>TEXT(Panchanga!$C351+($C352-Panchanga!$C351)/ABS(IF($R352&lt;1,$R352+30,$R352)-Panchanga!$R351)*(ROUNDUP(Panchanga!$R351,0)-Panchanga!$R351),"hh:mm AM/PM")</f>
        <v>10:55 PM</v>
      </c>
      <c r="AD351" s="4"/>
    </row>
    <row r="352" spans="1:30" x14ac:dyDescent="0.2">
      <c r="A352" s="3">
        <f t="shared" si="49"/>
        <v>45695</v>
      </c>
      <c r="B352" s="3">
        <f t="shared" si="44"/>
        <v>45695.229166666664</v>
      </c>
      <c r="C352" s="6">
        <f t="shared" si="45"/>
        <v>45695.275060466178</v>
      </c>
      <c r="D352" s="6">
        <f>sunset(Lat,Long,B352)+TimeZone/24-0.000277777777777778</f>
        <v>45694.757732820275</v>
      </c>
      <c r="E352" s="6">
        <f>PlanetRiseSet(Lat,Long,B352,1,1)+TimeZone/24+0.00103009259259259</f>
        <v>45694.518560372446</v>
      </c>
      <c r="F352" s="6">
        <f>PlanetRiseSet(Lat,Long,B352+1,1,2)+TimeZone/24+0.00103009259259259</f>
        <v>45696.119041358739</v>
      </c>
      <c r="G352" s="17">
        <f>Panchanga!$C352-TimeZone/24</f>
        <v>45695.045893799514</v>
      </c>
      <c r="H352" s="13" t="str">
        <f>INT(P[[#This Row],[Sun]]/30)&amp;"s"&amp;ROUNDUP(MOD(P[[#This Row],[Sun]],30),2)</f>
        <v>9s24.3</v>
      </c>
      <c r="I352" s="13" t="str">
        <f>INT(P[[#This Row],[Moon]]/30)&amp;"s"&amp;ROUNDUP(MOD(P[[#This Row],[Moon]],30),2)</f>
        <v>1s16.41</v>
      </c>
      <c r="J352" s="14">
        <f t="shared" si="48"/>
        <v>45695.045893799514</v>
      </c>
      <c r="K352" s="10" t="str">
        <f>naks(P[[#This Row],[Moon]])</f>
        <v>Rohini</v>
      </c>
      <c r="L352" s="15">
        <f>(C353-P[[#This Row],[SunRise]])/(MOD(360+V353-P[[#This Row],[Moon]],360))*(13.3333333333333-MOD(P[[#This Row],[Moon]],13.333333333333))+P[[#This Row],[SunRise]]</f>
        <v>45695.779357193911</v>
      </c>
      <c r="M352" s="4" t="str">
        <f>IF(Panchanga!$R352&gt;15,"K","S")&amp;ROUNDUP(MOD(Panchanga!$R352,15),0)&amp;" ("&amp;ROUND(Panchanga!$R352,2)&amp;")"</f>
        <v>S10 (9.34)</v>
      </c>
      <c r="N352" s="4">
        <f>IF(AND(Panchanga!$R352&lt;28.5,Panchanga!$R352&gt;0.49999),MOD((Panchanga!$R352-0.5)*2,7),MOD((Panchanga!$R352+30-28.5),30)*2+7)</f>
        <v>3.6859999999999999</v>
      </c>
      <c r="O352" s="4" t="str">
        <f>CHOOSE(ROUNDUP(Panchanga!$N352,0),"Bhava","Baalava","Kaulava","Taitula","Garija","Vanija","Vishti","Shakuni","Chatushapda","Naaga","Kimstugna")</f>
        <v>Taitula</v>
      </c>
      <c r="P352" s="11" t="str">
        <f>CHOOSE(ROUNDUP(Panchanga!$S352,0),"viṣkambha","prīti","āyuṣmāna","saubhāgya","śobhana","atigaṇḍa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("&amp;Panchanga!$S352&amp;")"</f>
        <v>mahendra (25.56)</v>
      </c>
      <c r="Q352" s="4">
        <f>IF(AND(Panchanga!$R352&lt;28.5,Panchanga!$R352&gt;0.49999),MOD((Panchanga!$R352-0.5)*2,7),MOD((Panchanga!$R352+30-28.5),30)*2+7)</f>
        <v>3.6859999999999999</v>
      </c>
      <c r="R352" s="4">
        <f>ROUNDUP(MOD(360+P[[#This Row],[Moon]]-P[[#This Row],[Sun]],360)/12,4)</f>
        <v>9.343</v>
      </c>
      <c r="S352" s="4">
        <f>ROUNDUP(MOD(P[[#This Row],[Sun]]+P[[#This Row],[Moon]],360)/13.333333333,2)</f>
        <v>25.560000000000002</v>
      </c>
      <c r="T352" s="4" t="str">
        <f>SIGN(W353-Panchanga!$W352)*INT(Panchanga!$W352/30+1)&amp;"Ma,"&amp;SIGN(X353-Panchanga!$X352)*INT(Panchanga!$X352/30+1)&amp;"Me,"&amp;SIGN(Y353-Panchanga!$Y352)*INT(Panchanga!$Y352/30+1)&amp;"J, "&amp;SIGN(Z353-Panchanga!$Z352)*INT(Panchanga!$Z352/30+1)&amp;"V,"&amp;SIGN(AA353-Panchanga!$AA352)*INT(Panchanga!$AA352/30+1)&amp;"S,"&amp;INT(Panchanga!$AB352/30+1)&amp;"R"</f>
        <v>-3Ma,10Me,2J, 12V,11S,12R</v>
      </c>
      <c r="U352" s="4">
        <f t="shared" si="46"/>
        <v>294.29453566643548</v>
      </c>
      <c r="V352" s="4">
        <f t="shared" si="47"/>
        <v>46.409561117205243</v>
      </c>
      <c r="W352" s="4">
        <f>Planet(Panchanga!$G352,4)</f>
        <v>84.684536382991723</v>
      </c>
      <c r="X352" s="4">
        <f>Planet(Panchanga!$G352,2)</f>
        <v>292.46532333682734</v>
      </c>
      <c r="Y352" s="4">
        <f>Planet(Panchanga!$G352,5)</f>
        <v>47.0822319864725</v>
      </c>
      <c r="Z352" s="4">
        <f>Planet(Panchanga!$G352,3)</f>
        <v>337.7327338751665</v>
      </c>
      <c r="AA352" s="4">
        <f>Planet(Panchanga!$G352,6)</f>
        <v>323.88444290422933</v>
      </c>
      <c r="AB352" s="4">
        <f>Planet(Panchanga!$G352,10)</f>
        <v>335.32784630662343</v>
      </c>
      <c r="AC352" s="4" t="str">
        <f>TEXT(Panchanga!$C352+($C353-Panchanga!$C352)/ABS(IF($R353&lt;1,$R353+30,$R353)-Panchanga!$R352)*(ROUNDUP(Panchanga!$R352,0)-Panchanga!$R352),"hh:mm AM/PM")</f>
        <v>09:28 PM</v>
      </c>
      <c r="AD352" s="4"/>
    </row>
    <row r="353" spans="1:30" x14ac:dyDescent="0.2">
      <c r="A353" s="3">
        <f t="shared" si="49"/>
        <v>45696</v>
      </c>
      <c r="B353" s="3">
        <f t="shared" si="44"/>
        <v>45696.229166666664</v>
      </c>
      <c r="C353" s="6">
        <f t="shared" si="45"/>
        <v>45696.274870461937</v>
      </c>
      <c r="D353" s="6">
        <f>sunset(Lat,Long,B353)+TimeZone/24-0.000277777777777778</f>
        <v>45695.757990130733</v>
      </c>
      <c r="E353" s="6">
        <f>PlanetRiseSet(Lat,Long,B353,1,1)+TimeZone/24+0.00103009259259259</f>
        <v>45695.556750906318</v>
      </c>
      <c r="F353" s="6">
        <f>PlanetRiseSet(Lat,Long,B353+1,1,2)+TimeZone/24+0.00103009259259259</f>
        <v>45697.160766386114</v>
      </c>
      <c r="G353" s="17">
        <f>Panchanga!$C353-TimeZone/24</f>
        <v>45696.045703795273</v>
      </c>
      <c r="H353" s="13" t="str">
        <f>INT(P[[#This Row],[Sun]]/30)&amp;"s"&amp;ROUNDUP(MOD(P[[#This Row],[Sun]],30),2)</f>
        <v>9s25.31</v>
      </c>
      <c r="I353" s="13" t="str">
        <f>INT(P[[#This Row],[Moon]]/30)&amp;"s"&amp;ROUNDUP(MOD(P[[#This Row],[Moon]],30),2)</f>
        <v>2s0.14</v>
      </c>
      <c r="J353" s="14">
        <f t="shared" si="48"/>
        <v>45696.045703795273</v>
      </c>
      <c r="K353" s="10" t="str">
        <f>naks(P[[#This Row],[Moon]])</f>
        <v>Mrigashira</v>
      </c>
      <c r="L353" s="15">
        <f>(C354-P[[#This Row],[SunRise]])/(MOD(360+V354-P[[#This Row],[Moon]],360))*(13.3333333333333-MOD(P[[#This Row],[Moon]],13.333333333333))+P[[#This Row],[SunRise]]</f>
        <v>45696.756629299583</v>
      </c>
      <c r="M353" s="4" t="str">
        <f>IF(Panchanga!$R353&gt;15,"K","S")&amp;ROUNDUP(MOD(Panchanga!$R353,15),0)&amp;" ("&amp;ROUND(Panchanga!$R353,2)&amp;")"</f>
        <v>S11 (10.4)</v>
      </c>
      <c r="N353" s="4">
        <f>IF(AND(Panchanga!$R353&lt;28.5,Panchanga!$R353&gt;0.49999),MOD((Panchanga!$R353-0.5)*2,7),MOD((Panchanga!$R353+30-28.5),30)*2+7)</f>
        <v>5.8049999999999997</v>
      </c>
      <c r="O353" s="4" t="str">
        <f>CHOOSE(ROUNDUP(Panchanga!$N353,0),"Bhava","Baalava","Kaulava","Taitula","Garija","Vanija","Vishti","Shakuni","Chatushapda","Naaga","Kimstugna")</f>
        <v>Vanija</v>
      </c>
      <c r="P353" s="11" t="str">
        <f>CHOOSE(ROUNDUP(Panchanga!$S353,0),"viṣkambha","prīti","āyuṣmāna","saubhāgya","śobhana","atigaṇḍa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("&amp;Panchanga!$S353&amp;")"</f>
        <v>vaidhṛti (26.66)</v>
      </c>
      <c r="Q353" s="4">
        <f>IF(AND(Panchanga!$R353&lt;28.5,Panchanga!$R353&gt;0.49999),MOD((Panchanga!$R353-0.5)*2,7),MOD((Panchanga!$R353+30-28.5),30)*2+7)</f>
        <v>5.8049999999999997</v>
      </c>
      <c r="R353" s="4">
        <f>ROUNDUP(MOD(360+P[[#This Row],[Moon]]-P[[#This Row],[Sun]],360)/12,4)</f>
        <v>10.4025</v>
      </c>
      <c r="S353" s="4">
        <f>ROUNDUP(MOD(P[[#This Row],[Sun]]+P[[#This Row],[Moon]],360)/13.333333333,2)</f>
        <v>26.66</v>
      </c>
      <c r="T353" s="4" t="str">
        <f>SIGN(W354-Panchanga!$W353)*INT(Panchanga!$W353/30+1)&amp;"Ma,"&amp;SIGN(X354-Panchanga!$X353)*INT(Panchanga!$X353/30+1)&amp;"Me,"&amp;SIGN(Y354-Panchanga!$Y353)*INT(Panchanga!$Y353/30+1)&amp;"J, "&amp;SIGN(Z354-Panchanga!$Z353)*INT(Panchanga!$Z353/30+1)&amp;"V,"&amp;SIGN(AA354-Panchanga!$AA353)*INT(Panchanga!$AA353/30+1)&amp;"S,"&amp;INT(Panchanga!$AB353/30+1)&amp;"R"</f>
        <v>-3Ma,10Me,2J, 12V,11S,12R</v>
      </c>
      <c r="U353" s="4">
        <f t="shared" si="46"/>
        <v>295.3070873434034</v>
      </c>
      <c r="V353" s="4">
        <f t="shared" si="47"/>
        <v>60.136512511715857</v>
      </c>
      <c r="W353" s="4">
        <f>Planet(Panchanga!$G353,4)</f>
        <v>84.468966746584243</v>
      </c>
      <c r="X353" s="4">
        <f>Planet(Panchanga!$G353,2)</f>
        <v>294.21182237108576</v>
      </c>
      <c r="Y353" s="4">
        <f>Planet(Panchanga!$G353,5)</f>
        <v>47.092882605026112</v>
      </c>
      <c r="Z353" s="4">
        <f>Planet(Panchanga!$G353,3)</f>
        <v>338.41212336838504</v>
      </c>
      <c r="AA353" s="4">
        <f>Planet(Panchanga!$G353,6)</f>
        <v>323.99744304020419</v>
      </c>
      <c r="AB353" s="4">
        <f>Planet(Panchanga!$G353,10)</f>
        <v>335.27486438868345</v>
      </c>
      <c r="AC353" s="4" t="str">
        <f>TEXT(Panchanga!$C353+($C354-Panchanga!$C353)/ABS(IF($R354&lt;1,$R354+30,$R354)-Panchanga!$R353)*(ROUNDUP(Panchanga!$R353,0)-Panchanga!$R353),"hh:mm AM/PM")</f>
        <v>08:19 PM</v>
      </c>
      <c r="AD353" s="4"/>
    </row>
    <row r="354" spans="1:30" x14ac:dyDescent="0.2">
      <c r="A354" s="3">
        <f t="shared" si="49"/>
        <v>45697</v>
      </c>
      <c r="B354" s="3">
        <f t="shared" si="44"/>
        <v>45697.229166666664</v>
      </c>
      <c r="C354" s="6">
        <f t="shared" si="45"/>
        <v>45697.274668821286</v>
      </c>
      <c r="D354" s="6">
        <f>sunset(Lat,Long,B354)+TimeZone/24-0.000277777777777778</f>
        <v>45696.758240447889</v>
      </c>
      <c r="E354" s="6">
        <f>PlanetRiseSet(Lat,Long,B354,1,1)+TimeZone/24+0.00103009259259259</f>
        <v>45696.597504976358</v>
      </c>
      <c r="F354" s="6">
        <f>PlanetRiseSet(Lat,Long,B354+1,1,2)+TimeZone/24+0.00103009259259259</f>
        <v>45698.199513354026</v>
      </c>
      <c r="G354" s="17">
        <f>Panchanga!$C354-TimeZone/24</f>
        <v>45697.045502154622</v>
      </c>
      <c r="H354" s="13" t="str">
        <f>INT(P[[#This Row],[Sun]]/30)&amp;"s"&amp;ROUNDUP(MOD(P[[#This Row],[Sun]],30),2)</f>
        <v>9s26.32</v>
      </c>
      <c r="I354" s="13" t="str">
        <f>INT(P[[#This Row],[Moon]]/30)&amp;"s"&amp;ROUNDUP(MOD(P[[#This Row],[Moon]],30),2)</f>
        <v>2s13.69</v>
      </c>
      <c r="J354" s="14">
        <f t="shared" si="48"/>
        <v>45697.045502154622</v>
      </c>
      <c r="K354" s="10" t="str">
        <f>naks(P[[#This Row],[Moon]])</f>
        <v>Ardra</v>
      </c>
      <c r="L354" s="15">
        <f>(C355-P[[#This Row],[SunRise]])/(MOD(360+V355-P[[#This Row],[Moon]],360))*(13.3333333333333-MOD(P[[#This Row],[Moon]],13.333333333333))+P[[#This Row],[SunRise]]</f>
        <v>45697.747082831789</v>
      </c>
      <c r="M354" s="4" t="str">
        <f>IF(Panchanga!$R354&gt;15,"K","S")&amp;ROUNDUP(MOD(Panchanga!$R354,15),0)&amp;" ("&amp;ROUND(Panchanga!$R354,2)&amp;")"</f>
        <v>S12 (11.45)</v>
      </c>
      <c r="N354" s="4">
        <f>IF(AND(Panchanga!$R354&lt;28.5,Panchanga!$R354&gt;0.49999),MOD((Panchanga!$R354-0.5)*2,7),MOD((Panchanga!$R354+30-28.5),30)*2+7)</f>
        <v>0.89499999999999957</v>
      </c>
      <c r="O354" s="4" t="str">
        <f>CHOOSE(ROUNDUP(Panchanga!$N354,0),"Bhava","Baalava","Kaulava","Taitula","Garija","Vanija","Vishti","Shakuni","Chatushapda","Naaga","Kimstugna")</f>
        <v>Bhava</v>
      </c>
      <c r="P354" s="11" t="str">
        <f>CHOOSE(ROUNDUP(Panchanga!$S354,0),"viṣkambha","prīti","āyuṣmāna","saubhāgya","śobhana","atigaṇḍa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("&amp;Panchanga!$S354&amp;")"</f>
        <v>viṣkambha (0.76)</v>
      </c>
      <c r="Q354" s="4">
        <f>IF(AND(Panchanga!$R354&lt;28.5,Panchanga!$R354&gt;0.49999),MOD((Panchanga!$R354-0.5)*2,7),MOD((Panchanga!$R354+30-28.5),30)*2+7)</f>
        <v>0.89499999999999957</v>
      </c>
      <c r="R354" s="4">
        <f>ROUNDUP(MOD(360+P[[#This Row],[Moon]]-P[[#This Row],[Sun]],360)/12,4)</f>
        <v>11.4475</v>
      </c>
      <c r="S354" s="4">
        <f>ROUNDUP(MOD(P[[#This Row],[Sun]]+P[[#This Row],[Moon]],360)/13.333333333,2)</f>
        <v>0.76</v>
      </c>
      <c r="T354" s="4" t="str">
        <f>SIGN(W355-Panchanga!$W354)*INT(Panchanga!$W354/30+1)&amp;"Ma,"&amp;SIGN(X355-Panchanga!$X354)*INT(Panchanga!$X354/30+1)&amp;"Me,"&amp;SIGN(Y355-Panchanga!$Y354)*INT(Panchanga!$Y354/30+1)&amp;"J, "&amp;SIGN(Z355-Panchanga!$Z354)*INT(Panchanga!$Z354/30+1)&amp;"V,"&amp;SIGN(AA355-Panchanga!$AA354)*INT(Panchanga!$AA354/30+1)&amp;"S,"&amp;INT(Panchanga!$AB354/30+1)&amp;"R"</f>
        <v>-3Ma,10Me,2J, 12V,11S,12R</v>
      </c>
      <c r="U354" s="4">
        <f t="shared" si="46"/>
        <v>296.31920911968001</v>
      </c>
      <c r="V354" s="4">
        <f t="shared" si="47"/>
        <v>73.688598950416988</v>
      </c>
      <c r="W354" s="4">
        <f>Planet(Panchanga!$G354,4)</f>
        <v>84.266411647524876</v>
      </c>
      <c r="X354" s="4">
        <f>Planet(Panchanga!$G354,2)</f>
        <v>295.97100792034712</v>
      </c>
      <c r="Y354" s="4">
        <f>Planet(Panchanga!$G354,5)</f>
        <v>47.106903491617153</v>
      </c>
      <c r="Z354" s="4">
        <f>Planet(Panchanga!$G354,3)</f>
        <v>339.07123167367439</v>
      </c>
      <c r="AA354" s="4">
        <f>Planet(Panchanga!$G354,6)</f>
        <v>324.11106011116527</v>
      </c>
      <c r="AB354" s="4">
        <f>Planet(Panchanga!$G354,10)</f>
        <v>335.22188308740351</v>
      </c>
      <c r="AC354" s="4" t="str">
        <f>TEXT(Panchanga!$C354+($C355-Panchanga!$C354)/ABS(IF($R355&lt;1,$R355+30,$R355)-Panchanga!$R354)*(ROUNDUP(Panchanga!$R354,0)-Panchanga!$R354),"hh:mm AM/PM")</f>
        <v>07:28 PM</v>
      </c>
      <c r="AD354" s="4"/>
    </row>
    <row r="355" spans="1:30" x14ac:dyDescent="0.2">
      <c r="A355" s="3">
        <f t="shared" si="49"/>
        <v>45698</v>
      </c>
      <c r="B355" s="3">
        <f t="shared" si="44"/>
        <v>45698.229166666664</v>
      </c>
      <c r="C355" s="6">
        <f t="shared" si="45"/>
        <v>45698.27445575098</v>
      </c>
      <c r="D355" s="6">
        <f>sunset(Lat,Long,B355)+TimeZone/24-0.000277777777777778</f>
        <v>45697.75848379689</v>
      </c>
      <c r="E355" s="6">
        <f>PlanetRiseSet(Lat,Long,B355,1,1)+TimeZone/24+0.00103009259259259</f>
        <v>45697.639415417951</v>
      </c>
      <c r="F355" s="6">
        <f>PlanetRiseSet(Lat,Long,B355+1,1,2)+TimeZone/24+0.00103009259259259</f>
        <v>45699.234460597079</v>
      </c>
      <c r="G355" s="17">
        <f>Panchanga!$C355-TimeZone/24</f>
        <v>45698.045289084315</v>
      </c>
      <c r="H355" s="13" t="str">
        <f>INT(P[[#This Row],[Sun]]/30)&amp;"s"&amp;ROUNDUP(MOD(P[[#This Row],[Sun]],30),2)</f>
        <v>9s27.34</v>
      </c>
      <c r="I355" s="13" t="str">
        <f>INT(P[[#This Row],[Moon]]/30)&amp;"s"&amp;ROUNDUP(MOD(P[[#This Row],[Moon]],30),2)</f>
        <v>2s27.05</v>
      </c>
      <c r="J355" s="14">
        <f t="shared" si="48"/>
        <v>45698.045289084315</v>
      </c>
      <c r="K355" s="10" t="str">
        <f>naks(P[[#This Row],[Moon]])</f>
        <v>Punarvasu</v>
      </c>
      <c r="L355" s="15">
        <f>(C356-P[[#This Row],[SunRise]])/(MOD(360+V356-P[[#This Row],[Moon]],360))*(13.3333333333333-MOD(P[[#This Row],[Moon]],13.333333333333))+P[[#This Row],[SunRise]]</f>
        <v>45698.752806545701</v>
      </c>
      <c r="M355" s="4" t="str">
        <f>IF(Panchanga!$R355&gt;15,"K","S")&amp;ROUNDUP(MOD(Panchanga!$R355,15),0)&amp;" ("&amp;ROUND(Panchanga!$R355,2)&amp;")"</f>
        <v>S13 (12.48)</v>
      </c>
      <c r="N355" s="4">
        <f>IF(AND(Panchanga!$R355&lt;28.5,Panchanga!$R355&gt;0.49999),MOD((Panchanga!$R355-0.5)*2,7),MOD((Panchanga!$R355+30-28.5),30)*2+7)</f>
        <v>2.9526000000000003</v>
      </c>
      <c r="O355" s="4" t="str">
        <f>CHOOSE(ROUNDUP(Panchanga!$N355,0),"Bhava","Baalava","Kaulava","Taitula","Garija","Vanija","Vishti","Shakuni","Chatushapda","Naaga","Kimstugna")</f>
        <v>Kaulava</v>
      </c>
      <c r="P355" s="11" t="str">
        <f>CHOOSE(ROUNDUP(Panchanga!$S355,0),"viṣkambha","prīti","āyuṣmāna","saubhāgya","śobhana","atigaṇḍa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("&amp;Panchanga!$S355&amp;")"</f>
        <v>prīti (1.83)</v>
      </c>
      <c r="Q355" s="4">
        <f>IF(AND(Panchanga!$R355&lt;28.5,Panchanga!$R355&gt;0.49999),MOD((Panchanga!$R355-0.5)*2,7),MOD((Panchanga!$R355+30-28.5),30)*2+7)</f>
        <v>2.9526000000000003</v>
      </c>
      <c r="R355" s="4">
        <f>ROUNDUP(MOD(360+P[[#This Row],[Moon]]-P[[#This Row],[Sun]],360)/12,4)</f>
        <v>12.4763</v>
      </c>
      <c r="S355" s="4">
        <f>ROUNDUP(MOD(P[[#This Row],[Sun]]+P[[#This Row],[Moon]],360)/13.333333333,2)</f>
        <v>1.83</v>
      </c>
      <c r="T355" s="4" t="str">
        <f>SIGN(W356-Panchanga!$W355)*INT(Panchanga!$W355/30+1)&amp;"Ma,"&amp;SIGN(X356-Panchanga!$X355)*INT(Panchanga!$X355/30+1)&amp;"Me,"&amp;SIGN(Y356-Panchanga!$Y355)*INT(Panchanga!$Y355/30+1)&amp;"J, "&amp;SIGN(Z356-Panchanga!$Z355)*INT(Panchanga!$Z355/30+1)&amp;"V,"&amp;SIGN(AA356-Panchanga!$AA355)*INT(Panchanga!$AA355/30+1)&amp;"S,"&amp;INT(Panchanga!$AB355/30+1)&amp;"R"</f>
        <v>-3Ma,10Me,2J, 12V,11S,12R</v>
      </c>
      <c r="U355" s="4">
        <f t="shared" si="46"/>
        <v>297.3309060925198</v>
      </c>
      <c r="V355" s="4">
        <f t="shared" si="47"/>
        <v>87.045646237681495</v>
      </c>
      <c r="W355" s="4">
        <f>Planet(Panchanga!$G355,4)</f>
        <v>84.076971583961665</v>
      </c>
      <c r="X355" s="4">
        <f>Planet(Panchanga!$G355,2)</f>
        <v>297.74280528545421</v>
      </c>
      <c r="Y355" s="4">
        <f>Planet(Panchanga!$G355,5)</f>
        <v>47.12427901343866</v>
      </c>
      <c r="Z355" s="4">
        <f>Planet(Panchanga!$G355,3)</f>
        <v>339.70925184455609</v>
      </c>
      <c r="AA355" s="4">
        <f>Planet(Panchanga!$G355,6)</f>
        <v>324.22527509698739</v>
      </c>
      <c r="AB355" s="4">
        <f>Planet(Panchanga!$G355,10)</f>
        <v>335.16890239181515</v>
      </c>
      <c r="AC355" s="4" t="str">
        <f>TEXT(Panchanga!$C355+($C356-Panchanga!$C355)/ABS(IF($R356&lt;1,$R356+30,$R356)-Panchanga!$R355)*(ROUNDUP(Panchanga!$R355,0)-Panchanga!$R355),"hh:mm AM/PM")</f>
        <v>07:01 PM</v>
      </c>
      <c r="AD355" s="4"/>
    </row>
    <row r="356" spans="1:30" x14ac:dyDescent="0.2">
      <c r="A356" s="3">
        <f t="shared" si="49"/>
        <v>45699</v>
      </c>
      <c r="B356" s="3">
        <f t="shared" si="44"/>
        <v>45699.229166666664</v>
      </c>
      <c r="C356" s="6">
        <f t="shared" si="45"/>
        <v>45699.274231467083</v>
      </c>
      <c r="D356" s="6">
        <f>sunset(Lat,Long,B356)+TimeZone/24-0.000277777777777778</f>
        <v>45698.75872022011</v>
      </c>
      <c r="E356" s="6">
        <f>PlanetRiseSet(Lat,Long,B356,1,1)+TimeZone/24+0.00103009259259259</f>
        <v>45698.680774004817</v>
      </c>
      <c r="F356" s="6">
        <f>PlanetRiseSet(Lat,Long,B356+1,1,2)+TimeZone/24+0.00103009259259259</f>
        <v>45700.265624974076</v>
      </c>
      <c r="G356" s="17">
        <f>Panchanga!$C356-TimeZone/24</f>
        <v>45699.045064800419</v>
      </c>
      <c r="H356" s="13" t="str">
        <f>INT(P[[#This Row],[Sun]]/30)&amp;"s"&amp;ROUNDUP(MOD(P[[#This Row],[Sun]],30),2)</f>
        <v>9s28.35</v>
      </c>
      <c r="I356" s="13" t="str">
        <f>INT(P[[#This Row],[Moon]]/30)&amp;"s"&amp;ROUNDUP(MOD(P[[#This Row],[Moon]],30),2)</f>
        <v>3s10.19</v>
      </c>
      <c r="J356" s="14">
        <f t="shared" si="48"/>
        <v>45699.045064800419</v>
      </c>
      <c r="K356" s="10" t="str">
        <f>naks(P[[#This Row],[Moon]])</f>
        <v>Pushya</v>
      </c>
      <c r="L356" s="15">
        <f>(C357-P[[#This Row],[SunRise]])/(MOD(360+V357-P[[#This Row],[Moon]],360))*(13.3333333333333-MOD(P[[#This Row],[Moon]],13.333333333333))+P[[#This Row],[SunRise]]</f>
        <v>45699.776029546934</v>
      </c>
      <c r="M356" s="4" t="str">
        <f>IF(Panchanga!$R356&gt;15,"K","S")&amp;ROUNDUP(MOD(Panchanga!$R356,15),0)&amp;" ("&amp;ROUND(Panchanga!$R356,2)&amp;")"</f>
        <v>S14 (13.49)</v>
      </c>
      <c r="N356" s="4">
        <f>IF(AND(Panchanga!$R356&lt;28.5,Panchanga!$R356&gt;0.49999),MOD((Panchanga!$R356-0.5)*2,7),MOD((Panchanga!$R356+30-28.5),30)*2+7)</f>
        <v>4.9741999999999997</v>
      </c>
      <c r="O356" s="4" t="str">
        <f>CHOOSE(ROUNDUP(Panchanga!$N356,0),"Bhava","Baalava","Kaulava","Taitula","Garija","Vanija","Vishti","Shakuni","Chatushapda","Naaga","Kimstugna")</f>
        <v>Garija</v>
      </c>
      <c r="P356" s="11" t="str">
        <f>CHOOSE(ROUNDUP(Panchanga!$S356,0),"viṣkambha","prīti","āyuṣmāna","saubhāgya","śobhana","atigaṇḍa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("&amp;Panchanga!$S356&amp;")"</f>
        <v>āyuṣmāna (2.89)</v>
      </c>
      <c r="Q356" s="4">
        <f>IF(AND(Panchanga!$R356&lt;28.5,Panchanga!$R356&gt;0.49999),MOD((Panchanga!$R356-0.5)*2,7),MOD((Panchanga!$R356+30-28.5),30)*2+7)</f>
        <v>4.9741999999999997</v>
      </c>
      <c r="R356" s="4">
        <f>ROUNDUP(MOD(360+P[[#This Row],[Moon]]-P[[#This Row],[Sun]],360)/12,4)</f>
        <v>13.4871</v>
      </c>
      <c r="S356" s="4">
        <f>ROUNDUP(MOD(P[[#This Row],[Sun]]+P[[#This Row],[Moon]],360)/13.333333333,2)</f>
        <v>2.8899999999999997</v>
      </c>
      <c r="T356" s="4" t="str">
        <f>SIGN(W357-Panchanga!$W356)*INT(Panchanga!$W356/30+1)&amp;"Ma,"&amp;SIGN(X357-Panchanga!$X356)*INT(Panchanga!$X356/30+1)&amp;"Me,"&amp;SIGN(Y357-Panchanga!$Y356)*INT(Panchanga!$Y356/30+1)&amp;"J, "&amp;SIGN(Z357-Panchanga!$Z356)*INT(Panchanga!$Z356/30+1)&amp;"V,"&amp;SIGN(AA357-Panchanga!$AA356)*INT(Panchanga!$AA356/30+1)&amp;"S,"&amp;INT(Panchanga!$AB356/30+1)&amp;"R"</f>
        <v>-3Ma,10Me,2J, 12V,11S,12R</v>
      </c>
      <c r="U356" s="4">
        <f t="shared" si="46"/>
        <v>298.34218555851885</v>
      </c>
      <c r="V356" s="4">
        <f t="shared" si="47"/>
        <v>100.18720874381137</v>
      </c>
      <c r="W356" s="4">
        <f>Planet(Panchanga!$G356,4)</f>
        <v>83.900718855015526</v>
      </c>
      <c r="X356" s="4">
        <f>Planet(Panchanga!$G356,2)</f>
        <v>299.52703891461323</v>
      </c>
      <c r="Y356" s="4">
        <f>Planet(Panchanga!$G356,5)</f>
        <v>47.144992920680885</v>
      </c>
      <c r="Z356" s="4">
        <f>Planet(Panchanga!$G356,3)</f>
        <v>340.32535639874612</v>
      </c>
      <c r="AA356" s="4">
        <f>Planet(Panchanga!$G356,6)</f>
        <v>324.34006941068463</v>
      </c>
      <c r="AB356" s="4">
        <f>Planet(Panchanga!$G356,10)</f>
        <v>335.11592229045283</v>
      </c>
      <c r="AC356" s="4" t="str">
        <f>TEXT(Panchanga!$C356+($C357-Panchanga!$C356)/ABS(IF($R357&lt;1,$R357+30,$R357)-Panchanga!$R356)*(ROUNDUP(Panchanga!$R356,0)-Panchanga!$R356),"hh:mm AM/PM")</f>
        <v>06:59 PM</v>
      </c>
      <c r="AD356" s="4"/>
    </row>
    <row r="357" spans="1:30" x14ac:dyDescent="0.2">
      <c r="A357" s="3">
        <f t="shared" si="49"/>
        <v>45700</v>
      </c>
      <c r="B357" s="3">
        <f t="shared" si="44"/>
        <v>45700.229166666664</v>
      </c>
      <c r="C357" s="6">
        <f t="shared" si="45"/>
        <v>45700.273996194046</v>
      </c>
      <c r="D357" s="6">
        <f>sunset(Lat,Long,B357)+TimeZone/24-0.000277777777777778</f>
        <v>45699.758949776689</v>
      </c>
      <c r="E357" s="6">
        <f>PlanetRiseSet(Lat,Long,B357,1,1)+TimeZone/24+0.00103009259259259</f>
        <v>45699.720269618709</v>
      </c>
      <c r="F357" s="6">
        <f>PlanetRiseSet(Lat,Long,B357+1,1,2)+TimeZone/24+0.00103009259259259</f>
        <v>45701.293587602828</v>
      </c>
      <c r="G357" s="17">
        <f>Panchanga!$C357-TimeZone/24</f>
        <v>45700.044829527382</v>
      </c>
      <c r="H357" s="13" t="str">
        <f>INT(P[[#This Row],[Sun]]/30)&amp;"s"&amp;ROUNDUP(MOD(P[[#This Row],[Sun]],30),2)</f>
        <v>9s29.36</v>
      </c>
      <c r="I357" s="13" t="str">
        <f>INT(P[[#This Row],[Moon]]/30)&amp;"s"&amp;ROUNDUP(MOD(P[[#This Row],[Moon]],30),2)</f>
        <v>3s23.1</v>
      </c>
      <c r="J357" s="14">
        <f t="shared" si="48"/>
        <v>45700.044829527382</v>
      </c>
      <c r="K357" s="10" t="str">
        <f>naks(P[[#This Row],[Moon]])</f>
        <v>Aslesha</v>
      </c>
      <c r="L357" s="15">
        <f>(C358-P[[#This Row],[SunRise]])/(MOD(360+V358-P[[#This Row],[Moon]],360))*(13.3333333333333-MOD(P[[#This Row],[Moon]],13.333333333333))+P[[#This Row],[SunRise]]</f>
        <v>45700.818765197626</v>
      </c>
      <c r="M357" s="4" t="str">
        <f>IF(Panchanga!$R357&gt;15,"K","S")&amp;ROUNDUP(MOD(Panchanga!$R357,15),0)&amp;" ("&amp;ROUND(Panchanga!$R357,2)&amp;")"</f>
        <v>S15 (14.48)</v>
      </c>
      <c r="N357" s="4">
        <f>IF(AND(Panchanga!$R357&lt;28.5,Panchanga!$R357&gt;0.49999),MOD((Panchanga!$R357-0.5)*2,7),MOD((Panchanga!$R357+30-28.5),30)*2+7)</f>
        <v>6.9573999999999998</v>
      </c>
      <c r="O357" s="4" t="str">
        <f>CHOOSE(ROUNDUP(Panchanga!$N357,0),"Bhava","Baalava","Kaulava","Taitula","Garija","Vanija","Vishti","Shakuni","Chatushapda","Naaga","Kimstugna")</f>
        <v>Vishti</v>
      </c>
      <c r="P357" s="11" t="str">
        <f>CHOOSE(ROUNDUP(Panchanga!$S357,0),"viṣkambha","prīti","āyuṣmāna","saubhāgya","śobhana","atigaṇḍa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("&amp;Panchanga!$S357&amp;")"</f>
        <v>saubhāgya (3.94)</v>
      </c>
      <c r="Q357" s="4">
        <f>IF(AND(Panchanga!$R357&lt;28.5,Panchanga!$R357&gt;0.49999),MOD((Panchanga!$R357-0.5)*2,7),MOD((Panchanga!$R357+30-28.5),30)*2+7)</f>
        <v>6.9573999999999998</v>
      </c>
      <c r="R357" s="4">
        <f>ROUNDUP(MOD(360+P[[#This Row],[Moon]]-P[[#This Row],[Sun]],360)/12,4)</f>
        <v>14.4787</v>
      </c>
      <c r="S357" s="4">
        <f>ROUNDUP(MOD(P[[#This Row],[Sun]]+P[[#This Row],[Moon]],360)/13.333333333,2)</f>
        <v>3.94</v>
      </c>
      <c r="T357" s="4" t="str">
        <f>SIGN(W358-Panchanga!$W357)*INT(Panchanga!$W357/30+1)&amp;"Ma,"&amp;SIGN(X358-Panchanga!$X357)*INT(Panchanga!$X357/30+1)&amp;"Me,"&amp;SIGN(Y358-Panchanga!$Y357)*INT(Panchanga!$Y357/30+1)&amp;"J, "&amp;SIGN(Z358-Panchanga!$Z357)*INT(Panchanga!$Z357/30+1)&amp;"V,"&amp;SIGN(AA358-Panchanga!$AA357)*INT(Panchanga!$AA357/30+1)&amp;"S,"&amp;INT(Panchanga!$AB357/30+1)&amp;"R"</f>
        <v>-3Ma,11Me,2J, 12V,11S,12R</v>
      </c>
      <c r="U357" s="4">
        <f t="shared" si="46"/>
        <v>299.35305616663265</v>
      </c>
      <c r="V357" s="4">
        <f t="shared" si="47"/>
        <v>113.0966512889636</v>
      </c>
      <c r="W357" s="4">
        <f>Planet(Panchanga!$G357,4)</f>
        <v>83.737700776394462</v>
      </c>
      <c r="X357" s="4">
        <f>Planet(Panchanga!$G357,2)</f>
        <v>301.32341717441255</v>
      </c>
      <c r="Y357" s="4">
        <f>Planet(Panchanga!$G357,5)</f>
        <v>47.169028562090517</v>
      </c>
      <c r="Z357" s="4">
        <f>Planet(Panchanga!$G357,3)</f>
        <v>340.91869709284828</v>
      </c>
      <c r="AA357" s="4">
        <f>Planet(Panchanga!$G357,6)</f>
        <v>324.45542482423224</v>
      </c>
      <c r="AB357" s="4">
        <f>Planet(Panchanga!$G357,10)</f>
        <v>335.06294277141996</v>
      </c>
      <c r="AC357" s="4" t="str">
        <f>TEXT(Panchanga!$C357+($C358-Panchanga!$C357)/ABS(IF($R358&lt;1,$R358+30,$R358)-Panchanga!$R357)*(ROUNDUP(Panchanga!$R357,0)-Panchanga!$R357),"hh:mm AM/PM")</f>
        <v>07:27 PM</v>
      </c>
      <c r="AD357" s="4"/>
    </row>
    <row r="358" spans="1:30" x14ac:dyDescent="0.2">
      <c r="A358" s="3">
        <f t="shared" si="49"/>
        <v>45701</v>
      </c>
      <c r="B358" s="3">
        <f t="shared" si="44"/>
        <v>45701.229166666664</v>
      </c>
      <c r="C358" s="6">
        <f t="shared" si="45"/>
        <v>45701.273750162836</v>
      </c>
      <c r="D358" s="6">
        <f>sunset(Lat,Long,B358)+TimeZone/24-0.000277777777777778</f>
        <v>45700.759172537873</v>
      </c>
      <c r="E358" s="6">
        <f>PlanetRiseSet(Lat,Long,B358,1,1)+TimeZone/24+0.00103009259259259</f>
        <v>45700.757341331955</v>
      </c>
      <c r="F358" s="6">
        <f>PlanetRiseSet(Lat,Long,B358+1,1,2)+TimeZone/24+0.00103009259259259</f>
        <v>45702.319170984127</v>
      </c>
      <c r="G358" s="17">
        <f>Panchanga!$C358-TimeZone/24</f>
        <v>45701.044583496172</v>
      </c>
      <c r="H358" s="13" t="str">
        <f>INT(P[[#This Row],[Sun]]/30)&amp;"s"&amp;ROUNDUP(MOD(P[[#This Row],[Sun]],30),2)</f>
        <v>10s0.37</v>
      </c>
      <c r="I358" s="13" t="str">
        <f>INT(P[[#This Row],[Moon]]/30)&amp;"s"&amp;ROUNDUP(MOD(P[[#This Row],[Moon]],30),2)</f>
        <v>4s5.77</v>
      </c>
      <c r="J358" s="14">
        <f t="shared" si="48"/>
        <v>45701.044583496172</v>
      </c>
      <c r="K358" s="10" t="str">
        <f>naks(P[[#This Row],[Moon]])</f>
        <v>Makha</v>
      </c>
      <c r="L358" s="15">
        <f>(C359-P[[#This Row],[SunRise]])/(MOD(360+V359-P[[#This Row],[Moon]],360))*(13.3333333333333-MOD(P[[#This Row],[Moon]],13.333333333333))+P[[#This Row],[SunRise]]</f>
        <v>45701.882318785109</v>
      </c>
      <c r="M358" s="4" t="str">
        <f>IF(Panchanga!$R358&gt;15,"K","S")&amp;ROUNDUP(MOD(Panchanga!$R358,15),0)&amp;" ("&amp;ROUND(Panchanga!$R358,2)&amp;")"</f>
        <v>K1 (15.45)</v>
      </c>
      <c r="N358" s="4">
        <f>IF(AND(Panchanga!$R358&lt;28.5,Panchanga!$R358&gt;0.49999),MOD((Panchanga!$R358-0.5)*2,7),MOD((Panchanga!$R358+30-28.5),30)*2+7)</f>
        <v>1.9004000000000012</v>
      </c>
      <c r="O358" s="4" t="str">
        <f>CHOOSE(ROUNDUP(Panchanga!$N358,0),"Bhava","Baalava","Kaulava","Taitula","Garija","Vanija","Vishti","Shakuni","Chatushapda","Naaga","Kimstugna")</f>
        <v>Baalava</v>
      </c>
      <c r="P358" s="11" t="str">
        <f>CHOOSE(ROUNDUP(Panchanga!$S358,0),"viṣkambha","prīti","āyuṣmāna","saubhāgya","śobhana","atigaṇḍa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("&amp;Panchanga!$S358&amp;")"</f>
        <v>śobhana (4.96)</v>
      </c>
      <c r="Q358" s="4">
        <f>IF(AND(Panchanga!$R358&lt;28.5,Panchanga!$R358&gt;0.49999),MOD((Panchanga!$R358-0.5)*2,7),MOD((Panchanga!$R358+30-28.5),30)*2+7)</f>
        <v>1.9004000000000012</v>
      </c>
      <c r="R358" s="4">
        <f>ROUNDUP(MOD(360+P[[#This Row],[Moon]]-P[[#This Row],[Sun]],360)/12,4)</f>
        <v>15.450200000000001</v>
      </c>
      <c r="S358" s="4">
        <f>ROUNDUP(MOD(P[[#This Row],[Sun]]+P[[#This Row],[Moon]],360)/13.333333333,2)</f>
        <v>4.96</v>
      </c>
      <c r="T358" s="4" t="str">
        <f>SIGN(W359-Panchanga!$W358)*INT(Panchanga!$W358/30+1)&amp;"Ma,"&amp;SIGN(X359-Panchanga!$X358)*INT(Panchanga!$X358/30+1)&amp;"Me,"&amp;SIGN(Y359-Panchanga!$Y358)*INT(Panchanga!$Y358/30+1)&amp;"J, "&amp;SIGN(Z359-Panchanga!$Z358)*INT(Panchanga!$Z358/30+1)&amp;"V,"&amp;SIGN(AA359-Panchanga!$AA358)*INT(Panchanga!$AA358/30+1)&amp;"S,"&amp;INT(Panchanga!$AB358/30+1)&amp;"R"</f>
        <v>-3Ma,11Me,2J, 12V,11S,12R</v>
      </c>
      <c r="U358" s="4">
        <f t="shared" si="46"/>
        <v>300.36352701148621</v>
      </c>
      <c r="V358" s="4">
        <f t="shared" si="47"/>
        <v>125.76559946042863</v>
      </c>
      <c r="W358" s="4">
        <f>Planet(Panchanga!$G358,4)</f>
        <v>83.587942649059443</v>
      </c>
      <c r="X358" s="4">
        <f>Planet(Panchanga!$G358,2)</f>
        <v>303.1315074014754</v>
      </c>
      <c r="Y358" s="4">
        <f>Planet(Panchanga!$G358,5)</f>
        <v>47.19636903455563</v>
      </c>
      <c r="Z358" s="4">
        <f>Planet(Panchanga!$G358,3)</f>
        <v>341.48840438902033</v>
      </c>
      <c r="AA358" s="4">
        <f>Planet(Panchanga!$G358,6)</f>
        <v>324.57132337227216</v>
      </c>
      <c r="AB358" s="4">
        <f>Planet(Panchanga!$G358,10)</f>
        <v>335.00996382247229</v>
      </c>
      <c r="AC358" s="4" t="str">
        <f>TEXT(Panchanga!$C358+($C359-Panchanga!$C358)/ABS(IF($R359&lt;1,$R359+30,$R359)-Panchanga!$R358)*(ROUNDUP(Panchanga!$R358,0)-Panchanga!$R358),"hh:mm AM/PM")</f>
        <v>08:25 PM</v>
      </c>
      <c r="AD358" s="4"/>
    </row>
    <row r="359" spans="1:30" x14ac:dyDescent="0.2">
      <c r="A359" s="3">
        <f t="shared" si="49"/>
        <v>45702</v>
      </c>
      <c r="B359" s="3">
        <f t="shared" si="44"/>
        <v>45702.229166666664</v>
      </c>
      <c r="C359" s="6">
        <f t="shared" si="45"/>
        <v>45702.273493607216</v>
      </c>
      <c r="D359" s="6">
        <f>sunset(Lat,Long,B359)+TimeZone/24-0.000277777777777778</f>
        <v>45701.759388586084</v>
      </c>
      <c r="E359" s="6">
        <f>PlanetRiseSet(Lat,Long,B359,1,1)+TimeZone/24+0.00103009259259259</f>
        <v>45701.792092141382</v>
      </c>
      <c r="F359" s="6">
        <f>PlanetRiseSet(Lat,Long,B359+1,1,2)+TimeZone/24+0.00103009259259259</f>
        <v>45703.343242827024</v>
      </c>
      <c r="G359" s="17">
        <f>Panchanga!$C359-TimeZone/24</f>
        <v>45702.044326940551</v>
      </c>
      <c r="H359" s="13" t="str">
        <f>INT(P[[#This Row],[Sun]]/30)&amp;"s"&amp;ROUNDUP(MOD(P[[#This Row],[Sun]],30),2)</f>
        <v>10s1.38</v>
      </c>
      <c r="I359" s="13" t="str">
        <f>INT(P[[#This Row],[Moon]]/30)&amp;"s"&amp;ROUNDUP(MOD(P[[#This Row],[Moon]],30),2)</f>
        <v>4s18.2</v>
      </c>
      <c r="J359" s="14">
        <f t="shared" si="48"/>
        <v>45702.044326940551</v>
      </c>
      <c r="K359" s="10" t="str">
        <f>naks(P[[#This Row],[Moon]])</f>
        <v>Purva Phalguni</v>
      </c>
      <c r="L359" s="15">
        <f>(C360-P[[#This Row],[SunRise]])/(MOD(360+V360-P[[#This Row],[Moon]],360))*(13.3333333333333-MOD(P[[#This Row],[Moon]],13.333333333333))+P[[#This Row],[SunRise]]</f>
        <v>45702.966721431025</v>
      </c>
      <c r="M359" s="4" t="str">
        <f>IF(Panchanga!$R359&gt;15,"K","S")&amp;ROUNDUP(MOD(Panchanga!$R359,15),0)&amp;" ("&amp;ROUND(Panchanga!$R359,2)&amp;")"</f>
        <v>K2 (16.4)</v>
      </c>
      <c r="N359" s="4">
        <f>IF(AND(Panchanga!$R359&lt;28.5,Panchanga!$R359&gt;0.49999),MOD((Panchanga!$R359-0.5)*2,7),MOD((Panchanga!$R359+30-28.5),30)*2+7)</f>
        <v>3.8042000000000016</v>
      </c>
      <c r="O359" s="4" t="str">
        <f>CHOOSE(ROUNDUP(Panchanga!$N359,0),"Bhava","Baalava","Kaulava","Taitula","Garija","Vanija","Vishti","Shakuni","Chatushapda","Naaga","Kimstugna")</f>
        <v>Taitula</v>
      </c>
      <c r="P359" s="11" t="str">
        <f>CHOOSE(ROUNDUP(Panchanga!$S359,0),"viṣkambha","prīti","āyuṣmāna","saubhāgya","śobhana","atigaṇḍa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("&amp;Panchanga!$S359&amp;")"</f>
        <v>atigaṇḍa  (5.97)</v>
      </c>
      <c r="Q359" s="4">
        <f>IF(AND(Panchanga!$R359&lt;28.5,Panchanga!$R359&gt;0.49999),MOD((Panchanga!$R359-0.5)*2,7),MOD((Panchanga!$R359+30-28.5),30)*2+7)</f>
        <v>3.8042000000000016</v>
      </c>
      <c r="R359" s="4">
        <f>ROUNDUP(MOD(360+P[[#This Row],[Moon]]-P[[#This Row],[Sun]],360)/12,4)</f>
        <v>16.402100000000001</v>
      </c>
      <c r="S359" s="4">
        <f>ROUNDUP(MOD(P[[#This Row],[Sun]]+P[[#This Row],[Moon]],360)/13.333333333,2)</f>
        <v>5.97</v>
      </c>
      <c r="T359" s="4" t="str">
        <f>SIGN(W360-Panchanga!$W359)*INT(Panchanga!$W359/30+1)&amp;"Ma,"&amp;SIGN(X360-Panchanga!$X359)*INT(Panchanga!$X359/30+1)&amp;"Me,"&amp;SIGN(Y360-Panchanga!$Y359)*INT(Panchanga!$Y359/30+1)&amp;"J, "&amp;SIGN(Z360-Panchanga!$Z359)*INT(Panchanga!$Z359/30+1)&amp;"V,"&amp;SIGN(AA360-Panchanga!$AA359)*INT(Panchanga!$AA359/30+1)&amp;"S,"&amp;INT(Panchanga!$AB359/30+1)&amp;"R"</f>
        <v>-3Ma,11Me,2J, 12V,11S,12R</v>
      </c>
      <c r="U359" s="4">
        <f t="shared" si="46"/>
        <v>301.37360676783351</v>
      </c>
      <c r="V359" s="4">
        <f t="shared" si="47"/>
        <v>138.19770990996795</v>
      </c>
      <c r="W359" s="4">
        <f>Planet(Panchanga!$G359,4)</f>
        <v>83.451450287342936</v>
      </c>
      <c r="X359" s="4">
        <f>Planet(Panchanga!$G359,2)</f>
        <v>304.95070380719625</v>
      </c>
      <c r="Y359" s="4">
        <f>Planet(Panchanga!$G359,5)</f>
        <v>47.226997248850282</v>
      </c>
      <c r="Z359" s="4">
        <f>Planet(Panchanga!$G359,3)</f>
        <v>342.03358669727066</v>
      </c>
      <c r="AA359" s="4">
        <f>Planet(Panchanga!$G359,6)</f>
        <v>324.6877472395289</v>
      </c>
      <c r="AB359" s="4">
        <f>Planet(Panchanga!$G359,10)</f>
        <v>334.95698543128259</v>
      </c>
      <c r="AC359" s="4" t="str">
        <f>TEXT(Panchanga!$C359+($C360-Panchanga!$C359)/ABS(IF($R360&lt;1,$R360+30,$R360)-Panchanga!$R359)*(ROUNDUP(Panchanga!$R359,0)-Panchanga!$R359),"hh:mm AM/PM")</f>
        <v>09:55 PM</v>
      </c>
      <c r="AD359" s="4"/>
    </row>
    <row r="360" spans="1:30" x14ac:dyDescent="0.2">
      <c r="A360" s="3">
        <f t="shared" si="49"/>
        <v>45703</v>
      </c>
      <c r="B360" s="3">
        <f t="shared" si="44"/>
        <v>45703.229166666664</v>
      </c>
      <c r="C360" s="6">
        <f t="shared" si="45"/>
        <v>45703.273226766534</v>
      </c>
      <c r="D360" s="6">
        <f>sunset(Lat,Long,B360)+TimeZone/24-0.000277777777777778</f>
        <v>45702.759598010263</v>
      </c>
      <c r="E360" s="6">
        <f>PlanetRiseSet(Lat,Long,B360,1,1)+TimeZone/24+0.00103009259259259</f>
        <v>45702.825027663413</v>
      </c>
      <c r="F360" s="6">
        <f>PlanetRiseSet(Lat,Long,B360+1,1,2)+TimeZone/24+0.00103009259259259</f>
        <v>45704.366643258058</v>
      </c>
      <c r="G360" s="17">
        <f>Panchanga!$C360-TimeZone/24</f>
        <v>45703.04406009987</v>
      </c>
      <c r="H360" s="13" t="str">
        <f>INT(P[[#This Row],[Sun]]/30)&amp;"s"&amp;ROUNDUP(MOD(P[[#This Row],[Sun]],30),2)</f>
        <v>10s2.39</v>
      </c>
      <c r="I360" s="13" t="str">
        <f>INT(P[[#This Row],[Moon]]/30)&amp;"s"&amp;ROUNDUP(MOD(P[[#This Row],[Moon]],30),2)</f>
        <v>5s0.42</v>
      </c>
      <c r="J360" s="14">
        <f t="shared" si="48"/>
        <v>45703.04406009987</v>
      </c>
      <c r="K360" s="10" t="str">
        <f>naks(P[[#This Row],[Moon]])</f>
        <v>Uttara Phalguni</v>
      </c>
      <c r="L360" s="15">
        <f>(C361-P[[#This Row],[SunRise]])/(MOD(360+V361-P[[#This Row],[Moon]],360))*(13.3333333333333-MOD(P[[#This Row],[Moon]],13.333333333333))+P[[#This Row],[SunRise]]</f>
        <v>45704.070193187232</v>
      </c>
      <c r="M360" s="4" t="str">
        <f>IF(Panchanga!$R360&gt;15,"K","S")&amp;ROUNDUP(MOD(Panchanga!$R360,15),0)&amp;" ("&amp;ROUND(Panchanga!$R360,2)&amp;")"</f>
        <v>K3 (17.34)</v>
      </c>
      <c r="N360" s="4">
        <f>IF(AND(Panchanga!$R360&lt;28.5,Panchanga!$R360&gt;0.49999),MOD((Panchanga!$R360-0.5)*2,7),MOD((Panchanga!$R360+30-28.5),30)*2+7)</f>
        <v>5.6713999999999984</v>
      </c>
      <c r="O360" s="4" t="str">
        <f>CHOOSE(ROUNDUP(Panchanga!$N360,0),"Bhava","Baalava","Kaulava","Taitula","Garija","Vanija","Vishti","Shakuni","Chatushapda","Naaga","Kimstugna")</f>
        <v>Vanija</v>
      </c>
      <c r="P360" s="11" t="str">
        <f>CHOOSE(ROUNDUP(Panchanga!$S360,0),"viṣkambha","prīti","āyuṣmāna","saubhāgya","śobhana","atigaṇḍa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("&amp;Panchanga!$S360&amp;")"</f>
        <v>sukarmā  (6.96)</v>
      </c>
      <c r="Q360" s="4">
        <f>IF(AND(Panchanga!$R360&lt;28.5,Panchanga!$R360&gt;0.49999),MOD((Panchanga!$R360-0.5)*2,7),MOD((Panchanga!$R360+30-28.5),30)*2+7)</f>
        <v>5.6713999999999984</v>
      </c>
      <c r="R360" s="4">
        <f>ROUNDUP(MOD(360+P[[#This Row],[Moon]]-P[[#This Row],[Sun]],360)/12,4)</f>
        <v>17.335699999999999</v>
      </c>
      <c r="S360" s="4">
        <f>ROUNDUP(MOD(P[[#This Row],[Sun]]+P[[#This Row],[Moon]],360)/13.333333333,2)</f>
        <v>6.96</v>
      </c>
      <c r="T360" s="4" t="str">
        <f>SIGN(W361-Panchanga!$W360)*INT(Panchanga!$W360/30+1)&amp;"Ma,"&amp;SIGN(X361-Panchanga!$X360)*INT(Panchanga!$X360/30+1)&amp;"Me,"&amp;SIGN(Y361-Panchanga!$Y360)*INT(Panchanga!$Y360/30+1)&amp;"J, "&amp;SIGN(Z361-Panchanga!$Z360)*INT(Panchanga!$Z360/30+1)&amp;"V,"&amp;SIGN(AA361-Panchanga!$AA360)*INT(Panchanga!$AA360/30+1)&amp;"S,"&amp;INT(Panchanga!$AB360/30+1)&amp;"R"</f>
        <v>-3Ma,11Me,2J, 12V,11S,12R</v>
      </c>
      <c r="U360" s="4">
        <f t="shared" si="46"/>
        <v>302.38330301107294</v>
      </c>
      <c r="V360" s="4">
        <f t="shared" si="47"/>
        <v>150.41115057648466</v>
      </c>
      <c r="W360" s="4">
        <f>Planet(Panchanga!$G360,4)</f>
        <v>83.328211967751116</v>
      </c>
      <c r="X360" s="4">
        <f>Planet(Panchanga!$G360,2)</f>
        <v>306.78019411878398</v>
      </c>
      <c r="Y360" s="4">
        <f>Planet(Panchanga!$G360,5)</f>
        <v>47.260895913731076</v>
      </c>
      <c r="Z360" s="4">
        <f>Planet(Panchanga!$G360,3)</f>
        <v>342.55332970054343</v>
      </c>
      <c r="AA360" s="4">
        <f>Planet(Panchanga!$G360,6)</f>
        <v>324.80467865933963</v>
      </c>
      <c r="AB360" s="4">
        <f>Planet(Panchanga!$G360,10)</f>
        <v>334.90400758507656</v>
      </c>
      <c r="AC360" s="4" t="str">
        <f>TEXT(Panchanga!$C360+($C361-Panchanga!$C360)/ABS(IF($R361&lt;1,$R361+30,$R361)-Panchanga!$R360)*(ROUNDUP(Panchanga!$R360,0)-Panchanga!$R360),"hh:mm AM/PM")</f>
        <v>11:54 PM</v>
      </c>
      <c r="AD360" s="4"/>
    </row>
    <row r="361" spans="1:30" x14ac:dyDescent="0.2">
      <c r="A361" s="3">
        <f t="shared" si="49"/>
        <v>45704</v>
      </c>
      <c r="B361" s="3">
        <f t="shared" si="44"/>
        <v>45704.229166666664</v>
      </c>
      <c r="C361" s="6">
        <f t="shared" si="45"/>
        <v>45704.272949880142</v>
      </c>
      <c r="D361" s="6">
        <f>sunset(Lat,Long,B361)+TimeZone/24-0.000277777777777778</f>
        <v>45703.759800905871</v>
      </c>
      <c r="E361" s="6">
        <f>PlanetRiseSet(Lat,Long,B361,1,1)+TimeZone/24+0.00103009259259259</f>
        <v>45703.856835494436</v>
      </c>
      <c r="F361" s="6">
        <f>PlanetRiseSet(Lat,Long,B361+1,1,2)+TimeZone/24+0.00103009259259259</f>
        <v>45705.390180445895</v>
      </c>
      <c r="G361" s="17">
        <f>Panchanga!$C361-TimeZone/24</f>
        <v>45704.043783213478</v>
      </c>
      <c r="H361" s="13" t="str">
        <f>INT(P[[#This Row],[Sun]]/30)&amp;"s"&amp;ROUNDUP(MOD(P[[#This Row],[Sun]],30),2)</f>
        <v>10s3.4</v>
      </c>
      <c r="I361" s="13" t="str">
        <f>INT(P[[#This Row],[Moon]]/30)&amp;"s"&amp;ROUNDUP(MOD(P[[#This Row],[Moon]],30),2)</f>
        <v>5s12.44</v>
      </c>
      <c r="J361" s="14">
        <f t="shared" si="48"/>
        <v>45704.043783213478</v>
      </c>
      <c r="K361" s="10" t="str">
        <f>naks(P[[#This Row],[Moon]])</f>
        <v>Hasta</v>
      </c>
      <c r="L361" s="15">
        <f>(C362-P[[#This Row],[SunRise]])/(MOD(360+V362-P[[#This Row],[Moon]],360))*(13.3333333333333-MOD(P[[#This Row],[Moon]],13.333333333333))+P[[#This Row],[SunRise]]</f>
        <v>45705.188780635501</v>
      </c>
      <c r="M361" s="4" t="str">
        <f>IF(Panchanga!$R361&gt;15,"K","S")&amp;ROUNDUP(MOD(Panchanga!$R361,15),0)&amp;" ("&amp;ROUND(Panchanga!$R361,2)&amp;")"</f>
        <v>K4 (18.25)</v>
      </c>
      <c r="N361" s="4">
        <f>IF(AND(Panchanga!$R361&lt;28.5,Panchanga!$R361&gt;0.49999),MOD((Panchanga!$R361-0.5)*2,7),MOD((Panchanga!$R361+30-28.5),30)*2+7)</f>
        <v>0.50800000000000267</v>
      </c>
      <c r="O361" s="4" t="str">
        <f>CHOOSE(ROUNDUP(Panchanga!$N361,0),"Bhava","Baalava","Kaulava","Taitula","Garija","Vanija","Vishti","Shakuni","Chatushapda","Naaga","Kimstugna")</f>
        <v>Bhava</v>
      </c>
      <c r="P361" s="11" t="str">
        <f>CHOOSE(ROUNDUP(Panchanga!$S361,0),"viṣkambha","prīti","āyuṣmāna","saubhāgya","śobhana","atigaṇḍa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("&amp;Panchanga!$S361&amp;")"</f>
        <v>dhṛti  (7.94)</v>
      </c>
      <c r="Q361" s="4">
        <f>IF(AND(Panchanga!$R361&lt;28.5,Panchanga!$R361&gt;0.49999),MOD((Panchanga!$R361-0.5)*2,7),MOD((Panchanga!$R361+30-28.5),30)*2+7)</f>
        <v>0.50800000000000267</v>
      </c>
      <c r="R361" s="4">
        <f>ROUNDUP(MOD(360+P[[#This Row],[Moon]]-P[[#This Row],[Sun]],360)/12,4)</f>
        <v>18.254000000000001</v>
      </c>
      <c r="S361" s="4">
        <f>ROUNDUP(MOD(P[[#This Row],[Sun]]+P[[#This Row],[Moon]],360)/13.333333333,2)</f>
        <v>7.9399999999999995</v>
      </c>
      <c r="T361" s="4" t="str">
        <f>SIGN(W362-Panchanga!$W361)*INT(Panchanga!$W361/30+1)&amp;"Ma,"&amp;SIGN(X362-Panchanga!$X361)*INT(Panchanga!$X361/30+1)&amp;"Me,"&amp;SIGN(Y362-Panchanga!$Y361)*INT(Panchanga!$Y361/30+1)&amp;"J, "&amp;SIGN(Z362-Panchanga!$Z361)*INT(Panchanga!$Z361/30+1)&amp;"V,"&amp;SIGN(AA362-Panchanga!$AA361)*INT(Panchanga!$AA361/30+1)&amp;"S,"&amp;INT(Panchanga!$AB361/30+1)&amp;"R"</f>
        <v>-3Ma,11Me,2J, 12V,11S,12R</v>
      </c>
      <c r="U361" s="4">
        <f t="shared" si="46"/>
        <v>303.39262178738483</v>
      </c>
      <c r="V361" s="4">
        <f t="shared" si="47"/>
        <v>162.43950478645178</v>
      </c>
      <c r="W361" s="4">
        <f>Planet(Panchanga!$G361,4)</f>
        <v>83.218199820190009</v>
      </c>
      <c r="X361" s="4">
        <f>Planet(Panchanga!$G361,2)</f>
        <v>308.61892264242272</v>
      </c>
      <c r="Y361" s="4">
        <f>Planet(Panchanga!$G361,5)</f>
        <v>47.298047459702204</v>
      </c>
      <c r="Z361" s="4">
        <f>Planet(Panchanga!$G361,3)</f>
        <v>343.04669617139888</v>
      </c>
      <c r="AA361" s="4">
        <f>Planet(Panchanga!$G361,6)</f>
        <v>324.92209982651895</v>
      </c>
      <c r="AB361" s="4">
        <f>Planet(Panchanga!$G361,10)</f>
        <v>334.85103027124507</v>
      </c>
      <c r="AC361" s="4" t="str">
        <f>TEXT(Panchanga!$C361+($C362-Panchanga!$C361)/ABS(IF($R362&lt;1,$R362+30,$R362)-Panchanga!$R361)*(ROUNDUP(Panchanga!$R361,0)-Panchanga!$R361),"hh:mm AM/PM")</f>
        <v>02:17 AM</v>
      </c>
      <c r="AD361" s="4"/>
    </row>
    <row r="362" spans="1:30" x14ac:dyDescent="0.2">
      <c r="A362" s="3">
        <f t="shared" si="49"/>
        <v>45705</v>
      </c>
      <c r="B362" s="3">
        <f t="shared" si="44"/>
        <v>45705.229166666664</v>
      </c>
      <c r="C362" s="6">
        <f t="shared" si="45"/>
        <v>45705.272663189251</v>
      </c>
      <c r="D362" s="6">
        <f>sunset(Lat,Long,B362)+TimeZone/24-0.000277777777777778</f>
        <v>45704.759997371162</v>
      </c>
      <c r="E362" s="6">
        <f>PlanetRiseSet(Lat,Long,B362,1,1)+TimeZone/24+0.00103009259259259</f>
        <v>45704.888256846614</v>
      </c>
      <c r="F362" s="6">
        <f>PlanetRiseSet(Lat,Long,B362+1,1,2)+TimeZone/24+0.00103009259259259</f>
        <v>45706.414649759106</v>
      </c>
      <c r="G362" s="17">
        <f>Panchanga!$C362-TimeZone/24</f>
        <v>45705.043496522587</v>
      </c>
      <c r="H362" s="13" t="str">
        <f>INT(P[[#This Row],[Sun]]/30)&amp;"s"&amp;ROUNDUP(MOD(P[[#This Row],[Sun]],30),2)</f>
        <v>10s4.41</v>
      </c>
      <c r="I362" s="13" t="str">
        <f>INT(P[[#This Row],[Moon]]/30)&amp;"s"&amp;ROUNDUP(MOD(P[[#This Row],[Moon]],30),2)</f>
        <v>5s24.34</v>
      </c>
      <c r="J362" s="14">
        <f t="shared" si="48"/>
        <v>45705.043496522587</v>
      </c>
      <c r="K362" s="10" t="str">
        <f>naks(P[[#This Row],[Moon]])</f>
        <v>Chitra</v>
      </c>
      <c r="L362" s="15">
        <f>(C363-P[[#This Row],[SunRise]])/(MOD(360+V363-P[[#This Row],[Moon]],360))*(13.3333333333333-MOD(P[[#This Row],[Moon]],13.333333333333))+P[[#This Row],[SunRise]]</f>
        <v>45706.316311507318</v>
      </c>
      <c r="M362" s="4" t="str">
        <f>IF(Panchanga!$R362&gt;15,"K","S")&amp;ROUNDUP(MOD(Panchanga!$R362,15),0)&amp;" ("&amp;ROUND(Panchanga!$R362,2)&amp;")"</f>
        <v>K5 (19.16)</v>
      </c>
      <c r="N362" s="4">
        <f>IF(AND(Panchanga!$R362&lt;28.5,Panchanga!$R362&gt;0.49999),MOD((Panchanga!$R362-0.5)*2,7),MOD((Panchanga!$R362+30-28.5),30)*2+7)</f>
        <v>2.3215999999999966</v>
      </c>
      <c r="O362" s="4" t="str">
        <f>CHOOSE(ROUNDUP(Panchanga!$N362,0),"Bhava","Baalava","Kaulava","Taitula","Garija","Vanija","Vishti","Shakuni","Chatushapda","Naaga","Kimstugna")</f>
        <v>Kaulava</v>
      </c>
      <c r="P362" s="11" t="str">
        <f>CHOOSE(ROUNDUP(Panchanga!$S362,0),"viṣkambha","prīti","āyuṣmāna","saubhāgya","śobhana","atigaṇḍa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("&amp;Panchanga!$S362&amp;")"</f>
        <v>śūla  (8.91)</v>
      </c>
      <c r="Q362" s="4">
        <f>IF(AND(Panchanga!$R362&lt;28.5,Panchanga!$R362&gt;0.49999),MOD((Panchanga!$R362-0.5)*2,7),MOD((Panchanga!$R362+30-28.5),30)*2+7)</f>
        <v>2.3215999999999966</v>
      </c>
      <c r="R362" s="4">
        <f>ROUNDUP(MOD(360+P[[#This Row],[Moon]]-P[[#This Row],[Sun]],360)/12,4)</f>
        <v>19.160799999999998</v>
      </c>
      <c r="S362" s="4">
        <f>ROUNDUP(MOD(P[[#This Row],[Sun]]+P[[#This Row],[Moon]],360)/13.333333333,2)</f>
        <v>8.91</v>
      </c>
      <c r="T362" s="4" t="str">
        <f>SIGN(W363-Panchanga!$W362)*INT(Panchanga!$W362/30+1)&amp;"Ma,"&amp;SIGN(X363-Panchanga!$X362)*INT(Panchanga!$X362/30+1)&amp;"Me,"&amp;SIGN(Y363-Panchanga!$Y362)*INT(Panchanga!$Y362/30+1)&amp;"J, "&amp;SIGN(Z363-Panchanga!$Z362)*INT(Panchanga!$Z362/30+1)&amp;"V,"&amp;SIGN(AA363-Panchanga!$AA362)*INT(Panchanga!$AA362/30+1)&amp;"S,"&amp;INT(Panchanga!$AB362/30+1)&amp;"R"</f>
        <v>-3Ma,11Me,2J, 12V,11S,12R</v>
      </c>
      <c r="U362" s="4">
        <f t="shared" si="46"/>
        <v>304.40156745992221</v>
      </c>
      <c r="V362" s="4">
        <f t="shared" si="47"/>
        <v>174.33111829881361</v>
      </c>
      <c r="W362" s="4">
        <f>Planet(Panchanga!$G362,4)</f>
        <v>83.121370838027914</v>
      </c>
      <c r="X362" s="4">
        <f>Planet(Panchanga!$G362,2)</f>
        <v>310.46554862217641</v>
      </c>
      <c r="Y362" s="4">
        <f>Planet(Panchanga!$G362,5)</f>
        <v>47.33843394565816</v>
      </c>
      <c r="Z362" s="4">
        <f>Planet(Panchanga!$G362,3)</f>
        <v>343.51272665798155</v>
      </c>
      <c r="AA362" s="4">
        <f>Planet(Panchanga!$G362,6)</f>
        <v>325.0399928415797</v>
      </c>
      <c r="AB362" s="4">
        <f>Planet(Panchanga!$G362,10)</f>
        <v>334.7980534769639</v>
      </c>
      <c r="AC362" s="4" t="str">
        <f>TEXT(Panchanga!$C362+($C363-Panchanga!$C362)/ABS(IF($R363&lt;1,$R363+30,$R363)-Panchanga!$R362)*(ROUNDUP(Panchanga!$R362,0)-Panchanga!$R362),"hh:mm AM/PM")</f>
        <v>04:53 AM</v>
      </c>
      <c r="AD362" s="4"/>
    </row>
    <row r="363" spans="1:30" x14ac:dyDescent="0.2">
      <c r="A363" s="3">
        <f t="shared" si="49"/>
        <v>45706</v>
      </c>
      <c r="B363" s="3">
        <f t="shared" si="44"/>
        <v>45706.229166666664</v>
      </c>
      <c r="C363" s="6">
        <f t="shared" si="45"/>
        <v>45706.272366936471</v>
      </c>
      <c r="D363" s="6">
        <f>sunset(Lat,Long,B363)+TimeZone/24-0.000277777777777778</f>
        <v>45705.760187508116</v>
      </c>
      <c r="E363" s="6">
        <f>PlanetRiseSet(Lat,Long,B363,1,1)+TimeZone/24+0.00103009259259259</f>
        <v>45705.920019903839</v>
      </c>
      <c r="F363" s="6">
        <f>PlanetRiseSet(Lat,Long,B363+1,1,2)+TimeZone/24+0.00103009259259259</f>
        <v>45707.440845592566</v>
      </c>
      <c r="G363" s="17">
        <f>Panchanga!$C363-TimeZone/24</f>
        <v>45706.043200269807</v>
      </c>
      <c r="H363" s="13" t="str">
        <f>INT(P[[#This Row],[Sun]]/30)&amp;"s"&amp;ROUNDUP(MOD(P[[#This Row],[Sun]],30),2)</f>
        <v>10s5.42</v>
      </c>
      <c r="I363" s="13" t="str">
        <f>INT(P[[#This Row],[Moon]]/30)&amp;"s"&amp;ROUNDUP(MOD(P[[#This Row],[Moon]],30),2)</f>
        <v>6s6.15</v>
      </c>
      <c r="J363" s="14">
        <f t="shared" si="48"/>
        <v>45706.043200269807</v>
      </c>
      <c r="K363" s="10" t="str">
        <f>naks(P[[#This Row],[Moon]])</f>
        <v>Chitra</v>
      </c>
      <c r="L363" s="15">
        <f>(C364-P[[#This Row],[SunRise]])/(MOD(360+V364-P[[#This Row],[Moon]],360))*(13.3333333333333-MOD(P[[#This Row],[Moon]],13.333333333333))+P[[#This Row],[SunRise]]</f>
        <v>45706.316325258013</v>
      </c>
      <c r="M363" s="4" t="str">
        <f>IF(Panchanga!$R363&gt;15,"K","S")&amp;ROUNDUP(MOD(Panchanga!$R363,15),0)&amp;" ("&amp;ROUND(Panchanga!$R363,2)&amp;")"</f>
        <v>K6 (20.06)</v>
      </c>
      <c r="N363" s="4">
        <f>IF(AND(Panchanga!$R363&lt;28.5,Panchanga!$R363&gt;0.49999),MOD((Panchanga!$R363-0.5)*2,7),MOD((Panchanga!$R363+30-28.5),30)*2+7)</f>
        <v>4.1229999999999976</v>
      </c>
      <c r="O363" s="4" t="str">
        <f>CHOOSE(ROUNDUP(Panchanga!$N363,0),"Bhava","Baalava","Kaulava","Taitula","Garija","Vanija","Vishti","Shakuni","Chatushapda","Naaga","Kimstugna")</f>
        <v>Garija</v>
      </c>
      <c r="P363" s="11" t="str">
        <f>CHOOSE(ROUNDUP(Panchanga!$S363,0),"viṣkambha","prīti","āyuṣmāna","saubhāgya","śobhana","atigaṇḍa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("&amp;Panchanga!$S363&amp;")"</f>
        <v>gaṇḍa  (9.87)</v>
      </c>
      <c r="Q363" s="4">
        <f>IF(AND(Panchanga!$R363&lt;28.5,Panchanga!$R363&gt;0.49999),MOD((Panchanga!$R363-0.5)*2,7),MOD((Panchanga!$R363+30-28.5),30)*2+7)</f>
        <v>4.1229999999999976</v>
      </c>
      <c r="R363" s="4">
        <f>ROUNDUP(MOD(360+P[[#This Row],[Moon]]-P[[#This Row],[Sun]],360)/12,4)</f>
        <v>20.061499999999999</v>
      </c>
      <c r="S363" s="4">
        <f>ROUNDUP(MOD(P[[#This Row],[Sun]]+P[[#This Row],[Moon]],360)/13.333333333,2)</f>
        <v>9.8699999999999992</v>
      </c>
      <c r="T363" s="4" t="str">
        <f>SIGN(W364-Panchanga!$W363)*INT(Panchanga!$W363/30+1)&amp;"Ma,"&amp;SIGN(X364-Panchanga!$X363)*INT(Panchanga!$X363/30+1)&amp;"Me,"&amp;SIGN(Y364-Panchanga!$Y363)*INT(Panchanga!$Y363/30+1)&amp;"J, "&amp;SIGN(Z364-Panchanga!$Z363)*INT(Panchanga!$Z363/30+1)&amp;"V,"&amp;SIGN(AA364-Panchanga!$AA363)*INT(Panchanga!$AA363/30+1)&amp;"S,"&amp;INT(Panchanga!$AB363/30+1)&amp;"R"</f>
        <v>-3Ma,11Me,2J, 12V,11S,12R</v>
      </c>
      <c r="U363" s="4">
        <f t="shared" si="46"/>
        <v>305.41014271692444</v>
      </c>
      <c r="V363" s="4">
        <f t="shared" si="47"/>
        <v>186.14725761881337</v>
      </c>
      <c r="W363" s="4">
        <f>Planet(Panchanga!$G363,4)</f>
        <v>83.037667762918716</v>
      </c>
      <c r="X363" s="4">
        <f>Planet(Panchanga!$G363,2)</f>
        <v>312.31839977366752</v>
      </c>
      <c r="Y363" s="4">
        <f>Planet(Panchanga!$G363,5)</f>
        <v>47.382036985498758</v>
      </c>
      <c r="Z363" s="4">
        <f>Planet(Panchanga!$G363,3)</f>
        <v>343.95044118596957</v>
      </c>
      <c r="AA363" s="4">
        <f>Planet(Panchanga!$G363,6)</f>
        <v>325.15833967945008</v>
      </c>
      <c r="AB363" s="4">
        <f>Planet(Panchanga!$G363,10)</f>
        <v>334.7450771893923</v>
      </c>
      <c r="AC363" s="4" t="str">
        <f>TEXT(Panchanga!$C363+($C364-Panchanga!$C363)/ABS(IF($R364&lt;1,$R364+30,$R364)-Panchanga!$R363)*(ROUNDUP(Panchanga!$R363,0)-Panchanga!$R363),"hh:mm AM/PM")</f>
        <v>07:32 AM</v>
      </c>
      <c r="AD363" s="4"/>
    </row>
    <row r="364" spans="1:30" x14ac:dyDescent="0.2">
      <c r="A364" s="3">
        <f t="shared" si="49"/>
        <v>45707</v>
      </c>
      <c r="B364" s="3">
        <f t="shared" si="44"/>
        <v>45707.229166666664</v>
      </c>
      <c r="C364" s="6">
        <f t="shared" si="45"/>
        <v>45707.272061364878</v>
      </c>
      <c r="D364" s="6">
        <f>sunset(Lat,Long,B364)+TimeZone/24-0.000277777777777778</f>
        <v>45706.76037142011</v>
      </c>
      <c r="E364" s="6">
        <f>PlanetRiseSet(Lat,Long,B364,1,1)+TimeZone/24+0.00103009259259259</f>
        <v>45706.952790165007</v>
      </c>
      <c r="F364" s="6">
        <f>PlanetRiseSet(Lat,Long,B364+1,1,2)+TimeZone/24+0.00103009259259259</f>
        <v>45708.469536062948</v>
      </c>
      <c r="G364" s="17">
        <f>Panchanga!$C364-TimeZone/24</f>
        <v>45707.042894698214</v>
      </c>
      <c r="H364" s="13" t="str">
        <f>INT(P[[#This Row],[Sun]]/30)&amp;"s"&amp;ROUNDUP(MOD(P[[#This Row],[Sun]],30),2)</f>
        <v>10s6.42</v>
      </c>
      <c r="I364" s="13" t="str">
        <f>INT(P[[#This Row],[Moon]]/30)&amp;"s"&amp;ROUNDUP(MOD(P[[#This Row],[Moon]],30),2)</f>
        <v>6s17.96</v>
      </c>
      <c r="J364" s="14">
        <f t="shared" si="48"/>
        <v>45707.042894698214</v>
      </c>
      <c r="K364" s="10" t="str">
        <f>naks(P[[#This Row],[Moon]])</f>
        <v>Swati</v>
      </c>
      <c r="L364" s="15">
        <f>(C365-P[[#This Row],[SunRise]])/(MOD(360+V365-P[[#This Row],[Moon]],360))*(13.3333333333333-MOD(P[[#This Row],[Moon]],13.333333333333))+P[[#This Row],[SunRise]]</f>
        <v>45707.443648949731</v>
      </c>
      <c r="M364" s="4" t="str">
        <f>IF(Panchanga!$R364&gt;15,"K","S")&amp;ROUNDUP(MOD(Panchanga!$R364,15),0)&amp;" ("&amp;ROUND(Panchanga!$R364,2)&amp;")"</f>
        <v>K6 (20.96)</v>
      </c>
      <c r="N364" s="4">
        <f>IF(AND(Panchanga!$R364&lt;28.5,Panchanga!$R364&gt;0.49999),MOD((Panchanga!$R364-0.5)*2,7),MOD((Panchanga!$R364+30-28.5),30)*2+7)</f>
        <v>5.9236000000000004</v>
      </c>
      <c r="O364" s="4" t="str">
        <f>CHOOSE(ROUNDUP(Panchanga!$N364,0),"Bhava","Baalava","Kaulava","Taitula","Garija","Vanija","Vishti","Shakuni","Chatushapda","Naaga","Kimstugna")</f>
        <v>Vanija</v>
      </c>
      <c r="P364" s="11" t="str">
        <f>CHOOSE(ROUNDUP(Panchanga!$S364,0),"viṣkambha","prīti","āyuṣmāna","saubhāgya","śobhana","atigaṇḍa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("&amp;Panchanga!$S364&amp;")"</f>
        <v>vṛddhi  (10.83)</v>
      </c>
      <c r="Q364" s="4">
        <f>IF(AND(Panchanga!$R364&lt;28.5,Panchanga!$R364&gt;0.49999),MOD((Panchanga!$R364-0.5)*2,7),MOD((Panchanga!$R364+30-28.5),30)*2+7)</f>
        <v>5.9236000000000004</v>
      </c>
      <c r="R364" s="4">
        <f>ROUNDUP(MOD(360+P[[#This Row],[Moon]]-P[[#This Row],[Sun]],360)/12,4)</f>
        <v>20.9618</v>
      </c>
      <c r="S364" s="4">
        <f>ROUNDUP(MOD(P[[#This Row],[Sun]]+P[[#This Row],[Moon]],360)/13.333333333,2)</f>
        <v>10.83</v>
      </c>
      <c r="T364" s="4" t="str">
        <f>SIGN(W365-Panchanga!$W364)*INT(Panchanga!$W364/30+1)&amp;"Ma,"&amp;SIGN(X365-Panchanga!$X364)*INT(Panchanga!$X364/30+1)&amp;"Me,"&amp;SIGN(Y365-Panchanga!$Y364)*INT(Panchanga!$Y364/30+1)&amp;"J, "&amp;SIGN(Z365-Panchanga!$Z364)*INT(Panchanga!$Z364/30+1)&amp;"V,"&amp;SIGN(AA365-Panchanga!$AA364)*INT(Panchanga!$AA364/30+1)&amp;"S,"&amp;INT(Panchanga!$AB364/30+1)&amp;"R"</f>
        <v>-3Ma,11Me,2J, 12V,11S,12R</v>
      </c>
      <c r="U364" s="4">
        <f t="shared" si="46"/>
        <v>306.41834860958869</v>
      </c>
      <c r="V364" s="4">
        <f t="shared" si="47"/>
        <v>197.95959059658713</v>
      </c>
      <c r="W364" s="4">
        <f>Planet(Panchanga!$G364,4)</f>
        <v>82.967020041865638</v>
      </c>
      <c r="X364" s="4">
        <f>Planet(Panchanga!$G364,2)</f>
        <v>314.17542118337184</v>
      </c>
      <c r="Y364" s="4">
        <f>Planet(Panchanga!$G364,5)</f>
        <v>47.428837710269548</v>
      </c>
      <c r="Z364" s="4">
        <f>Planet(Panchanga!$G364,3)</f>
        <v>344.35884191309111</v>
      </c>
      <c r="AA364" s="4">
        <f>Planet(Panchanga!$G364,6)</f>
        <v>325.27712217245067</v>
      </c>
      <c r="AB364" s="4">
        <f>Planet(Panchanga!$G364,10)</f>
        <v>334.69210139563984</v>
      </c>
      <c r="AC364" s="4" t="str">
        <f>TEXT(Panchanga!$C364+($C365-Panchanga!$C364)/ABS(IF($R365&lt;1,$R365+30,$R365)-Panchanga!$R364)*(ROUNDUP(Panchanga!$R364,0)-Panchanga!$R364),"hh:mm AM/PM")</f>
        <v>07:32 AM</v>
      </c>
      <c r="AD364" s="4"/>
    </row>
    <row r="365" spans="1:30" x14ac:dyDescent="0.2">
      <c r="A365" s="3">
        <f t="shared" si="49"/>
        <v>45708</v>
      </c>
      <c r="B365" s="3">
        <f t="shared" si="44"/>
        <v>45708.229166666664</v>
      </c>
      <c r="C365" s="6">
        <f t="shared" si="45"/>
        <v>45708.271746718012</v>
      </c>
      <c r="D365" s="6">
        <f>sunset(Lat,Long,B365)+TimeZone/24-0.000277777777777778</f>
        <v>45707.760549214247</v>
      </c>
      <c r="E365" s="6">
        <f>PlanetRiseSet(Lat,Long,B365,1,1)+TimeZone/24+0.00103009259259259</f>
        <v>45707.987098662335</v>
      </c>
      <c r="F365" s="6">
        <f>PlanetRiseSet(Lat,Long,B365+1,1,2)+TimeZone/24+0.00103009259259259</f>
        <v>45708.469536079247</v>
      </c>
      <c r="G365" s="17">
        <f>Panchanga!$C365-TimeZone/24</f>
        <v>45708.042580051348</v>
      </c>
      <c r="H365" s="13" t="str">
        <f>INT(P[[#This Row],[Sun]]/30)&amp;"s"&amp;ROUNDUP(MOD(P[[#This Row],[Sun]],30),2)</f>
        <v>10s7.43</v>
      </c>
      <c r="I365" s="13" t="str">
        <f>INT(P[[#This Row],[Moon]]/30)&amp;"s"&amp;ROUNDUP(MOD(P[[#This Row],[Moon]],30),2)</f>
        <v>6s29.85</v>
      </c>
      <c r="J365" s="14">
        <f t="shared" si="48"/>
        <v>45708.042580051348</v>
      </c>
      <c r="K365" s="10" t="str">
        <f>naks(P[[#This Row],[Moon]])</f>
        <v>Visakha</v>
      </c>
      <c r="L365" s="15">
        <f>(C366-P[[#This Row],[SunRise]])/(MOD(360+V366-P[[#This Row],[Moon]],360))*(13.3333333333333-MOD(P[[#This Row],[Moon]],13.333333333333))+P[[#This Row],[SunRise]]</f>
        <v>45708.561061412875</v>
      </c>
      <c r="M365" s="4" t="str">
        <f>IF(Panchanga!$R365&gt;15,"K","S")&amp;ROUNDUP(MOD(Panchanga!$R365,15),0)&amp;" ("&amp;ROUND(Panchanga!$R365,2)&amp;")"</f>
        <v>K7 (21.87)</v>
      </c>
      <c r="N365" s="4">
        <f>IF(AND(Panchanga!$R365&lt;28.5,Panchanga!$R365&gt;0.49999),MOD((Panchanga!$R365-0.5)*2,7),MOD((Panchanga!$R365+30-28.5),30)*2+7)</f>
        <v>0.73700000000000188</v>
      </c>
      <c r="O365" s="4" t="str">
        <f>CHOOSE(ROUNDUP(Panchanga!$N365,0),"Bhava","Baalava","Kaulava","Taitula","Garija","Vanija","Vishti","Shakuni","Chatushapda","Naaga","Kimstugna")</f>
        <v>Bhava</v>
      </c>
      <c r="P365" s="11" t="str">
        <f>CHOOSE(ROUNDUP(Panchanga!$S365,0),"viṣkambha","prīti","āyuṣmāna","saubhāgya","śobhana","atigaṇḍa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("&amp;Panchanga!$S365&amp;")"</f>
        <v>dhruva  (11.8)</v>
      </c>
      <c r="Q365" s="4">
        <f>IF(AND(Panchanga!$R365&lt;28.5,Panchanga!$R365&gt;0.49999),MOD((Panchanga!$R365-0.5)*2,7),MOD((Panchanga!$R365+30-28.5),30)*2+7)</f>
        <v>0.73700000000000188</v>
      </c>
      <c r="R365" s="4">
        <f>ROUNDUP(MOD(360+P[[#This Row],[Moon]]-P[[#This Row],[Sun]],360)/12,4)</f>
        <v>21.868500000000001</v>
      </c>
      <c r="S365" s="4">
        <f>ROUNDUP(MOD(P[[#This Row],[Sun]]+P[[#This Row],[Moon]],360)/13.333333333,2)</f>
        <v>11.799999999999999</v>
      </c>
      <c r="T365" s="4" t="str">
        <f>SIGN(W366-Panchanga!$W365)*INT(Panchanga!$W365/30+1)&amp;"Ma,"&amp;SIGN(X366-Panchanga!$X365)*INT(Panchanga!$X365/30+1)&amp;"Me,"&amp;SIGN(Y366-Panchanga!$Y365)*INT(Panchanga!$Y365/30+1)&amp;"J, "&amp;SIGN(Z366-Panchanga!$Z365)*INT(Panchanga!$Z365/30+1)&amp;"V,"&amp;SIGN(AA366-Panchanga!$AA365)*INT(Panchanga!$AA365/30+1)&amp;"S,"&amp;INT(Panchanga!$AB365/30+1)&amp;"R"</f>
        <v>-3Ma,11Me,2J, 12V,11S,12R</v>
      </c>
      <c r="U365" s="4">
        <f t="shared" si="46"/>
        <v>307.42618452185121</v>
      </c>
      <c r="V365" s="4">
        <f t="shared" si="47"/>
        <v>209.84720703857369</v>
      </c>
      <c r="W365" s="4">
        <f>Planet(Panchanga!$G365,4)</f>
        <v>82.909344930903529</v>
      </c>
      <c r="X365" s="4">
        <f>Planet(Panchanga!$G365,2)</f>
        <v>316.03412019505419</v>
      </c>
      <c r="Y365" s="4">
        <f>Planet(Panchanga!$G365,5)</f>
        <v>47.478816763915034</v>
      </c>
      <c r="Z365" s="4">
        <f>Planet(Panchanga!$G365,3)</f>
        <v>344.73691655097724</v>
      </c>
      <c r="AA365" s="4">
        <f>Planet(Panchanga!$G365,6)</f>
        <v>325.39632199170046</v>
      </c>
      <c r="AB365" s="4">
        <f>Planet(Panchanga!$G365,10)</f>
        <v>334.63912608283238</v>
      </c>
      <c r="AC365" s="4" t="str">
        <f>TEXT(Panchanga!$C365+($C366-Panchanga!$C365)/ABS(IF($R366&lt;1,$R366+30,$R366)-Panchanga!$R365)*(ROUNDUP(Panchanga!$R365,0)-Panchanga!$R365),"hh:mm AM/PM")</f>
        <v>09:57 AM</v>
      </c>
      <c r="AD365" s="4"/>
    </row>
    <row r="366" spans="1:30" x14ac:dyDescent="0.2">
      <c r="A366" s="3">
        <f t="shared" si="49"/>
        <v>45709</v>
      </c>
      <c r="B366" s="3">
        <f t="shared" si="44"/>
        <v>45709.229166666664</v>
      </c>
      <c r="C366" s="6">
        <f t="shared" si="45"/>
        <v>45709.271423239414</v>
      </c>
      <c r="D366" s="6">
        <f>sunset(Lat,Long,B366)+TimeZone/24-0.000277777777777778</f>
        <v>45708.760720999024</v>
      </c>
      <c r="E366" s="6">
        <f>PlanetRiseSet(Lat,Long,B366,1,1)+TimeZone/24+0.00103009259259259</f>
        <v>45709.023220848911</v>
      </c>
      <c r="F366" s="6">
        <f>PlanetRiseSet(Lat,Long,B366+1,1,2)+TimeZone/24+0.00103009259259259</f>
        <v>45709.501364699252</v>
      </c>
      <c r="G366" s="17">
        <f>Panchanga!$C366-TimeZone/24</f>
        <v>45709.042256572749</v>
      </c>
      <c r="H366" s="13" t="str">
        <f>INT(P[[#This Row],[Sun]]/30)&amp;"s"&amp;ROUNDUP(MOD(P[[#This Row],[Sun]],30),2)</f>
        <v>10s8.44</v>
      </c>
      <c r="I366" s="13" t="str">
        <f>INT(P[[#This Row],[Moon]]/30)&amp;"s"&amp;ROUNDUP(MOD(P[[#This Row],[Moon]],30),2)</f>
        <v>7s11.9</v>
      </c>
      <c r="J366" s="14">
        <f t="shared" si="48"/>
        <v>45709.042256572749</v>
      </c>
      <c r="K366" s="10" t="str">
        <f>naks(P[[#This Row],[Moon]])</f>
        <v>Anuradha</v>
      </c>
      <c r="L366" s="15">
        <f>(C367-P[[#This Row],[SunRise]])/(MOD(360+V367-P[[#This Row],[Moon]],360))*(13.3333333333333-MOD(P[[#This Row],[Moon]],13.333333333333))+P[[#This Row],[SunRise]]</f>
        <v>45709.659865620153</v>
      </c>
      <c r="M366" s="4" t="str">
        <f>IF(Panchanga!$R366&gt;15,"K","S")&amp;ROUNDUP(MOD(Panchanga!$R366,15),0)&amp;" ("&amp;ROUND(Panchanga!$R366,2)&amp;")"</f>
        <v>K8 (22.79)</v>
      </c>
      <c r="N366" s="4">
        <f>IF(AND(Panchanga!$R366&lt;28.5,Panchanga!$R366&gt;0.49999),MOD((Panchanga!$R366-0.5)*2,7),MOD((Panchanga!$R366+30-28.5),30)*2+7)</f>
        <v>2.5765999999999991</v>
      </c>
      <c r="O366" s="4" t="str">
        <f>CHOOSE(ROUNDUP(Panchanga!$N366,0),"Bhava","Baalava","Kaulava","Taitula","Garija","Vanija","Vishti","Shakuni","Chatushapda","Naaga","Kimstugna")</f>
        <v>Kaulava</v>
      </c>
      <c r="P366" s="11" t="str">
        <f>CHOOSE(ROUNDUP(Panchanga!$S366,0),"viṣkambha","prīti","āyuṣmāna","saubhāgya","śobhana","atigaṇḍa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("&amp;Panchanga!$S366&amp;")"</f>
        <v>vyāghāta (12.78)</v>
      </c>
      <c r="Q366" s="4">
        <f>IF(AND(Panchanga!$R366&lt;28.5,Panchanga!$R366&gt;0.49999),MOD((Panchanga!$R366-0.5)*2,7),MOD((Panchanga!$R366+30-28.5),30)*2+7)</f>
        <v>2.5765999999999991</v>
      </c>
      <c r="R366" s="4">
        <f>ROUNDUP(MOD(360+P[[#This Row],[Moon]]-P[[#This Row],[Sun]],360)/12,4)</f>
        <v>22.7883</v>
      </c>
      <c r="S366" s="4">
        <f>ROUNDUP(MOD(P[[#This Row],[Sun]]+P[[#This Row],[Moon]],360)/13.333333333,2)</f>
        <v>12.78</v>
      </c>
      <c r="T366" s="4" t="str">
        <f>SIGN(W367-Panchanga!$W366)*INT(Panchanga!$W366/30+1)&amp;"Ma,"&amp;SIGN(X367-Panchanga!$X366)*INT(Panchanga!$X366/30+1)&amp;"Me,"&amp;SIGN(Y367-Panchanga!$Y366)*INT(Panchanga!$Y366/30+1)&amp;"J, "&amp;SIGN(Z367-Panchanga!$Z366)*INT(Panchanga!$Z366/30+1)&amp;"V,"&amp;SIGN(AA367-Panchanga!$AA366)*INT(Panchanga!$AA366/30+1)&amp;"S,"&amp;INT(Panchanga!$AB366/30+1)&amp;"R"</f>
        <v>-3Ma,11Me,2J, 12V,11S,12R</v>
      </c>
      <c r="U366" s="4">
        <f t="shared" si="46"/>
        <v>308.43364801960132</v>
      </c>
      <c r="V366" s="4">
        <f t="shared" si="47"/>
        <v>221.8929090695072</v>
      </c>
      <c r="W366" s="4">
        <f>Planet(Panchanga!$G366,4)</f>
        <v>82.864548683284298</v>
      </c>
      <c r="X366" s="4">
        <f>Planet(Panchanga!$G366,2)</f>
        <v>317.89150850412966</v>
      </c>
      <c r="Y366" s="4">
        <f>Planet(Panchanga!$G366,5)</f>
        <v>47.531954310612079</v>
      </c>
      <c r="Z366" s="4">
        <f>Planet(Panchanga!$G366,3)</f>
        <v>345.083642390541</v>
      </c>
      <c r="AA366" s="4">
        <f>Planet(Panchanga!$G366,6)</f>
        <v>325.51592062404359</v>
      </c>
      <c r="AB366" s="4">
        <f>Planet(Panchanga!$G366,10)</f>
        <v>334.58615123801331</v>
      </c>
      <c r="AC366" s="4" t="str">
        <f>TEXT(Panchanga!$C366+($C367-Panchanga!$C366)/ABS(IF($R367&lt;1,$R367+30,$R367)-Panchanga!$R366)*(ROUNDUP(Panchanga!$R366,0)-Panchanga!$R366),"hh:mm AM/PM")</f>
        <v>11:55 AM</v>
      </c>
      <c r="AD366" s="4"/>
    </row>
    <row r="367" spans="1:30" x14ac:dyDescent="0.2">
      <c r="A367" s="3">
        <f t="shared" si="49"/>
        <v>45710</v>
      </c>
      <c r="B367" s="3">
        <f t="shared" si="44"/>
        <v>45710.229166666664</v>
      </c>
      <c r="C367" s="6">
        <f t="shared" si="45"/>
        <v>45710.271091171693</v>
      </c>
      <c r="D367" s="6">
        <f>sunset(Lat,Long,B367)+TimeZone/24-0.000277777777777778</f>
        <v>45709.760886882941</v>
      </c>
      <c r="E367" s="6">
        <f>PlanetRiseSet(Lat,Long,B367,1,1)+TimeZone/24+0.00103009259259259</f>
        <v>45710.061014501531</v>
      </c>
      <c r="F367" s="6">
        <f>PlanetRiseSet(Lat,Long,B367+1,1,2)+TimeZone/24+0.00103009259259259</f>
        <v>45710.536656317454</v>
      </c>
      <c r="G367" s="17">
        <f>Panchanga!$C367-TimeZone/24</f>
        <v>45710.041924505029</v>
      </c>
      <c r="H367" s="13" t="str">
        <f>INT(P[[#This Row],[Sun]]/30)&amp;"s"&amp;ROUNDUP(MOD(P[[#This Row],[Sun]],30),2)</f>
        <v>10s9.45</v>
      </c>
      <c r="I367" s="13" t="str">
        <f>INT(P[[#This Row],[Moon]]/30)&amp;"s"&amp;ROUNDUP(MOD(P[[#This Row],[Moon]],30),2)</f>
        <v>7s24.18</v>
      </c>
      <c r="J367" s="14">
        <f t="shared" si="48"/>
        <v>45710.041924505029</v>
      </c>
      <c r="K367" s="10" t="str">
        <f>naks(P[[#This Row],[Moon]])</f>
        <v>Jyestha</v>
      </c>
      <c r="L367" s="15">
        <f>(C368-P[[#This Row],[SunRise]])/(MOD(360+V368-P[[#This Row],[Moon]],360))*(13.3333333333333-MOD(P[[#This Row],[Moon]],13.333333333333))+P[[#This Row],[SunRise]]</f>
        <v>45710.732999611893</v>
      </c>
      <c r="M367" s="4" t="str">
        <f>IF(Panchanga!$R367&gt;15,"K","S")&amp;ROUNDUP(MOD(Panchanga!$R367,15),0)&amp;" ("&amp;ROUND(Panchanga!$R367,2)&amp;")"</f>
        <v>K9 (23.73)</v>
      </c>
      <c r="N367" s="4">
        <f>IF(AND(Panchanga!$R367&lt;28.5,Panchanga!$R367&gt;0.49999),MOD((Panchanga!$R367-0.5)*2,7),MOD((Panchanga!$R367+30-28.5),30)*2+7)</f>
        <v>4.4564000000000021</v>
      </c>
      <c r="O367" s="4" t="str">
        <f>CHOOSE(ROUNDUP(Panchanga!$N367,0),"Bhava","Baalava","Kaulava","Taitula","Garija","Vanija","Vishti","Shakuni","Chatushapda","Naaga","Kimstugna")</f>
        <v>Garija</v>
      </c>
      <c r="P367" s="11" t="str">
        <f>CHOOSE(ROUNDUP(Panchanga!$S367,0),"viṣkambha","prīti","āyuṣmāna","saubhāgya","śobhana","atigaṇḍa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("&amp;Panchanga!$S367&amp;")"</f>
        <v>harṣaṇa (13.78)</v>
      </c>
      <c r="Q367" s="4">
        <f>IF(AND(Panchanga!$R367&lt;28.5,Panchanga!$R367&gt;0.49999),MOD((Panchanga!$R367-0.5)*2,7),MOD((Panchanga!$R367+30-28.5),30)*2+7)</f>
        <v>4.4564000000000021</v>
      </c>
      <c r="R367" s="4">
        <f>ROUNDUP(MOD(360+P[[#This Row],[Moon]]-P[[#This Row],[Sun]],360)/12,4)</f>
        <v>23.728200000000001</v>
      </c>
      <c r="S367" s="4">
        <f>ROUNDUP(MOD(P[[#This Row],[Sun]]+P[[#This Row],[Moon]],360)/13.333333333,2)</f>
        <v>13.78</v>
      </c>
      <c r="T367" s="4" t="str">
        <f>SIGN(W368-Panchanga!$W367)*INT(Panchanga!$W367/30+1)&amp;"Ma,"&amp;SIGN(X368-Panchanga!$X367)*INT(Panchanga!$X367/30+1)&amp;"Me,"&amp;SIGN(Y368-Panchanga!$Y367)*INT(Panchanga!$Y367/30+1)&amp;"J, "&amp;SIGN(Z368-Panchanga!$Z367)*INT(Panchanga!$Z367/30+1)&amp;"V,"&amp;SIGN(AA368-Panchanga!$AA367)*INT(Panchanga!$AA367/30+1)&amp;"S,"&amp;INT(Panchanga!$AB367/30+1)&amp;"R"</f>
        <v>-3Ma,11Me,2J, 12V,11S,12R</v>
      </c>
      <c r="U367" s="4">
        <f t="shared" si="46"/>
        <v>309.44073461222234</v>
      </c>
      <c r="V367" s="4">
        <f t="shared" si="47"/>
        <v>234.17831515026393</v>
      </c>
      <c r="W367" s="4">
        <f>Planet(Panchanga!$G367,4)</f>
        <v>82.832527710779303</v>
      </c>
      <c r="X367" s="4">
        <f>Planet(Panchanga!$G367,2)</f>
        <v>319.74404355676955</v>
      </c>
      <c r="Y367" s="4">
        <f>Planet(Panchanga!$G367,5)</f>
        <v>47.588230032993096</v>
      </c>
      <c r="Z367" s="4">
        <f>Planet(Panchanga!$G367,3)</f>
        <v>345.39799089453618</v>
      </c>
      <c r="AA367" s="4">
        <f>Planet(Panchanga!$G367,6)</f>
        <v>325.63589933685006</v>
      </c>
      <c r="AB367" s="4">
        <f>Planet(Panchanga!$G367,10)</f>
        <v>334.53317684834161</v>
      </c>
      <c r="AC367" s="4" t="str">
        <f>TEXT(Panchanga!$C367+($C368-Panchanga!$C367)/ABS(IF($R368&lt;1,$R368+30,$R368)-Panchanga!$R367)*(ROUNDUP(Panchanga!$R367,0)-Panchanga!$R367),"hh:mm AM/PM")</f>
        <v>01:15 PM</v>
      </c>
      <c r="AD367" s="4"/>
    </row>
    <row r="368" spans="1:30" x14ac:dyDescent="0.2">
      <c r="A368" s="3">
        <f t="shared" si="49"/>
        <v>45711</v>
      </c>
      <c r="B368" s="3">
        <f t="shared" si="44"/>
        <v>45711.229166666664</v>
      </c>
      <c r="C368" s="6">
        <f t="shared" si="45"/>
        <v>45711.270750755131</v>
      </c>
      <c r="D368" s="6">
        <f>sunset(Lat,Long,B368)+TimeZone/24-0.000277777777777778</f>
        <v>45710.761046975895</v>
      </c>
      <c r="E368" s="6">
        <f>PlanetRiseSet(Lat,Long,B368,1,1)+TimeZone/24+0.00103009259259259</f>
        <v>45711.099803766854</v>
      </c>
      <c r="F368" s="6">
        <f>PlanetRiseSet(Lat,Long,B368+1,1,2)+TimeZone/24+0.00103009259259259</f>
        <v>45711.575180409629</v>
      </c>
      <c r="G368" s="17">
        <f>Panchanga!$C368-TimeZone/24</f>
        <v>45711.041584088467</v>
      </c>
      <c r="H368" s="13" t="str">
        <f>INT(P[[#This Row],[Sun]]/30)&amp;"s"&amp;ROUNDUP(MOD(P[[#This Row],[Sun]],30),2)</f>
        <v>10s10.45</v>
      </c>
      <c r="I368" s="13" t="str">
        <f>INT(P[[#This Row],[Moon]]/30)&amp;"s"&amp;ROUNDUP(MOD(P[[#This Row],[Moon]],30),2)</f>
        <v>8s6.78</v>
      </c>
      <c r="J368" s="14">
        <f t="shared" si="48"/>
        <v>45711.041584088467</v>
      </c>
      <c r="K368" s="10" t="str">
        <f>naks(P[[#This Row],[Moon]])</f>
        <v>Moola</v>
      </c>
      <c r="L368" s="15">
        <f>(C369-P[[#This Row],[SunRise]])/(MOD(360+V369-P[[#This Row],[Moon]],360))*(13.3333333333333-MOD(P[[#This Row],[Moon]],13.333333333333))+P[[#This Row],[SunRise]]</f>
        <v>45711.77594189017</v>
      </c>
      <c r="M368" s="4" t="str">
        <f>IF(Panchanga!$R368&gt;15,"K","S")&amp;ROUNDUP(MOD(Panchanga!$R368,15),0)&amp;" ("&amp;ROUND(Panchanga!$R368,2)&amp;")"</f>
        <v>K10 (24.69)</v>
      </c>
      <c r="N368" s="4">
        <f>IF(AND(Panchanga!$R368&lt;28.5,Panchanga!$R368&gt;0.49999),MOD((Panchanga!$R368-0.5)*2,7),MOD((Panchanga!$R368+30-28.5),30)*2+7)</f>
        <v>6.3883999999999972</v>
      </c>
      <c r="O368" s="4" t="str">
        <f>CHOOSE(ROUNDUP(Panchanga!$N368,0),"Bhava","Baalava","Kaulava","Taitula","Garija","Vanija","Vishti","Shakuni","Chatushapda","Naaga","Kimstugna")</f>
        <v>Vishti</v>
      </c>
      <c r="P368" s="11" t="str">
        <f>CHOOSE(ROUNDUP(Panchanga!$S368,0),"viṣkambha","prīti","āyuṣmāna","saubhāgya","śobhana","atigaṇḍa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("&amp;Panchanga!$S368&amp;")"</f>
        <v>vajra (14.8)</v>
      </c>
      <c r="Q368" s="4">
        <f>IF(AND(Panchanga!$R368&lt;28.5,Panchanga!$R368&gt;0.49999),MOD((Panchanga!$R368-0.5)*2,7),MOD((Panchanga!$R368+30-28.5),30)*2+7)</f>
        <v>6.3883999999999972</v>
      </c>
      <c r="R368" s="4">
        <f>ROUNDUP(MOD(360+P[[#This Row],[Moon]]-P[[#This Row],[Sun]],360)/12,4)</f>
        <v>24.694199999999999</v>
      </c>
      <c r="S368" s="4">
        <f>ROUNDUP(MOD(P[[#This Row],[Sun]]+P[[#This Row],[Moon]],360)/13.333333333,2)</f>
        <v>14.799999999999999</v>
      </c>
      <c r="T368" s="4" t="str">
        <f>SIGN(W369-Panchanga!$W368)*INT(Panchanga!$W368/30+1)&amp;"Ma,"&amp;SIGN(X369-Panchanga!$X368)*INT(Panchanga!$X368/30+1)&amp;"Me,"&amp;SIGN(Y369-Panchanga!$Y368)*INT(Panchanga!$Y368/30+1)&amp;"J, "&amp;SIGN(Z369-Panchanga!$Z368)*INT(Panchanga!$Z368/30+1)&amp;"V,"&amp;SIGN(AA369-Panchanga!$AA368)*INT(Panchanga!$AA368/30+1)&amp;"S,"&amp;INT(Panchanga!$AB368/30+1)&amp;"R"</f>
        <v>-3Ma,11Me,2J, 12V,11S,12R</v>
      </c>
      <c r="U368" s="4">
        <f t="shared" si="46"/>
        <v>310.44743744759728</v>
      </c>
      <c r="V368" s="4">
        <f t="shared" si="47"/>
        <v>246.7775719407804</v>
      </c>
      <c r="W368" s="4">
        <f>Planet(Panchanga!$G368,4)</f>
        <v>82.813169624904845</v>
      </c>
      <c r="X368" s="4">
        <f>Planet(Panchanga!$G368,2)</f>
        <v>321.58757217748854</v>
      </c>
      <c r="Y368" s="4">
        <f>Planet(Panchanga!$G368,5)</f>
        <v>47.647623106639344</v>
      </c>
      <c r="Z368" s="4">
        <f>Planet(Panchanga!$G368,3)</f>
        <v>345.67893289791897</v>
      </c>
      <c r="AA368" s="4">
        <f>Planet(Panchanga!$G368,6)</f>
        <v>325.75623913621456</v>
      </c>
      <c r="AB368" s="4">
        <f>Planet(Panchanga!$G368,10)</f>
        <v>334.48020290110907</v>
      </c>
      <c r="AC368" s="4" t="str">
        <f>TEXT(Panchanga!$C368+($C369-Panchanga!$C368)/ABS(IF($R369&lt;1,$R369+30,$R369)-Panchanga!$R368)*(ROUNDUP(Panchanga!$R368,0)-Panchanga!$R368),"hh:mm AM/PM")</f>
        <v>01:51 PM</v>
      </c>
      <c r="AD368" s="4"/>
    </row>
    <row r="369" spans="1:30" x14ac:dyDescent="0.2">
      <c r="A369" s="3">
        <f t="shared" si="49"/>
        <v>45712</v>
      </c>
      <c r="B369" s="3">
        <f t="shared" si="44"/>
        <v>45712.229166666664</v>
      </c>
      <c r="C369" s="6">
        <f t="shared" si="45"/>
        <v>45712.270402228147</v>
      </c>
      <c r="D369" s="6">
        <f>sunset(Lat,Long,B369)+TimeZone/24-0.000277777777777778</f>
        <v>45711.761201385918</v>
      </c>
      <c r="E369" s="6">
        <f>PlanetRiseSet(Lat,Long,B369,1,1)+TimeZone/24+0.00103009259259259</f>
        <v>45712.138468679193</v>
      </c>
      <c r="F369" s="6">
        <f>PlanetRiseSet(Lat,Long,B369+1,1,2)+TimeZone/24+0.00103009259259259</f>
        <v>45712.616054793973</v>
      </c>
      <c r="G369" s="17">
        <f>Panchanga!$C369-TimeZone/24</f>
        <v>45712.041235561483</v>
      </c>
      <c r="H369" s="13" t="str">
        <f>INT(P[[#This Row],[Sun]]/30)&amp;"s"&amp;ROUNDUP(MOD(P[[#This Row],[Sun]],30),2)</f>
        <v>10s11.46</v>
      </c>
      <c r="I369" s="13" t="str">
        <f>INT(P[[#This Row],[Moon]]/30)&amp;"s"&amp;ROUNDUP(MOD(P[[#This Row],[Moon]],30),2)</f>
        <v>8s19.75</v>
      </c>
      <c r="J369" s="14">
        <f t="shared" si="48"/>
        <v>45712.041235561483</v>
      </c>
      <c r="K369" s="10" t="str">
        <f>naks(P[[#This Row],[Moon]])</f>
        <v>Purva Asadha</v>
      </c>
      <c r="L369" s="15">
        <f>(C370-P[[#This Row],[SunRise]])/(MOD(360+V370-P[[#This Row],[Moon]],360))*(13.3333333333333-MOD(P[[#This Row],[Moon]],13.333333333333))+P[[#This Row],[SunRise]]</f>
        <v>45712.787122900198</v>
      </c>
      <c r="M369" s="4" t="str">
        <f>IF(Panchanga!$R369&gt;15,"K","S")&amp;ROUNDUP(MOD(Panchanga!$R369,15),0)&amp;" ("&amp;ROUND(Panchanga!$R369,2)&amp;")"</f>
        <v>K11 (25.69)</v>
      </c>
      <c r="N369" s="4">
        <f>IF(AND(Panchanga!$R369&lt;28.5,Panchanga!$R369&gt;0.49999),MOD((Panchanga!$R369-0.5)*2,7),MOD((Panchanga!$R369+30-28.5),30)*2+7)</f>
        <v>1.382799999999996</v>
      </c>
      <c r="O369" s="4" t="str">
        <f>CHOOSE(ROUNDUP(Panchanga!$N369,0),"Bhava","Baalava","Kaulava","Taitula","Garija","Vanija","Vishti","Shakuni","Chatushapda","Naaga","Kimstugna")</f>
        <v>Baalava</v>
      </c>
      <c r="P369" s="11" t="str">
        <f>CHOOSE(ROUNDUP(Panchanga!$S369,0),"viṣkambha","prīti","āyuṣmāna","saubhāgya","śobhana","atigaṇḍa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("&amp;Panchanga!$S369&amp;")"</f>
        <v>siddhi (15.85)</v>
      </c>
      <c r="Q369" s="4">
        <f>IF(AND(Panchanga!$R369&lt;28.5,Panchanga!$R369&gt;0.49999),MOD((Panchanga!$R369-0.5)*2,7),MOD((Panchanga!$R369+30-28.5),30)*2+7)</f>
        <v>1.382799999999996</v>
      </c>
      <c r="R369" s="4">
        <f>ROUNDUP(MOD(360+P[[#This Row],[Moon]]-P[[#This Row],[Sun]],360)/12,4)</f>
        <v>25.691399999999998</v>
      </c>
      <c r="S369" s="4">
        <f>ROUNDUP(MOD(P[[#This Row],[Sun]]+P[[#This Row],[Moon]],360)/13.333333333,2)</f>
        <v>15.85</v>
      </c>
      <c r="T369" s="4" t="str">
        <f>SIGN(W370-Panchanga!$W369)*INT(Panchanga!$W369/30+1)&amp;"Ma,"&amp;SIGN(X370-Panchanga!$X369)*INT(Panchanga!$X369/30+1)&amp;"Me,"&amp;SIGN(Y370-Panchanga!$Y369)*INT(Panchanga!$Y369/30+1)&amp;"J, "&amp;SIGN(Z370-Panchanga!$Z369)*INT(Panchanga!$Z369/30+1)&amp;"V,"&amp;SIGN(AA370-Panchanga!$AA369)*INT(Panchanga!$AA369/30+1)&amp;"S,"&amp;INT(Panchanga!$AB369/30+1)&amp;"R"</f>
        <v>3Ma,11Me,2J, 12V,11S,12R</v>
      </c>
      <c r="U369" s="4">
        <f t="shared" si="46"/>
        <v>311.4537469562685</v>
      </c>
      <c r="V369" s="4">
        <f t="shared" si="47"/>
        <v>259.7498433807109</v>
      </c>
      <c r="W369" s="4">
        <f>Planet(Panchanga!$G369,4)</f>
        <v>82.806354098136225</v>
      </c>
      <c r="X369" s="4">
        <f>Planet(Panchanga!$G369,2)</f>
        <v>323.41728022656594</v>
      </c>
      <c r="Y369" s="4">
        <f>Planet(Panchanga!$G369,5)</f>
        <v>47.710112142002885</v>
      </c>
      <c r="Z369" s="4">
        <f>Planet(Panchanga!$G369,3)</f>
        <v>345.92544445317554</v>
      </c>
      <c r="AA369" s="4">
        <f>Planet(Panchanga!$G369,6)</f>
        <v>325.87692071719124</v>
      </c>
      <c r="AB369" s="4">
        <f>Planet(Panchanga!$G369,10)</f>
        <v>334.42722938367388</v>
      </c>
      <c r="AC369" s="4" t="str">
        <f>TEXT(Panchanga!$C369+($C370-Panchanga!$C369)/ABS(IF($R370&lt;1,$R370+30,$R370)-Panchanga!$R369)*(ROUNDUP(Panchanga!$R369,0)-Panchanga!$R369),"hh:mm AM/PM")</f>
        <v>01:40 PM</v>
      </c>
      <c r="AD369" s="4"/>
    </row>
    <row r="370" spans="1:30" x14ac:dyDescent="0.2">
      <c r="A370" s="3">
        <f t="shared" si="49"/>
        <v>45713</v>
      </c>
      <c r="B370" s="3">
        <f t="shared" si="44"/>
        <v>45713.229166666664</v>
      </c>
      <c r="C370" s="6">
        <f t="shared" si="45"/>
        <v>45713.270045825433</v>
      </c>
      <c r="D370" s="6">
        <f>sunset(Lat,Long,B370)+TimeZone/24-0.000277777777777778</f>
        <v>45712.761350217319</v>
      </c>
      <c r="E370" s="6">
        <f>PlanetRiseSet(Lat,Long,B370,1,1)+TimeZone/24+0.00103009259259259</f>
        <v>45713.175814410824</v>
      </c>
      <c r="F370" s="6">
        <f>PlanetRiseSet(Lat,Long,B370+1,1,2)+TimeZone/24+0.00103009259259259</f>
        <v>45713.657986874379</v>
      </c>
      <c r="G370" s="17">
        <f>Panchanga!$C370-TimeZone/24</f>
        <v>45713.040879158769</v>
      </c>
      <c r="H370" s="13" t="str">
        <f>INT(P[[#This Row],[Sun]]/30)&amp;"s"&amp;ROUNDUP(MOD(P[[#This Row],[Sun]],30),2)</f>
        <v>10s12.46</v>
      </c>
      <c r="I370" s="13" t="str">
        <f>INT(P[[#This Row],[Moon]]/30)&amp;"s"&amp;ROUNDUP(MOD(P[[#This Row],[Moon]],30),2)</f>
        <v>9s3.14</v>
      </c>
      <c r="J370" s="14">
        <f t="shared" si="48"/>
        <v>45713.040879158769</v>
      </c>
      <c r="K370" s="10" t="str">
        <f>naks(P[[#This Row],[Moon]])</f>
        <v>Uttara Asadha</v>
      </c>
      <c r="L370" s="15">
        <f>(C371-P[[#This Row],[SunRise]])/(MOD(360+V371-P[[#This Row],[Moon]],360))*(13.3333333333333-MOD(P[[#This Row],[Moon]],13.333333333333))+P[[#This Row],[SunRise]]</f>
        <v>45713.767793199702</v>
      </c>
      <c r="M370" s="4" t="str">
        <f>IF(Panchanga!$R370&gt;15,"K","S")&amp;ROUNDUP(MOD(Panchanga!$R370,15),0)&amp;" ("&amp;ROUND(Panchanga!$R370,2)&amp;")"</f>
        <v>K12 (26.72)</v>
      </c>
      <c r="N370" s="4">
        <f>IF(AND(Panchanga!$R370&lt;28.5,Panchanga!$R370&gt;0.49999),MOD((Panchanga!$R370-0.5)*2,7),MOD((Panchanga!$R370+30-28.5),30)*2+7)</f>
        <v>3.4453999999999994</v>
      </c>
      <c r="O370" s="4" t="str">
        <f>CHOOSE(ROUNDUP(Panchanga!$N370,0),"Bhava","Baalava","Kaulava","Taitula","Garija","Vanija","Vishti","Shakuni","Chatushapda","Naaga","Kimstugna")</f>
        <v>Taitula</v>
      </c>
      <c r="P370" s="11" t="str">
        <f>CHOOSE(ROUNDUP(Panchanga!$S370,0),"viṣkambha","prīti","āyuṣmāna","saubhāgya","śobhana","atigaṇḍa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("&amp;Panchanga!$S370&amp;")"</f>
        <v>vyatipāta (16.92)</v>
      </c>
      <c r="Q370" s="4">
        <f>IF(AND(Panchanga!$R370&lt;28.5,Panchanga!$R370&gt;0.49999),MOD((Panchanga!$R370-0.5)*2,7),MOD((Panchanga!$R370+30-28.5),30)*2+7)</f>
        <v>3.4453999999999994</v>
      </c>
      <c r="R370" s="4">
        <f>ROUNDUP(MOD(360+P[[#This Row],[Moon]]-P[[#This Row],[Sun]],360)/12,4)</f>
        <v>26.7227</v>
      </c>
      <c r="S370" s="4">
        <f>ROUNDUP(MOD(P[[#This Row],[Sun]]+P[[#This Row],[Moon]],360)/13.333333333,2)</f>
        <v>16.920000000000002</v>
      </c>
      <c r="T370" s="4" t="str">
        <f>SIGN(W371-Panchanga!$W370)*INT(Panchanga!$W370/30+1)&amp;"Ma,"&amp;SIGN(X371-Panchanga!$X370)*INT(Panchanga!$X370/30+1)&amp;"Me,"&amp;SIGN(Y371-Panchanga!$Y370)*INT(Panchanga!$Y370/30+1)&amp;"J, "&amp;SIGN(Z371-Panchanga!$Z370)*INT(Panchanga!$Z370/30+1)&amp;"V,"&amp;SIGN(AA371-Panchanga!$AA370)*INT(Panchanga!$AA370/30+1)&amp;"S,"&amp;INT(Panchanga!$AB370/30+1)&amp;"R"</f>
        <v>3Ma,11Me,2J, 12V,11S,12R</v>
      </c>
      <c r="U370" s="4">
        <f t="shared" si="46"/>
        <v>312.45965044865045</v>
      </c>
      <c r="V370" s="4">
        <f t="shared" si="47"/>
        <v>273.1310732896381</v>
      </c>
      <c r="W370" s="4">
        <f>Planet(Panchanga!$G370,4)</f>
        <v>82.811953479709203</v>
      </c>
      <c r="X370" s="4">
        <f>Planet(Panchanga!$G370,2)</f>
        <v>325.22765285079447</v>
      </c>
      <c r="Y370" s="4">
        <f>Planet(Panchanga!$G370,5)</f>
        <v>47.775675080287435</v>
      </c>
      <c r="Z370" s="4">
        <f>Planet(Panchanga!$G370,3)</f>
        <v>346.13651331285479</v>
      </c>
      <c r="AA370" s="4">
        <f>Planet(Panchanga!$G370,6)</f>
        <v>325.99792441222093</v>
      </c>
      <c r="AB370" s="4">
        <f>Planet(Panchanga!$G370,10)</f>
        <v>334.37425628355959</v>
      </c>
      <c r="AC370" s="4" t="str">
        <f>TEXT(Panchanga!$C370+($C371-Panchanga!$C370)/ABS(IF($R371&lt;1,$R371+30,$R371)-Panchanga!$R370)*(ROUNDUP(Panchanga!$R370,0)-Panchanga!$R370),"hh:mm AM/PM")</f>
        <v>12:43 PM</v>
      </c>
      <c r="AD370" s="4"/>
    </row>
    <row r="371" spans="1:30" x14ac:dyDescent="0.2">
      <c r="A371" s="3">
        <f t="shared" si="49"/>
        <v>45714</v>
      </c>
      <c r="B371" s="3">
        <f t="shared" si="44"/>
        <v>45714.229166666664</v>
      </c>
      <c r="C371" s="6">
        <f t="shared" si="45"/>
        <v>45714.26968177563</v>
      </c>
      <c r="D371" s="6">
        <f>sunset(Lat,Long,B371)+TimeZone/24-0.000277777777777778</f>
        <v>45713.761493572543</v>
      </c>
      <c r="E371" s="6">
        <f>PlanetRiseSet(Lat,Long,B371,1,1)+TimeZone/24+0.00103009259259259</f>
        <v>45714.211031240564</v>
      </c>
      <c r="F371" s="6">
        <f>PlanetRiseSet(Lat,Long,B371+1,1,2)+TimeZone/24+0.00103009259259259</f>
        <v>45714.699782402407</v>
      </c>
      <c r="G371" s="17">
        <f>Panchanga!$C371-TimeZone/24</f>
        <v>45714.040515108965</v>
      </c>
      <c r="H371" s="13" t="str">
        <f>INT(P[[#This Row],[Sun]]/30)&amp;"s"&amp;ROUNDUP(MOD(P[[#This Row],[Sun]],30),2)</f>
        <v>10s13.47</v>
      </c>
      <c r="I371" s="13" t="str">
        <f>INT(P[[#This Row],[Moon]]/30)&amp;"s"&amp;ROUNDUP(MOD(P[[#This Row],[Moon]],30),2)</f>
        <v>9s16.93</v>
      </c>
      <c r="J371" s="14">
        <f t="shared" si="48"/>
        <v>45714.040515108965</v>
      </c>
      <c r="K371" s="10" t="str">
        <f>naks(P[[#This Row],[Moon]])</f>
        <v>Sravana</v>
      </c>
      <c r="L371" s="15">
        <f>(C372-P[[#This Row],[SunRise]])/(MOD(360+V372-P[[#This Row],[Moon]],360))*(13.3333333333333-MOD(P[[#This Row],[Moon]],13.333333333333))+P[[#This Row],[SunRise]]</f>
        <v>45714.721465428316</v>
      </c>
      <c r="M371" s="4" t="str">
        <f>IF(Panchanga!$R371&gt;15,"K","S")&amp;ROUNDUP(MOD(Panchanga!$R371,15),0)&amp;" ("&amp;ROUND(Panchanga!$R371,2)&amp;")"</f>
        <v>K13 (27.79)</v>
      </c>
      <c r="N371" s="4">
        <f>IF(AND(Panchanga!$R371&lt;28.5,Panchanga!$R371&gt;0.49999),MOD((Panchanga!$R371-0.5)*2,7),MOD((Panchanga!$R371+30-28.5),30)*2+7)</f>
        <v>5.5769999999999982</v>
      </c>
      <c r="O371" s="4" t="str">
        <f>CHOOSE(ROUNDUP(Panchanga!$N371,0),"Bhava","Baalava","Kaulava","Taitula","Garija","Vanija","Vishti","Shakuni","Chatushapda","Naaga","Kimstugna")</f>
        <v>Vanija</v>
      </c>
      <c r="P371" s="11" t="str">
        <f>CHOOSE(ROUNDUP(Panchanga!$S371,0),"viṣkambha","prīti","āyuṣmāna","saubhāgya","śobhana","atigaṇḍa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("&amp;Panchanga!$S371&amp;")"</f>
        <v>parigha (18.03)</v>
      </c>
      <c r="Q371" s="4">
        <f>IF(AND(Panchanga!$R371&lt;28.5,Panchanga!$R371&gt;0.49999),MOD((Panchanga!$R371-0.5)*2,7),MOD((Panchanga!$R371+30-28.5),30)*2+7)</f>
        <v>5.5769999999999982</v>
      </c>
      <c r="R371" s="4">
        <f>ROUNDUP(MOD(360+P[[#This Row],[Moon]]-P[[#This Row],[Sun]],360)/12,4)</f>
        <v>27.788499999999999</v>
      </c>
      <c r="S371" s="4">
        <f>ROUNDUP(MOD(P[[#This Row],[Sun]]+P[[#This Row],[Moon]],360)/13.333333333,2)</f>
        <v>18.03</v>
      </c>
      <c r="T371" s="4" t="str">
        <f>SIGN(W372-Panchanga!$W371)*INT(Panchanga!$W371/30+1)&amp;"Ma,"&amp;SIGN(X372-Panchanga!$X371)*INT(Panchanga!$X371/30+1)&amp;"Me,"&amp;SIGN(Y372-Panchanga!$Y371)*INT(Panchanga!$Y371/30+1)&amp;"J, "&amp;SIGN(Z372-Panchanga!$Z371)*INT(Panchanga!$Z371/30+1)&amp;"V,"&amp;SIGN(AA372-Panchanga!$AA371)*INT(Panchanga!$AA371/30+1)&amp;"S,"&amp;INT(Panchanga!$AB371/30+1)&amp;"R"</f>
        <v>3Ma,11Me,2J, 12V,11S,12R</v>
      </c>
      <c r="U371" s="4">
        <f t="shared" si="46"/>
        <v>313.46513171361698</v>
      </c>
      <c r="V371" s="4">
        <f t="shared" si="47"/>
        <v>286.92607540096191</v>
      </c>
      <c r="W371" s="4">
        <f>Planet(Panchanga!$G371,4)</f>
        <v>82.829833020838919</v>
      </c>
      <c r="X371" s="4">
        <f>Planet(Panchanga!$G371,2)</f>
        <v>327.01245053645539</v>
      </c>
      <c r="Y371" s="4">
        <f>Planet(Panchanga!$G371,5)</f>
        <v>47.844289023749688</v>
      </c>
      <c r="Z371" s="4">
        <f>Planet(Panchanga!$G371,3)</f>
        <v>346.31114613526779</v>
      </c>
      <c r="AA371" s="4">
        <f>Planet(Panchanga!$G371,6)</f>
        <v>326.11923013233269</v>
      </c>
      <c r="AB371" s="4">
        <f>Planet(Panchanga!$G371,10)</f>
        <v>334.32128358872063</v>
      </c>
      <c r="AC371" s="4" t="str">
        <f>TEXT(Panchanga!$C371+($C372-Panchanga!$C371)/ABS(IF($R372&lt;1,$R372+30,$R372)-Panchanga!$R371)*(ROUNDUP(Panchanga!$R371,0)-Panchanga!$R371),"hh:mm AM/PM")</f>
        <v>11:05 AM</v>
      </c>
      <c r="AD371" s="4"/>
    </row>
    <row r="372" spans="1:30" x14ac:dyDescent="0.2">
      <c r="A372" s="3">
        <f t="shared" si="49"/>
        <v>45715</v>
      </c>
      <c r="B372" s="3">
        <f t="shared" si="44"/>
        <v>45715.229166666664</v>
      </c>
      <c r="C372" s="6">
        <f t="shared" si="45"/>
        <v>45715.269310302254</v>
      </c>
      <c r="D372" s="6">
        <f>sunset(Lat,Long,B372)+TimeZone/24-0.000277777777777778</f>
        <v>45714.761631548448</v>
      </c>
      <c r="E372" s="6">
        <f>PlanetRiseSet(Lat,Long,B372,1,1)+TimeZone/24+0.00103009259259259</f>
        <v>45715.243938832231</v>
      </c>
      <c r="F372" s="6">
        <f>PlanetRiseSet(Lat,Long,B372+1,1,2)+TimeZone/24+0.00103009259259259</f>
        <v>45715.740773488455</v>
      </c>
      <c r="G372" s="17">
        <f>Panchanga!$C372-TimeZone/24</f>
        <v>45715.04014363559</v>
      </c>
      <c r="H372" s="13" t="str">
        <f>INT(P[[#This Row],[Sun]]/30)&amp;"s"&amp;ROUNDUP(MOD(P[[#This Row],[Sun]],30),2)</f>
        <v>10s14.48</v>
      </c>
      <c r="I372" s="13" t="str">
        <f>INT(P[[#This Row],[Moon]]/30)&amp;"s"&amp;ROUNDUP(MOD(P[[#This Row],[Moon]],30),2)</f>
        <v>10s1.11</v>
      </c>
      <c r="J372" s="14">
        <f t="shared" si="48"/>
        <v>45715.04014363559</v>
      </c>
      <c r="K372" s="10" t="str">
        <f>naks(P[[#This Row],[Moon]])</f>
        <v>Dhanistha</v>
      </c>
      <c r="L372" s="15">
        <f>(C373-P[[#This Row],[SunRise]])/(MOD(360+V373-P[[#This Row],[Moon]],360))*(13.3333333333333-MOD(P[[#This Row],[Moon]],13.333333333333))+P[[#This Row],[SunRise]]</f>
        <v>45715.653147877805</v>
      </c>
      <c r="M372" s="4" t="str">
        <f>IF(Panchanga!$R372&gt;15,"K","S")&amp;ROUNDUP(MOD(Panchanga!$R372,15),0)&amp;" ("&amp;ROUND(Panchanga!$R372,2)&amp;")"</f>
        <v>K14 (28.89)</v>
      </c>
      <c r="N372" s="4">
        <f>IF(AND(Panchanga!$R372&lt;28.5,Panchanga!$R372&gt;0.49999),MOD((Panchanga!$R372-0.5)*2,7),MOD((Panchanga!$R372+30-28.5),30)*2+7)</f>
        <v>7.772199999999998</v>
      </c>
      <c r="O372" s="4" t="str">
        <f>CHOOSE(ROUNDUP(Panchanga!$N372,0),"Bhava","Baalava","Kaulava","Taitula","Garija","Vanija","Vishti","Shakuni","Chatushapda","Naaga","Kimstugna")</f>
        <v>Shakuni</v>
      </c>
      <c r="P372" s="11" t="str">
        <f>CHOOSE(ROUNDUP(Panchanga!$S372,0),"viṣkambha","prīti","āyuṣmāna","saubhāgya","śobhana","atigaṇḍa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("&amp;Panchanga!$S372&amp;")"</f>
        <v>śiva (19.17)</v>
      </c>
      <c r="Q372" s="4">
        <f>IF(AND(Panchanga!$R372&lt;28.5,Panchanga!$R372&gt;0.49999),MOD((Panchanga!$R372-0.5)*2,7),MOD((Panchanga!$R372+30-28.5),30)*2+7)</f>
        <v>7.772199999999998</v>
      </c>
      <c r="R372" s="4">
        <f>ROUNDUP(MOD(360+P[[#This Row],[Moon]]-P[[#This Row],[Sun]],360)/12,4)</f>
        <v>28.886099999999999</v>
      </c>
      <c r="S372" s="4">
        <f>ROUNDUP(MOD(P[[#This Row],[Sun]]+P[[#This Row],[Moon]],360)/13.333333333,2)</f>
        <v>19.170000000000002</v>
      </c>
      <c r="T372" s="4" t="str">
        <f>SIGN(W373-Panchanga!$W372)*INT(Panchanga!$W372/30+1)&amp;"Ma,"&amp;SIGN(X373-Panchanga!$X372)*INT(Panchanga!$X372/30+1)&amp;"Me,"&amp;SIGN(Y373-Panchanga!$Y372)*INT(Panchanga!$Y372/30+1)&amp;"J, "&amp;SIGN(Z373-Panchanga!$Z372)*INT(Panchanga!$Z372/30+1)&amp;"V,"&amp;SIGN(AA373-Panchanga!$AA372)*INT(Panchanga!$AA372/30+1)&amp;"S,"&amp;INT(Panchanga!$AB372/30+1)&amp;"R"</f>
        <v>3Ma,11Me,2J, 12V,11S,12R</v>
      </c>
      <c r="U372" s="4">
        <f t="shared" si="46"/>
        <v>314.47017080779096</v>
      </c>
      <c r="V372" s="4">
        <f t="shared" si="47"/>
        <v>301.10294472457269</v>
      </c>
      <c r="W372" s="4">
        <f>Planet(Panchanga!$G372,4)</f>
        <v>82.859850527113935</v>
      </c>
      <c r="X372" s="4">
        <f>Planet(Panchanga!$G372,2)</f>
        <v>328.76470661473297</v>
      </c>
      <c r="Y372" s="4">
        <f>Planet(Panchanga!$G372,5)</f>
        <v>47.915929984776291</v>
      </c>
      <c r="Z372" s="4">
        <f>Planet(Panchanga!$G372,3)</f>
        <v>346.44837686265987</v>
      </c>
      <c r="AA372" s="4">
        <f>Planet(Panchanga!$G372,6)</f>
        <v>326.2408173250596</v>
      </c>
      <c r="AB372" s="4">
        <f>Planet(Panchanga!$G372,10)</f>
        <v>334.26831128727724</v>
      </c>
      <c r="AC372" s="4" t="str">
        <f>TEXT(Panchanga!$C372+($C373-Panchanga!$C372)/ABS(IF($R373&lt;1,$R373+30,$R373)-Panchanga!$R372)*(ROUNDUP(Panchanga!$R372,0)-Panchanga!$R372),"hh:mm AM/PM")</f>
        <v>08:53 AM</v>
      </c>
      <c r="AD372" s="4"/>
    </row>
    <row r="373" spans="1:30" x14ac:dyDescent="0.2">
      <c r="A373" s="3">
        <f t="shared" si="49"/>
        <v>45716</v>
      </c>
      <c r="B373" s="3">
        <f t="shared" si="44"/>
        <v>45716.229166666664</v>
      </c>
      <c r="C373" s="6">
        <f t="shared" si="45"/>
        <v>45716.268931621838</v>
      </c>
      <c r="D373" s="6">
        <f>sunset(Lat,Long,B373)+TimeZone/24-0.000277777777777778</f>
        <v>45715.76176423677</v>
      </c>
      <c r="E373" s="6">
        <f>PlanetRiseSet(Lat,Long,B373,1,1)+TimeZone/24+0.00103009259259259</f>
        <v>45716.27493023748</v>
      </c>
      <c r="F373" s="6">
        <f>PlanetRiseSet(Lat,Long,B373+1,1,2)+TimeZone/24+0.00103009259259259</f>
        <v>45716.780926404208</v>
      </c>
      <c r="G373" s="17">
        <f>Panchanga!$C373-TimeZone/24</f>
        <v>45716.039764955174</v>
      </c>
      <c r="H373" s="13" t="str">
        <f>INT(P[[#This Row],[Sun]]/30)&amp;"s"&amp;ROUNDUP(MOD(P[[#This Row],[Sun]],30),2)</f>
        <v>10s15.48</v>
      </c>
      <c r="I373" s="13" t="str">
        <f>INT(P[[#This Row],[Moon]]/30)&amp;"s"&amp;ROUNDUP(MOD(P[[#This Row],[Moon]],30),2)</f>
        <v>10s15.6</v>
      </c>
      <c r="J373" s="14">
        <f t="shared" si="48"/>
        <v>45716.039764955174</v>
      </c>
      <c r="K373" s="10" t="str">
        <f>naks(P[[#This Row],[Moon]])</f>
        <v>Satabhisaj</v>
      </c>
      <c r="L373" s="15">
        <f>(C374-P[[#This Row],[SunRise]])/(MOD(360+V374-P[[#This Row],[Moon]],360))*(13.3333333333333-MOD(P[[#This Row],[Moon]],13.333333333333))+P[[#This Row],[SunRise]]</f>
        <v>45716.568611034592</v>
      </c>
      <c r="M373" s="4" t="str">
        <f>IF(Panchanga!$R373&gt;15,"K","S")&amp;ROUNDUP(MOD(Panchanga!$R373,15),0)&amp;" ("&amp;ROUND(Panchanga!$R373,2)&amp;")"</f>
        <v>S1 (0.01)</v>
      </c>
      <c r="N373" s="4">
        <f>IF(AND(Panchanga!$R373&lt;28.5,Panchanga!$R373&gt;0.49999),MOD((Panchanga!$R373-0.5)*2,7),MOD((Panchanga!$R373+30-28.5),30)*2+7)</f>
        <v>10.019799999999996</v>
      </c>
      <c r="O373" s="4" t="str">
        <f>CHOOSE(ROUNDUP(Panchanga!$N373,0),"Bhava","Baalava","Kaulava","Taitula","Garija","Vanija","Vishti","Shakuni","Chatushapda","Naaga","Kimstugna")</f>
        <v>Kimstugna</v>
      </c>
      <c r="P373" s="11" t="str">
        <f>CHOOSE(ROUNDUP(Panchanga!$S373,0),"viṣkambha","prīti","āyuṣmāna","saubhāgya","śobhana","atigaṇḍa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("&amp;Panchanga!$S373&amp;")"</f>
        <v>siddha (20.34)</v>
      </c>
      <c r="Q373" s="4">
        <f>IF(AND(Panchanga!$R373&lt;28.5,Panchanga!$R373&gt;0.49999),MOD((Panchanga!$R373-0.5)*2,7),MOD((Panchanga!$R373+30-28.5),30)*2+7)</f>
        <v>10.019799999999996</v>
      </c>
      <c r="R373" s="4">
        <f>ROUNDUP(MOD(360+P[[#This Row],[Moon]]-P[[#This Row],[Sun]],360)/12,4)</f>
        <v>9.8999999999999991E-3</v>
      </c>
      <c r="S373" s="4">
        <f>ROUNDUP(MOD(P[[#This Row],[Sun]]+P[[#This Row],[Moon]],360)/13.333333333,2)</f>
        <v>20.34</v>
      </c>
      <c r="T373" s="4" t="str">
        <f>SIGN(W374-Panchanga!$W373)*INT(Panchanga!$W373/30+1)&amp;"Ma,"&amp;SIGN(X374-Panchanga!$X373)*INT(Panchanga!$X373/30+1)&amp;"Me,"&amp;SIGN(Y374-Panchanga!$Y373)*INT(Panchanga!$Y373/30+1)&amp;"J, "&amp;SIGN(Z374-Panchanga!$Z373)*INT(Panchanga!$Z373/30+1)&amp;"V,"&amp;SIGN(AA374-Panchanga!$AA373)*INT(Panchanga!$AA373/30+1)&amp;"S,"&amp;INT(Panchanga!$AB373/30+1)&amp;"R"</f>
        <v>3Ma,12Me,2J, 12V,11S,12R</v>
      </c>
      <c r="U373" s="4">
        <f t="shared" si="46"/>
        <v>315.47474428408452</v>
      </c>
      <c r="V373" s="4">
        <f t="shared" si="47"/>
        <v>315.59244607572731</v>
      </c>
      <c r="W373" s="4">
        <f>Planet(Panchanga!$G373,4)</f>
        <v>82.901855338880466</v>
      </c>
      <c r="X373" s="4">
        <f>Planet(Panchanga!$G373,2)</f>
        <v>330.47675173851439</v>
      </c>
      <c r="Y373" s="4">
        <f>Planet(Panchanga!$G373,5)</f>
        <v>47.990572571021566</v>
      </c>
      <c r="Z373" s="4">
        <f>Planet(Panchanga!$G373,3)</f>
        <v>346.54727725395975</v>
      </c>
      <c r="AA373" s="4">
        <f>Planet(Panchanga!$G373,6)</f>
        <v>326.36266497946275</v>
      </c>
      <c r="AB373" s="4">
        <f>Planet(Panchanga!$G373,10)</f>
        <v>334.21533936771402</v>
      </c>
      <c r="AC373" s="4" t="str">
        <f>TEXT(Panchanga!$C373+($C374-Panchanga!$C373)/ABS(IF($R374&lt;1,$R374+30,$R374)-Panchanga!$R373)*(ROUNDUP(Panchanga!$R373,0)-Panchanga!$R373),"hh:mm AM/PM")</f>
        <v>03:15 AM</v>
      </c>
      <c r="AD373" s="4"/>
    </row>
    <row r="374" spans="1:30" x14ac:dyDescent="0.2">
      <c r="A374" s="3">
        <f t="shared" si="49"/>
        <v>45717</v>
      </c>
      <c r="B374" s="3">
        <f t="shared" si="44"/>
        <v>45717.229166666664</v>
      </c>
      <c r="C374" s="6">
        <f t="shared" si="45"/>
        <v>45717.268545948122</v>
      </c>
      <c r="D374" s="6">
        <f>sunset(Lat,Long,B374)+TimeZone/24-0.000277777777777778</f>
        <v>45716.761891729242</v>
      </c>
      <c r="E374" s="6">
        <f>PlanetRiseSet(Lat,Long,B374,1,1)+TimeZone/24+0.00103009259259259</f>
        <v>45717.304772948999</v>
      </c>
      <c r="F374" s="6">
        <f>PlanetRiseSet(Lat,Long,B374+1,1,2)+TimeZone/24+0.00103009259259259</f>
        <v>45717.820692298155</v>
      </c>
      <c r="G374" s="17">
        <f>Panchanga!$C374-TimeZone/24</f>
        <v>45717.039379281458</v>
      </c>
      <c r="H374" s="13" t="str">
        <f>INT(P[[#This Row],[Sun]]/30)&amp;"s"&amp;ROUNDUP(MOD(P[[#This Row],[Sun]],30),2)</f>
        <v>10s16.48</v>
      </c>
      <c r="I374" s="13" t="str">
        <f>INT(P[[#This Row],[Moon]]/30)&amp;"s"&amp;ROUNDUP(MOD(P[[#This Row],[Moon]],30),2)</f>
        <v>11s0.3</v>
      </c>
      <c r="J374" s="14">
        <f t="shared" si="48"/>
        <v>45717.039379281458</v>
      </c>
      <c r="K374" s="10" t="str">
        <f>naks(P[[#This Row],[Moon]])</f>
        <v>Purva Bhadrapada</v>
      </c>
      <c r="L374" s="15">
        <f>(C375-P[[#This Row],[SunRise]])/(MOD(360+V375-P[[#This Row],[Moon]],360))*(13.3333333333333-MOD(P[[#This Row],[Moon]],13.333333333333))+P[[#This Row],[SunRise]]</f>
        <v>45717.473859373276</v>
      </c>
      <c r="M374" s="4" t="str">
        <f>IF(Panchanga!$R374&gt;15,"K","S")&amp;ROUNDUP(MOD(Panchanga!$R374,15),0)&amp;" ("&amp;ROUND(Panchanga!$R374,2)&amp;")"</f>
        <v>S2 (1.15)</v>
      </c>
      <c r="N374" s="4">
        <f>IF(AND(Panchanga!$R374&lt;28.5,Panchanga!$R374&gt;0.49999),MOD((Panchanga!$R374-0.5)*2,7),MOD((Panchanga!$R374+30-28.5),30)*2+7)</f>
        <v>1.3026</v>
      </c>
      <c r="O374" s="4" t="str">
        <f>CHOOSE(ROUNDUP(Panchanga!$N374,0),"Bhava","Baalava","Kaulava","Taitula","Garija","Vanija","Vishti","Shakuni","Chatushapda","Naaga","Kimstugna")</f>
        <v>Baalava</v>
      </c>
      <c r="P374" s="11" t="str">
        <f>CHOOSE(ROUNDUP(Panchanga!$S374,0),"viṣkambha","prīti","āyuṣmāna","saubhāgya","śobhana","atigaṇḍa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("&amp;Panchanga!$S374&amp;")"</f>
        <v>sādhya (21.51)</v>
      </c>
      <c r="Q374" s="4">
        <f>IF(AND(Panchanga!$R374&lt;28.5,Panchanga!$R374&gt;0.49999),MOD((Panchanga!$R374-0.5)*2,7),MOD((Panchanga!$R374+30-28.5),30)*2+7)</f>
        <v>1.3026</v>
      </c>
      <c r="R374" s="4">
        <f>ROUNDUP(MOD(360+P[[#This Row],[Moon]]-P[[#This Row],[Sun]],360)/12,4)</f>
        <v>1.1513</v>
      </c>
      <c r="S374" s="4">
        <f>ROUNDUP(MOD(P[[#This Row],[Sun]]+P[[#This Row],[Moon]],360)/13.333333333,2)</f>
        <v>21.51</v>
      </c>
      <c r="T374" s="4" t="str">
        <f>SIGN(W375-Panchanga!$W374)*INT(Panchanga!$W374/30+1)&amp;"Ma,"&amp;SIGN(X375-Panchanga!$X374)*INT(Panchanga!$X374/30+1)&amp;"Me,"&amp;SIGN(Y375-Panchanga!$Y374)*INT(Panchanga!$Y374/30+1)&amp;"J, "&amp;SIGN(Z375-Panchanga!$Z374)*INT(Panchanga!$Z374/30+1)&amp;"V,"&amp;SIGN(AA375-Panchanga!$AA374)*INT(Panchanga!$AA374/30+1)&amp;"S,"&amp;INT(Panchanga!$AB374/30+1)&amp;"R"</f>
        <v>3Ma,12Me,2J, 12V,11S,12R</v>
      </c>
      <c r="U374" s="4">
        <f t="shared" si="46"/>
        <v>316.47882610647673</v>
      </c>
      <c r="V374" s="4">
        <f t="shared" si="47"/>
        <v>330.29433702662891</v>
      </c>
      <c r="W374" s="4">
        <f>Planet(Panchanga!$G374,4)</f>
        <v>82.955686803071956</v>
      </c>
      <c r="X374" s="4">
        <f>Planet(Panchanga!$G374,2)</f>
        <v>332.14027000881691</v>
      </c>
      <c r="Y374" s="4">
        <f>Planet(Panchanga!$G374,5)</f>
        <v>48.06818966845433</v>
      </c>
      <c r="Z374" s="4">
        <f>Planet(Panchanga!$G374,3)</f>
        <v>346.60697093809176</v>
      </c>
      <c r="AA374" s="4">
        <f>Planet(Panchanga!$G374,6)</f>
        <v>326.48475170626534</v>
      </c>
      <c r="AB374" s="4">
        <f>Planet(Panchanga!$G374,10)</f>
        <v>334.16236781878098</v>
      </c>
      <c r="AC374" s="4" t="str">
        <f>TEXT(Panchanga!$C374+($C375-Panchanga!$C374)/ABS(IF($R375&lt;1,$R375+30,$R375)-Panchanga!$R374)*(ROUNDUP(Panchanga!$R374,0)-Panchanga!$R374),"hh:mm AM/PM")</f>
        <v>12:09 AM</v>
      </c>
      <c r="AD374" s="4"/>
    </row>
    <row r="375" spans="1:30" x14ac:dyDescent="0.2">
      <c r="A375" s="3">
        <f t="shared" si="49"/>
        <v>45718</v>
      </c>
      <c r="B375" s="3">
        <f t="shared" si="44"/>
        <v>45718.229166666664</v>
      </c>
      <c r="C375" s="6">
        <f t="shared" si="45"/>
        <v>45718.268153495308</v>
      </c>
      <c r="D375" s="6">
        <f>sunset(Lat,Long,B375)+TimeZone/24-0.000277777777777778</f>
        <v>45717.76201411667</v>
      </c>
      <c r="E375" s="6">
        <f>PlanetRiseSet(Lat,Long,B375,1,1)+TimeZone/24+0.00103009259259259</f>
        <v>45718.334427207395</v>
      </c>
      <c r="F375" s="6">
        <f>PlanetRiseSet(Lat,Long,B375+1,1,2)+TimeZone/24+0.00103009259259259</f>
        <v>45718.860766220991</v>
      </c>
      <c r="G375" s="17">
        <f>Panchanga!$C375-TimeZone/24</f>
        <v>45718.038986828644</v>
      </c>
      <c r="H375" s="13" t="str">
        <f>INT(P[[#This Row],[Sun]]/30)&amp;"s"&amp;ROUNDUP(MOD(P[[#This Row],[Sun]],30),2)</f>
        <v>10s17.49</v>
      </c>
      <c r="I375" s="13" t="str">
        <f>INT(P[[#This Row],[Moon]]/30)&amp;"s"&amp;ROUNDUP(MOD(P[[#This Row],[Moon]],30),2)</f>
        <v>11s15.1</v>
      </c>
      <c r="J375" s="14">
        <f t="shared" si="48"/>
        <v>45718.038986828644</v>
      </c>
      <c r="K375" s="10" t="str">
        <f>naks(P[[#This Row],[Moon]])</f>
        <v>Uttara Bhadrapada</v>
      </c>
      <c r="L375" s="15">
        <f>(C376-P[[#This Row],[SunRise]])/(MOD(360+V376-P[[#This Row],[Moon]],360))*(13.3333333333333-MOD(P[[#This Row],[Moon]],13.333333333333))+P[[#This Row],[SunRise]]</f>
        <v>45718.374841111887</v>
      </c>
      <c r="M375" s="4" t="str">
        <f>IF(Panchanga!$R375&gt;15,"K","S")&amp;ROUNDUP(MOD(Panchanga!$R375,15),0)&amp;" ("&amp;ROUND(Panchanga!$R375,2)&amp;")"</f>
        <v>S3 (2.3)</v>
      </c>
      <c r="N375" s="4">
        <f>IF(AND(Panchanga!$R375&lt;28.5,Panchanga!$R375&gt;0.49999),MOD((Panchanga!$R375-0.5)*2,7),MOD((Panchanga!$R375+30-28.5),30)*2+7)</f>
        <v>3.6014000000000008</v>
      </c>
      <c r="O375" s="4" t="str">
        <f>CHOOSE(ROUNDUP(Panchanga!$N375,0),"Bhava","Baalava","Kaulava","Taitula","Garija","Vanija","Vishti","Shakuni","Chatushapda","Naaga","Kimstugna")</f>
        <v>Taitula</v>
      </c>
      <c r="P375" s="11" t="str">
        <f>CHOOSE(ROUNDUP(Panchanga!$S375,0),"viṣkambha","prīti","āyuṣmāna","saubhāgya","śobhana","atigaṇḍa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("&amp;Panchanga!$S375&amp;")"</f>
        <v>śubha (22.7)</v>
      </c>
      <c r="Q375" s="4">
        <f>IF(AND(Panchanga!$R375&lt;28.5,Panchanga!$R375&gt;0.49999),MOD((Panchanga!$R375-0.5)*2,7),MOD((Panchanga!$R375+30-28.5),30)*2+7)</f>
        <v>3.6014000000000008</v>
      </c>
      <c r="R375" s="4">
        <f>ROUNDUP(MOD(360+P[[#This Row],[Moon]]-P[[#This Row],[Sun]],360)/12,4)</f>
        <v>2.3007000000000004</v>
      </c>
      <c r="S375" s="4">
        <f>ROUNDUP(MOD(P[[#This Row],[Sun]]+P[[#This Row],[Moon]],360)/13.333333333,2)</f>
        <v>22.700000000000003</v>
      </c>
      <c r="T375" s="4" t="str">
        <f>SIGN(W376-Panchanga!$W375)*INT(Panchanga!$W375/30+1)&amp;"Ma,"&amp;SIGN(X376-Panchanga!$X375)*INT(Panchanga!$X375/30+1)&amp;"Me,"&amp;SIGN(Y376-Panchanga!$Y375)*INT(Panchanga!$Y375/30+1)&amp;"J, "&amp;SIGN(Z376-Panchanga!$Z375)*INT(Panchanga!$Z375/30+1)&amp;"V,"&amp;SIGN(AA376-Panchanga!$AA375)*INT(Panchanga!$AA375/30+1)&amp;"S,"&amp;INT(Panchanga!$AB375/30+1)&amp;"R"</f>
        <v>3Ma,12Me,2J, -12V,11S,12R</v>
      </c>
      <c r="U375" s="4">
        <f t="shared" si="46"/>
        <v>317.48238928860752</v>
      </c>
      <c r="V375" s="4">
        <f t="shared" si="47"/>
        <v>345.09026983876993</v>
      </c>
      <c r="W375" s="4">
        <f>Planet(Panchanga!$G375,4)</f>
        <v>83.021172720234759</v>
      </c>
      <c r="X375" s="4">
        <f>Planet(Panchanga!$G375,2)</f>
        <v>333.74638954961148</v>
      </c>
      <c r="Y375" s="4">
        <f>Planet(Panchanga!$G375,5)</f>
        <v>48.148752225035366</v>
      </c>
      <c r="Z375" s="4">
        <f>Planet(Panchanga!$G375,3)</f>
        <v>346.62665217288247</v>
      </c>
      <c r="AA375" s="4">
        <f>Planet(Panchanga!$G375,6)</f>
        <v>326.60705590059797</v>
      </c>
      <c r="AB375" s="4">
        <f>Planet(Panchanga!$G375,10)</f>
        <v>334.10939662907862</v>
      </c>
      <c r="AC375" s="4" t="str">
        <f>TEXT(Panchanga!$C375+($C376-Panchanga!$C375)/ABS(IF($R376&lt;1,$R376+30,$R376)-Panchanga!$R375)*(ROUNDUP(Panchanga!$R375,0)-Panchanga!$R375),"hh:mm AM/PM")</f>
        <v>09:03 PM</v>
      </c>
      <c r="AD375" s="4"/>
    </row>
    <row r="376" spans="1:30" x14ac:dyDescent="0.2">
      <c r="A376" s="3">
        <f t="shared" si="49"/>
        <v>45719</v>
      </c>
      <c r="B376" s="3">
        <f t="shared" si="44"/>
        <v>45719.229166666664</v>
      </c>
      <c r="C376" s="6">
        <f t="shared" si="45"/>
        <v>45719.267754483655</v>
      </c>
      <c r="D376" s="6">
        <f>sunset(Lat,Long,B376)+TimeZone/24-0.000277777777777778</f>
        <v>45718.762131497773</v>
      </c>
      <c r="E376" s="6">
        <f>PlanetRiseSet(Lat,Long,B376,1,1)+TimeZone/24+0.00103009259259259</f>
        <v>45719.364923535533</v>
      </c>
      <c r="F376" s="6">
        <f>PlanetRiseSet(Lat,Long,B376+1,1,2)+TimeZone/24+0.00103009259259259</f>
        <v>45719.901830889903</v>
      </c>
      <c r="G376" s="17">
        <f>Panchanga!$C376-TimeZone/24</f>
        <v>45719.038587816991</v>
      </c>
      <c r="H376" s="13" t="str">
        <f>INT(P[[#This Row],[Sun]]/30)&amp;"s"&amp;ROUNDUP(MOD(P[[#This Row],[Sun]],30),2)</f>
        <v>10s18.49</v>
      </c>
      <c r="I376" s="13" t="str">
        <f>INT(P[[#This Row],[Moon]]/30)&amp;"s"&amp;ROUNDUP(MOD(P[[#This Row],[Moon]],30),2)</f>
        <v>11s29.87</v>
      </c>
      <c r="J376" s="14">
        <f t="shared" si="48"/>
        <v>45719.038587816991</v>
      </c>
      <c r="K376" s="10" t="str">
        <f>naks(P[[#This Row],[Moon]])</f>
        <v>Revati</v>
      </c>
      <c r="L376" s="15">
        <f>(C377-P[[#This Row],[SunRise]])/(MOD(360+V377-P[[#This Row],[Moon]],360))*(13.3333333333333-MOD(P[[#This Row],[Moon]],13.333333333333))+P[[#This Row],[SunRise]]</f>
        <v>45719.277301892951</v>
      </c>
      <c r="M376" s="4" t="str">
        <f>IF(Panchanga!$R376&gt;15,"K","S")&amp;ROUNDUP(MOD(Panchanga!$R376,15),0)&amp;" ("&amp;ROUND(Panchanga!$R376,2)&amp;")"</f>
        <v>S4 (3.45)</v>
      </c>
      <c r="N376" s="4">
        <f>IF(AND(Panchanga!$R376&lt;28.5,Panchanga!$R376&gt;0.49999),MOD((Panchanga!$R376-0.5)*2,7),MOD((Panchanga!$R376+30-28.5),30)*2+7)</f>
        <v>5.8958000000000004</v>
      </c>
      <c r="O376" s="4" t="str">
        <f>CHOOSE(ROUNDUP(Panchanga!$N376,0),"Bhava","Baalava","Kaulava","Taitula","Garija","Vanija","Vishti","Shakuni","Chatushapda","Naaga","Kimstugna")</f>
        <v>Vanija</v>
      </c>
      <c r="P376" s="11" t="str">
        <f>CHOOSE(ROUNDUP(Panchanga!$S376,0),"viṣkambha","prīti","āyuṣmāna","saubhāgya","śobhana","atigaṇḍa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("&amp;Panchanga!$S376&amp;")"</f>
        <v>śukla (23.88)</v>
      </c>
      <c r="Q376" s="4">
        <f>IF(AND(Panchanga!$R376&lt;28.5,Panchanga!$R376&gt;0.49999),MOD((Panchanga!$R376-0.5)*2,7),MOD((Panchanga!$R376+30-28.5),30)*2+7)</f>
        <v>5.8958000000000004</v>
      </c>
      <c r="R376" s="4">
        <f>ROUNDUP(MOD(360+P[[#This Row],[Moon]]-P[[#This Row],[Sun]],360)/12,4)</f>
        <v>3.4479000000000002</v>
      </c>
      <c r="S376" s="4">
        <f>ROUNDUP(MOD(P[[#This Row],[Sun]]+P[[#This Row],[Moon]],360)/13.333333333,2)</f>
        <v>23.880000000000003</v>
      </c>
      <c r="T376" s="4" t="str">
        <f>SIGN(W377-Panchanga!$W376)*INT(Panchanga!$W376/30+1)&amp;"Ma,"&amp;SIGN(X377-Panchanga!$X376)*INT(Panchanga!$X376/30+1)&amp;"Me,"&amp;SIGN(Y377-Panchanga!$Y376)*INT(Panchanga!$Y376/30+1)&amp;"J, "&amp;SIGN(Z377-Panchanga!$Z376)*INT(Panchanga!$Z376/30+1)&amp;"V,"&amp;SIGN(AA377-Panchanga!$AA376)*INT(Panchanga!$AA376/30+1)&amp;"S,"&amp;INT(Panchanga!$AB376/30+1)&amp;"R"</f>
        <v>3Ma,12Me,2J, -12V,11S,12R</v>
      </c>
      <c r="U376" s="4">
        <f t="shared" si="46"/>
        <v>318.48540798915229</v>
      </c>
      <c r="V376" s="4">
        <f t="shared" si="47"/>
        <v>359.86019232529844</v>
      </c>
      <c r="W376" s="4">
        <f>Planet(Panchanga!$G376,4)</f>
        <v>83.098128434074439</v>
      </c>
      <c r="X376" s="4">
        <f>Planet(Panchanga!$G376,2)</f>
        <v>335.2858075157742</v>
      </c>
      <c r="Y376" s="4">
        <f>Planet(Panchanga!$G376,5)</f>
        <v>48.232229228748587</v>
      </c>
      <c r="Z376" s="4">
        <f>Planet(Panchanga!$G376,3)</f>
        <v>346.60560960988028</v>
      </c>
      <c r="AA376" s="4">
        <f>Planet(Panchanga!$G376,6)</f>
        <v>326.7295559850761</v>
      </c>
      <c r="AB376" s="4">
        <f>Planet(Panchanga!$G376,10)</f>
        <v>334.05642578690947</v>
      </c>
      <c r="AC376" s="4" t="str">
        <f>TEXT(Panchanga!$C376+($C377-Panchanga!$C376)/ABS(IF($R377&lt;1,$R377+30,$R377)-Panchanga!$R376)*(ROUNDUP(Panchanga!$R376,0)-Panchanga!$R376),"hh:mm AM/PM")</f>
        <v>06:04 PM</v>
      </c>
      <c r="AD376" s="4"/>
    </row>
    <row r="377" spans="1:30" x14ac:dyDescent="0.2">
      <c r="A377" s="3">
        <f t="shared" si="49"/>
        <v>45720</v>
      </c>
      <c r="B377" s="3">
        <f t="shared" si="44"/>
        <v>45720.229166666664</v>
      </c>
      <c r="C377" s="6">
        <f t="shared" si="45"/>
        <v>45720.267349144131</v>
      </c>
      <c r="D377" s="6">
        <f>sunset(Lat,Long,B377)+TimeZone/24-0.000277777777777778</f>
        <v>45719.762243980585</v>
      </c>
      <c r="E377" s="6">
        <f>PlanetRiseSet(Lat,Long,B377,1,1)+TimeZone/24+0.00103009259259259</f>
        <v>45720.397254760064</v>
      </c>
      <c r="F377" s="6">
        <f>PlanetRiseSet(Lat,Long,B377+1,1,2)+TimeZone/24+0.00103009259259259</f>
        <v>45720.944273672685</v>
      </c>
      <c r="G377" s="17">
        <f>Panchanga!$C377-TimeZone/24</f>
        <v>45720.038182477467</v>
      </c>
      <c r="H377" s="13" t="str">
        <f>INT(P[[#This Row],[Sun]]/30)&amp;"s"&amp;ROUNDUP(MOD(P[[#This Row],[Sun]],30),2)</f>
        <v>10s19.49</v>
      </c>
      <c r="I377" s="13" t="str">
        <f>INT(P[[#This Row],[Moon]]/30)&amp;"s"&amp;ROUNDUP(MOD(P[[#This Row],[Moon]],30),2)</f>
        <v>0s14.5</v>
      </c>
      <c r="J377" s="14">
        <f t="shared" si="48"/>
        <v>45720.038182477467</v>
      </c>
      <c r="K377" s="10" t="str">
        <f>naks(P[[#This Row],[Moon]])</f>
        <v>Bharani</v>
      </c>
      <c r="L377" s="15">
        <f>(C378-P[[#This Row],[SunRise]])/(MOD(360+V378-P[[#This Row],[Moon]],360))*(13.3333333333333-MOD(P[[#This Row],[Moon]],13.333333333333))+P[[#This Row],[SunRise]]</f>
        <v>45721.110696223128</v>
      </c>
      <c r="M377" s="4" t="str">
        <f>IF(Panchanga!$R377&gt;15,"K","S")&amp;ROUNDUP(MOD(Panchanga!$R377,15),0)&amp;" ("&amp;ROUND(Panchanga!$R377,2)&amp;")"</f>
        <v>S5 (4.58)</v>
      </c>
      <c r="N377" s="4">
        <f>IF(AND(Panchanga!$R377&lt;28.5,Panchanga!$R377&gt;0.49999),MOD((Panchanga!$R377-0.5)*2,7),MOD((Panchanga!$R377+30-28.5),30)*2+7)</f>
        <v>1.1684000000000001</v>
      </c>
      <c r="O377" s="4" t="str">
        <f>CHOOSE(ROUNDUP(Panchanga!$N377,0),"Bhava","Baalava","Kaulava","Taitula","Garija","Vanija","Vishti","Shakuni","Chatushapda","Naaga","Kimstugna")</f>
        <v>Baalava</v>
      </c>
      <c r="P377" s="11" t="str">
        <f>CHOOSE(ROUNDUP(Panchanga!$S377,0),"viṣkambha","prīti","āyuṣmāna","saubhāgya","śobhana","atigaṇḍa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("&amp;Panchanga!$S377&amp;")"</f>
        <v>mahendra (25.05)</v>
      </c>
      <c r="Q377" s="4">
        <f>IF(AND(Panchanga!$R377&lt;28.5,Panchanga!$R377&gt;0.49999),MOD((Panchanga!$R377-0.5)*2,7),MOD((Panchanga!$R377+30-28.5),30)*2+7)</f>
        <v>1.1684000000000001</v>
      </c>
      <c r="R377" s="4">
        <f>ROUNDUP(MOD(360+P[[#This Row],[Moon]]-P[[#This Row],[Sun]],360)/12,4)</f>
        <v>4.5842000000000001</v>
      </c>
      <c r="S377" s="4">
        <f>ROUNDUP(MOD(P[[#This Row],[Sun]]+P[[#This Row],[Moon]],360)/13.333333333,2)</f>
        <v>25.05</v>
      </c>
      <c r="T377" s="4" t="str">
        <f>SIGN(W378-Panchanga!$W377)*INT(Panchanga!$W377/30+1)&amp;"Ma,"&amp;SIGN(X378-Panchanga!$X377)*INT(Panchanga!$X377/30+1)&amp;"Me,"&amp;SIGN(Y378-Panchanga!$Y377)*INT(Panchanga!$Y377/30+1)&amp;"J, "&amp;SIGN(Z378-Panchanga!$Z377)*INT(Panchanga!$Z377/30+1)&amp;"V,"&amp;SIGN(AA378-Panchanga!$AA377)*INT(Panchanga!$AA377/30+1)&amp;"S,"&amp;INT(Panchanga!$AB377/30+1)&amp;"R"</f>
        <v>3Ma,12Me,2J, -12V,11S,12R</v>
      </c>
      <c r="U377" s="4">
        <f t="shared" si="46"/>
        <v>319.48785956922234</v>
      </c>
      <c r="V377" s="4">
        <f t="shared" si="47"/>
        <v>14.497776285107182</v>
      </c>
      <c r="W377" s="4">
        <f>Planet(Panchanga!$G377,4)</f>
        <v>83.186357097550697</v>
      </c>
      <c r="X377" s="4">
        <f>Planet(Panchanga!$G377,2)</f>
        <v>336.74894625328335</v>
      </c>
      <c r="Y377" s="4">
        <f>Planet(Panchanga!$G377,5)</f>
        <v>48.318587922223998</v>
      </c>
      <c r="Z377" s="4">
        <f>Planet(Panchanga!$G377,3)</f>
        <v>346.54325410094071</v>
      </c>
      <c r="AA377" s="4">
        <f>Planet(Panchanga!$G377,6)</f>
        <v>326.85223065735426</v>
      </c>
      <c r="AB377" s="4">
        <f>Planet(Panchanga!$G377,10)</f>
        <v>334.0034552800953</v>
      </c>
      <c r="AC377" s="4" t="str">
        <f>TEXT(Panchanga!$C377+($C378-Panchanga!$C377)/ABS(IF($R378&lt;1,$R378+30,$R378)-Panchanga!$R377)*(ROUNDUP(Panchanga!$R377,0)-Panchanga!$R377),"hh:mm AM/PM")</f>
        <v>03:20 PM</v>
      </c>
      <c r="AD377" s="4"/>
    </row>
    <row r="378" spans="1:30" x14ac:dyDescent="0.2">
      <c r="A378" s="3">
        <f t="shared" si="49"/>
        <v>45721</v>
      </c>
      <c r="B378" s="3">
        <f t="shared" si="44"/>
        <v>45721.229166666664</v>
      </c>
      <c r="C378" s="6">
        <f t="shared" si="45"/>
        <v>45721.266937722139</v>
      </c>
      <c r="D378" s="6">
        <f>sunset(Lat,Long,B378)+TimeZone/24-0.000277777777777778</f>
        <v>45720.762351688507</v>
      </c>
      <c r="E378" s="6">
        <f>PlanetRiseSet(Lat,Long,B378,1,1)+TimeZone/24+0.00103009259259259</f>
        <v>45721.432208073478</v>
      </c>
      <c r="F378" s="6">
        <f>PlanetRiseSet(Lat,Long,B378+1,1,2)+TimeZone/24+0.00103009259259259</f>
        <v>45721.987882291585</v>
      </c>
      <c r="G378" s="17">
        <f>Panchanga!$C378-TimeZone/24</f>
        <v>45721.037771055475</v>
      </c>
      <c r="H378" s="13" t="str">
        <f>INT(P[[#This Row],[Sun]]/30)&amp;"s"&amp;ROUNDUP(MOD(P[[#This Row],[Sun]],30),2)</f>
        <v>10s20.49</v>
      </c>
      <c r="I378" s="13" t="str">
        <f>INT(P[[#This Row],[Moon]]/30)&amp;"s"&amp;ROUNDUP(MOD(P[[#This Row],[Moon]],30),2)</f>
        <v>0s28.93</v>
      </c>
      <c r="J378" s="14">
        <f t="shared" si="48"/>
        <v>45721.037771055475</v>
      </c>
      <c r="K378" s="10" t="str">
        <f>naks(P[[#This Row],[Moon]])</f>
        <v>Krittika</v>
      </c>
      <c r="L378" s="15">
        <f>(C379-P[[#This Row],[SunRise]])/(MOD(360+V379-P[[#This Row],[Moon]],360))*(13.3333333333333-MOD(P[[#This Row],[Moon]],13.333333333333))+P[[#This Row],[SunRise]]</f>
        <v>45722.049241226559</v>
      </c>
      <c r="M378" s="4" t="str">
        <f>IF(Panchanga!$R378&gt;15,"K","S")&amp;ROUNDUP(MOD(Panchanga!$R378,15),0)&amp;" ("&amp;ROUND(Panchanga!$R378,2)&amp;")"</f>
        <v>S6 (5.7)</v>
      </c>
      <c r="N378" s="4">
        <f>IF(AND(Panchanga!$R378&lt;28.5,Panchanga!$R378&gt;0.49999),MOD((Panchanga!$R378-0.5)*2,7),MOD((Panchanga!$R378+30-28.5),30)*2+7)</f>
        <v>3.4054000000000002</v>
      </c>
      <c r="O378" s="4" t="str">
        <f>CHOOSE(ROUNDUP(Panchanga!$N378,0),"Bhava","Baalava","Kaulava","Taitula","Garija","Vanija","Vishti","Shakuni","Chatushapda","Naaga","Kimstugna")</f>
        <v>Taitula</v>
      </c>
      <c r="P378" s="11" t="str">
        <f>CHOOSE(ROUNDUP(Panchanga!$S378,0),"viṣkambha","prīti","āyuṣmāna","saubhāgya","śobhana","atigaṇḍa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("&amp;Panchanga!$S378&amp;")"</f>
        <v>vaidhṛti (26.21)</v>
      </c>
      <c r="Q378" s="4">
        <f>IF(AND(Panchanga!$R378&lt;28.5,Panchanga!$R378&gt;0.49999),MOD((Panchanga!$R378-0.5)*2,7),MOD((Panchanga!$R378+30-28.5),30)*2+7)</f>
        <v>3.4054000000000002</v>
      </c>
      <c r="R378" s="4">
        <f>ROUNDUP(MOD(360+P[[#This Row],[Moon]]-P[[#This Row],[Sun]],360)/12,4)</f>
        <v>5.7027000000000001</v>
      </c>
      <c r="S378" s="4">
        <f>ROUNDUP(MOD(P[[#This Row],[Sun]]+P[[#This Row],[Moon]],360)/13.333333333,2)</f>
        <v>26.21</v>
      </c>
      <c r="T378" s="4" t="str">
        <f>SIGN(W379-Panchanga!$W378)*INT(Panchanga!$W378/30+1)&amp;"Ma,"&amp;SIGN(X379-Panchanga!$X378)*INT(Panchanga!$X378/30+1)&amp;"Me,"&amp;SIGN(Y379-Panchanga!$Y378)*INT(Panchanga!$Y378/30+1)&amp;"J, "&amp;SIGN(Z379-Panchanga!$Z378)*INT(Panchanga!$Z378/30+1)&amp;"V,"&amp;SIGN(AA379-Panchanga!$AA378)*INT(Panchanga!$AA378/30+1)&amp;"S,"&amp;INT(Panchanga!$AB378/30+1)&amp;"R"</f>
        <v>3Ma,12Me,2J, -12V,11S,12R</v>
      </c>
      <c r="U378" s="4">
        <f t="shared" si="46"/>
        <v>320.48972611206989</v>
      </c>
      <c r="V378" s="4">
        <f t="shared" si="47"/>
        <v>28.921118862972079</v>
      </c>
      <c r="W378" s="4">
        <f>Planet(Panchanga!$G378,4)</f>
        <v>83.285651243627029</v>
      </c>
      <c r="X378" s="4">
        <f>Planet(Panchanga!$G378,2)</f>
        <v>338.12613430909357</v>
      </c>
      <c r="Y378" s="4">
        <f>Planet(Panchanga!$G378,5)</f>
        <v>48.40779420845945</v>
      </c>
      <c r="Z378" s="4">
        <f>Planet(Panchanga!$G378,3)</f>
        <v>346.43914861237636</v>
      </c>
      <c r="AA378" s="4">
        <f>Planet(Panchanga!$G378,6)</f>
        <v>326.97505910563262</v>
      </c>
      <c r="AB378" s="4">
        <f>Planet(Panchanga!$G378,10)</f>
        <v>333.95048509561315</v>
      </c>
      <c r="AC378" s="4" t="str">
        <f>TEXT(Panchanga!$C378+($C379-Panchanga!$C378)/ABS(IF($R379&lt;1,$R379+30,$R379)-Panchanga!$R378)*(ROUNDUP(Panchanga!$R378,0)-Panchanga!$R378),"hh:mm AM/PM")</f>
        <v>12:54 PM</v>
      </c>
      <c r="AD378" s="4"/>
    </row>
    <row r="379" spans="1:30" x14ac:dyDescent="0.2">
      <c r="A379" s="3">
        <f t="shared" si="49"/>
        <v>45722</v>
      </c>
      <c r="B379" s="3">
        <f t="shared" si="44"/>
        <v>45722.229166666664</v>
      </c>
      <c r="C379" s="6">
        <f t="shared" si="45"/>
        <v>45722.266520476587</v>
      </c>
      <c r="D379" s="6">
        <f>sunset(Lat,Long,B379)+TimeZone/24-0.000277777777777778</f>
        <v>45721.762454761236</v>
      </c>
      <c r="E379" s="6">
        <f>PlanetRiseSet(Lat,Long,B379,1,1)+TimeZone/24+0.00103009259259259</f>
        <v>45722.470093395714</v>
      </c>
      <c r="F379" s="6">
        <f>PlanetRiseSet(Lat,Long,B379+1,1,2)+TimeZone/24+0.00103009259259259</f>
        <v>45723.031662621688</v>
      </c>
      <c r="G379" s="17">
        <f>Panchanga!$C379-TimeZone/24</f>
        <v>45722.037353809923</v>
      </c>
      <c r="H379" s="13" t="str">
        <f>INT(P[[#This Row],[Sun]]/30)&amp;"s"&amp;ROUNDUP(MOD(P[[#This Row],[Sun]],30),2)</f>
        <v>10s21.5</v>
      </c>
      <c r="I379" s="13" t="str">
        <f>INT(P[[#This Row],[Moon]]/30)&amp;"s"&amp;ROUNDUP(MOD(P[[#This Row],[Moon]],30),2)</f>
        <v>1s13.08</v>
      </c>
      <c r="J379" s="14">
        <f t="shared" si="48"/>
        <v>45722.037353809923</v>
      </c>
      <c r="K379" s="10" t="str">
        <f>naks(P[[#This Row],[Moon]])</f>
        <v>Rohini</v>
      </c>
      <c r="L379" s="15">
        <f>(C380-P[[#This Row],[SunRise]])/(MOD(360+V380-P[[#This Row],[Moon]],360))*(13.3333333333333-MOD(P[[#This Row],[Moon]],13.333333333333))+P[[#This Row],[SunRise]]</f>
        <v>45723.006051402714</v>
      </c>
      <c r="M379" s="4" t="str">
        <f>IF(Panchanga!$R379&gt;15,"K","S")&amp;ROUNDUP(MOD(Panchanga!$R379,15),0)&amp;" ("&amp;ROUND(Panchanga!$R379,2)&amp;")"</f>
        <v>S7 (6.8)</v>
      </c>
      <c r="N379" s="4">
        <f>IF(AND(Panchanga!$R379&lt;28.5,Panchanga!$R379&gt;0.49999),MOD((Panchanga!$R379-0.5)*2,7),MOD((Panchanga!$R379+30-28.5),30)*2+7)</f>
        <v>5.5977999999999994</v>
      </c>
      <c r="O379" s="4" t="str">
        <f>CHOOSE(ROUNDUP(Panchanga!$N379,0),"Bhava","Baalava","Kaulava","Taitula","Garija","Vanija","Vishti","Shakuni","Chatushapda","Naaga","Kimstugna")</f>
        <v>Vanija</v>
      </c>
      <c r="P379" s="11" t="str">
        <f>CHOOSE(ROUNDUP(Panchanga!$S379,0),"viṣkambha","prīti","āyuṣmāna","saubhāgya","śobhana","atigaṇḍa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("&amp;Panchanga!$S379&amp;")"</f>
        <v>viṣkambha (0.35)</v>
      </c>
      <c r="Q379" s="4">
        <f>IF(AND(Panchanga!$R379&lt;28.5,Panchanga!$R379&gt;0.49999),MOD((Panchanga!$R379-0.5)*2,7),MOD((Panchanga!$R379+30-28.5),30)*2+7)</f>
        <v>5.5977999999999994</v>
      </c>
      <c r="R379" s="4">
        <f>ROUNDUP(MOD(360+P[[#This Row],[Moon]]-P[[#This Row],[Sun]],360)/12,4)</f>
        <v>6.7988999999999997</v>
      </c>
      <c r="S379" s="4">
        <f>ROUNDUP(MOD(P[[#This Row],[Sun]]+P[[#This Row],[Moon]],360)/13.333333333,2)</f>
        <v>0.35000000000000003</v>
      </c>
      <c r="T379" s="4" t="str">
        <f>SIGN(W380-Panchanga!$W379)*INT(Panchanga!$W379/30+1)&amp;"Ma,"&amp;SIGN(X380-Panchanga!$X379)*INT(Panchanga!$X379/30+1)&amp;"Me,"&amp;SIGN(Y380-Panchanga!$Y379)*INT(Panchanga!$Y379/30+1)&amp;"J, "&amp;SIGN(Z380-Panchanga!$Z379)*INT(Panchanga!$Z379/30+1)&amp;"V,"&amp;SIGN(AA380-Panchanga!$AA379)*INT(Panchanga!$AA379/30+1)&amp;"S,"&amp;INT(Panchanga!$AB379/30+1)&amp;"R"</f>
        <v>3Ma,12Me,2J, -12V,11S,12R</v>
      </c>
      <c r="U379" s="4">
        <f t="shared" si="46"/>
        <v>321.4909951094395</v>
      </c>
      <c r="V379" s="4">
        <f t="shared" si="47"/>
        <v>43.07708066114607</v>
      </c>
      <c r="W379" s="4">
        <f>Planet(Panchanga!$G379,4)</f>
        <v>83.3957953124266</v>
      </c>
      <c r="X379" s="4">
        <f>Planet(Panchanga!$G379,2)</f>
        <v>339.40780392655483</v>
      </c>
      <c r="Y379" s="4">
        <f>Planet(Panchanga!$G379,5)</f>
        <v>48.499813144971483</v>
      </c>
      <c r="Z379" s="4">
        <f>Planet(Panchanga!$G379,3)</f>
        <v>346.29303816751565</v>
      </c>
      <c r="AA379" s="4">
        <f>Planet(Panchanga!$G379,6)</f>
        <v>327.09802113069071</v>
      </c>
      <c r="AB379" s="4">
        <f>Planet(Panchanga!$G379,10)</f>
        <v>333.8975152197109</v>
      </c>
      <c r="AC379" s="4" t="str">
        <f>TEXT(Panchanga!$C379+($C380-Panchanga!$C379)/ABS(IF($R380&lt;1,$R380+30,$R380)-Panchanga!$R379)*(ROUNDUP(Panchanga!$R379,0)-Panchanga!$R379),"hh:mm AM/PM")</f>
        <v>10:53 AM</v>
      </c>
      <c r="AD379" s="4"/>
    </row>
    <row r="380" spans="1:30" x14ac:dyDescent="0.2">
      <c r="A380" s="3">
        <f t="shared" si="49"/>
        <v>45723</v>
      </c>
      <c r="B380" s="3">
        <f t="shared" si="44"/>
        <v>45723.229166666664</v>
      </c>
      <c r="C380" s="6">
        <f t="shared" si="45"/>
        <v>45723.26609767849</v>
      </c>
      <c r="D380" s="6">
        <f>sunset(Lat,Long,B380)+TimeZone/24-0.000277777777777778</f>
        <v>45722.762553353838</v>
      </c>
      <c r="E380" s="6">
        <f>PlanetRiseSet(Lat,Long,B380,1,1)+TimeZone/24+0.00103009259259259</f>
        <v>45722.470093463235</v>
      </c>
      <c r="F380" s="6">
        <f>PlanetRiseSet(Lat,Long,B380+1,1,2)+TimeZone/24+0.00103009259259259</f>
        <v>45724.074039322943</v>
      </c>
      <c r="G380" s="17">
        <f>Panchanga!$C380-TimeZone/24</f>
        <v>45723.036931011826</v>
      </c>
      <c r="H380" s="13" t="str">
        <f>INT(P[[#This Row],[Sun]]/30)&amp;"s"&amp;ROUNDUP(MOD(P[[#This Row],[Sun]],30),2)</f>
        <v>10s22.5</v>
      </c>
      <c r="I380" s="13" t="str">
        <f>INT(P[[#This Row],[Moon]]/30)&amp;"s"&amp;ROUNDUP(MOD(P[[#This Row],[Moon]],30),2)</f>
        <v>1s26.94</v>
      </c>
      <c r="J380" s="14">
        <f t="shared" si="48"/>
        <v>45723.036931011826</v>
      </c>
      <c r="K380" s="10" t="str">
        <f>naks(P[[#This Row],[Moon]])</f>
        <v>Mrigashira</v>
      </c>
      <c r="L380" s="15">
        <f>(C381-P[[#This Row],[SunRise]])/(MOD(360+V381-P[[#This Row],[Moon]],360))*(13.3333333333333-MOD(P[[#This Row],[Moon]],13.333333333333))+P[[#This Row],[SunRise]]</f>
        <v>45723.982816799777</v>
      </c>
      <c r="M380" s="4" t="str">
        <f>IF(Panchanga!$R380&gt;15,"K","S")&amp;ROUNDUP(MOD(Panchanga!$R380,15),0)&amp;" ("&amp;ROUND(Panchanga!$R380,2)&amp;")"</f>
        <v>S8 (7.87)</v>
      </c>
      <c r="N380" s="4">
        <f>IF(AND(Panchanga!$R380&lt;28.5,Panchanga!$R380&gt;0.49999),MOD((Panchanga!$R380-0.5)*2,7),MOD((Panchanga!$R380+30-28.5),30)*2+7)</f>
        <v>0.74139999999999873</v>
      </c>
      <c r="O380" s="4" t="str">
        <f>CHOOSE(ROUNDUP(Panchanga!$N380,0),"Bhava","Baalava","Kaulava","Taitula","Garija","Vanija","Vishti","Shakuni","Chatushapda","Naaga","Kimstugna")</f>
        <v>Bhava</v>
      </c>
      <c r="P380" s="11" t="str">
        <f>CHOOSE(ROUNDUP(Panchanga!$S380,0),"viṣkambha","prīti","āyuṣmāna","saubhāgya","śobhana","atigaṇḍa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("&amp;Panchanga!$S380&amp;")"</f>
        <v>prīti (1.46)</v>
      </c>
      <c r="Q380" s="4">
        <f>IF(AND(Panchanga!$R380&lt;28.5,Panchanga!$R380&gt;0.49999),MOD((Panchanga!$R380-0.5)*2,7),MOD((Panchanga!$R380+30-28.5),30)*2+7)</f>
        <v>0.74139999999999873</v>
      </c>
      <c r="R380" s="4">
        <f>ROUNDUP(MOD(360+P[[#This Row],[Moon]]-P[[#This Row],[Sun]],360)/12,4)</f>
        <v>7.8706999999999994</v>
      </c>
      <c r="S380" s="4">
        <f>ROUNDUP(MOD(P[[#This Row],[Sun]]+P[[#This Row],[Moon]],360)/13.333333333,2)</f>
        <v>1.46</v>
      </c>
      <c r="T380" s="4" t="str">
        <f>SIGN(W381-Panchanga!$W380)*INT(Panchanga!$W380/30+1)&amp;"Ma,"&amp;SIGN(X381-Panchanga!$X380)*INT(Panchanga!$X380/30+1)&amp;"Me,"&amp;SIGN(Y381-Panchanga!$Y380)*INT(Panchanga!$Y380/30+1)&amp;"J, "&amp;SIGN(Z381-Panchanga!$Z380)*INT(Panchanga!$Z380/30+1)&amp;"V,"&amp;SIGN(AA381-Panchanga!$AA380)*INT(Panchanga!$AA380/30+1)&amp;"S,"&amp;INT(Panchanga!$AB380/30+1)&amp;"R"</f>
        <v>3Ma,12Me,2J, -12V,11S,12R</v>
      </c>
      <c r="U380" s="4">
        <f t="shared" si="46"/>
        <v>322.49165938366247</v>
      </c>
      <c r="V380" s="4">
        <f t="shared" si="47"/>
        <v>56.93980902837037</v>
      </c>
      <c r="W380" s="4">
        <f>Planet(Panchanga!$G380,4)</f>
        <v>83.516568528743136</v>
      </c>
      <c r="X380" s="4">
        <f>Planet(Panchanga!$G380,2)</f>
        <v>340.58469620605325</v>
      </c>
      <c r="Y380" s="4">
        <f>Planet(Panchanga!$G380,5)</f>
        <v>48.594609408452641</v>
      </c>
      <c r="Z380" s="4">
        <f>Planet(Panchanga!$G380,3)</f>
        <v>346.1048783985612</v>
      </c>
      <c r="AA380" s="4">
        <f>Planet(Panchanga!$G380,6)</f>
        <v>327.22109717335064</v>
      </c>
      <c r="AB380" s="4">
        <f>Planet(Panchanga!$G380,10)</f>
        <v>333.84454563810618</v>
      </c>
      <c r="AC380" s="4" t="str">
        <f>TEXT(Panchanga!$C380+($C381-Panchanga!$C380)/ABS(IF($R381&lt;1,$R381+30,$R381)-Panchanga!$R380)*(ROUNDUP(Panchanga!$R380,0)-Panchanga!$R380),"hh:mm AM/PM")</f>
        <v>09:20 AM</v>
      </c>
      <c r="AD380" s="4"/>
    </row>
    <row r="381" spans="1:30" x14ac:dyDescent="0.2">
      <c r="A381" s="3">
        <f t="shared" si="49"/>
        <v>45724</v>
      </c>
      <c r="B381" s="3">
        <f t="shared" si="44"/>
        <v>45724.229166666664</v>
      </c>
      <c r="C381" s="6">
        <f t="shared" si="45"/>
        <v>45724.265669610038</v>
      </c>
      <c r="D381" s="6">
        <f>sunset(Lat,Long,B381)+TimeZone/24-0.000277777777777778</f>
        <v>45723.762647639538</v>
      </c>
      <c r="E381" s="6">
        <f>PlanetRiseSet(Lat,Long,B381,1,1)+TimeZone/24+0.00103009259259259</f>
        <v>45723.510457028788</v>
      </c>
      <c r="F381" s="6">
        <f>PlanetRiseSet(Lat,Long,B381+1,1,2)+TimeZone/24+0.00103009259259259</f>
        <v>45725.113481152956</v>
      </c>
      <c r="G381" s="17">
        <f>Panchanga!$C381-TimeZone/24</f>
        <v>45724.036502943374</v>
      </c>
      <c r="H381" s="13" t="str">
        <f>INT(P[[#This Row],[Sun]]/30)&amp;"s"&amp;ROUNDUP(MOD(P[[#This Row],[Sun]],30),2)</f>
        <v>10s23.5</v>
      </c>
      <c r="I381" s="13" t="str">
        <f>INT(P[[#This Row],[Moon]]/30)&amp;"s"&amp;ROUNDUP(MOD(P[[#This Row],[Moon]],30),2)</f>
        <v>2s10.51</v>
      </c>
      <c r="J381" s="14">
        <f t="shared" si="48"/>
        <v>45724.036502943374</v>
      </c>
      <c r="K381" s="10" t="str">
        <f>naks(P[[#This Row],[Moon]])</f>
        <v>Ardra</v>
      </c>
      <c r="L381" s="15">
        <f>(C382-P[[#This Row],[SunRise]])/(MOD(360+V382-P[[#This Row],[Moon]],360))*(13.3333333333333-MOD(P[[#This Row],[Moon]],13.333333333333))+P[[#This Row],[SunRise]]</f>
        <v>45724.980348052813</v>
      </c>
      <c r="M381" s="4" t="str">
        <f>IF(Panchanga!$R381&gt;15,"K","S")&amp;ROUNDUP(MOD(Panchanga!$R381,15),0)&amp;" ("&amp;ROUND(Panchanga!$R381,2)&amp;")"</f>
        <v>S9 (8.92)</v>
      </c>
      <c r="N381" s="4">
        <f>IF(AND(Panchanga!$R381&lt;28.5,Panchanga!$R381&gt;0.49999),MOD((Panchanga!$R381-0.5)*2,7),MOD((Panchanga!$R381+30-28.5),30)*2+7)</f>
        <v>2.835799999999999</v>
      </c>
      <c r="O381" s="4" t="str">
        <f>CHOOSE(ROUNDUP(Panchanga!$N381,0),"Bhava","Baalava","Kaulava","Taitula","Garija","Vanija","Vishti","Shakuni","Chatushapda","Naaga","Kimstugna")</f>
        <v>Kaulava</v>
      </c>
      <c r="P381" s="11" t="str">
        <f>CHOOSE(ROUNDUP(Panchanga!$S381,0),"viṣkambha","prīti","āyuṣmāna","saubhāgya","śobhana","atigaṇḍa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("&amp;Panchanga!$S381&amp;")"</f>
        <v>āyuṣmāna (2.55)</v>
      </c>
      <c r="Q381" s="4">
        <f>IF(AND(Panchanga!$R381&lt;28.5,Panchanga!$R381&gt;0.49999),MOD((Panchanga!$R381-0.5)*2,7),MOD((Panchanga!$R381+30-28.5),30)*2+7)</f>
        <v>2.835799999999999</v>
      </c>
      <c r="R381" s="4">
        <f>ROUNDUP(MOD(360+P[[#This Row],[Moon]]-P[[#This Row],[Sun]],360)/12,4)</f>
        <v>8.9178999999999995</v>
      </c>
      <c r="S381" s="4">
        <f>ROUNDUP(MOD(P[[#This Row],[Sun]]+P[[#This Row],[Moon]],360)/13.333333333,2)</f>
        <v>2.5499999999999998</v>
      </c>
      <c r="T381" s="4" t="str">
        <f>SIGN(W382-Panchanga!$W381)*INT(Panchanga!$W381/30+1)&amp;"Ma,"&amp;SIGN(X382-Panchanga!$X381)*INT(Panchanga!$X381/30+1)&amp;"Me,"&amp;SIGN(Y382-Panchanga!$Y381)*INT(Panchanga!$Y381/30+1)&amp;"J, "&amp;SIGN(Z382-Panchanga!$Z381)*INT(Panchanga!$Z381/30+1)&amp;"V,"&amp;SIGN(AA382-Panchanga!$AA381)*INT(Panchanga!$AA381/30+1)&amp;"S,"&amp;INT(Panchanga!$AB381/30+1)&amp;"R"</f>
        <v>3Ma,12Me,2J, -12V,11S,12R</v>
      </c>
      <c r="U381" s="4">
        <f t="shared" si="46"/>
        <v>323.49171652219877</v>
      </c>
      <c r="V381" s="4">
        <f t="shared" si="47"/>
        <v>70.505365727846666</v>
      </c>
      <c r="W381" s="4">
        <f>Planet(Panchanga!$G381,4)</f>
        <v>83.647747581505939</v>
      </c>
      <c r="X381" s="4">
        <f>Planet(Panchanga!$G381,2)</f>
        <v>341.64806612859633</v>
      </c>
      <c r="Y381" s="4">
        <f>Planet(Panchanga!$G381,5)</f>
        <v>48.692147664009134</v>
      </c>
      <c r="Z381" s="4">
        <f>Planet(Panchanga!$G381,3)</f>
        <v>345.87486221084265</v>
      </c>
      <c r="AA381" s="4">
        <f>Planet(Panchanga!$G381,6)</f>
        <v>327.34426823557658</v>
      </c>
      <c r="AB381" s="4">
        <f>Planet(Panchanga!$G381,10)</f>
        <v>333.79157633573817</v>
      </c>
      <c r="AC381" s="4" t="str">
        <f>TEXT(Panchanga!$C381+($C382-Panchanga!$C381)/ABS(IF($R382&lt;1,$R382+30,$R382)-Panchanga!$R381)*(ROUNDUP(Panchanga!$R381,0)-Panchanga!$R381),"hh:mm AM/PM")</f>
        <v>08:18 AM</v>
      </c>
      <c r="AD381" s="4"/>
    </row>
    <row r="382" spans="1:30" x14ac:dyDescent="0.2">
      <c r="A382" s="3">
        <f t="shared" si="49"/>
        <v>45725</v>
      </c>
      <c r="B382" s="3">
        <f t="shared" si="44"/>
        <v>45725.229166666664</v>
      </c>
      <c r="C382" s="6">
        <f t="shared" si="45"/>
        <v>45725.265236560874</v>
      </c>
      <c r="D382" s="6">
        <f>sunset(Lat,Long,B382)+TimeZone/24-0.000277777777777778</f>
        <v>45724.76273780367</v>
      </c>
      <c r="E382" s="6">
        <f>PlanetRiseSet(Lat,Long,B382,1,1)+TimeZone/24+0.00103009259259259</f>
        <v>45724.552053865198</v>
      </c>
      <c r="F382" s="6">
        <f>PlanetRiseSet(Lat,Long,B382+1,1,2)+TimeZone/24+0.00103009259259259</f>
        <v>45726.149119212445</v>
      </c>
      <c r="G382" s="17">
        <f>Panchanga!$C382-TimeZone/24</f>
        <v>45725.03606989421</v>
      </c>
      <c r="H382" s="13" t="str">
        <f>INT(P[[#This Row],[Sun]]/30)&amp;"s"&amp;ROUNDUP(MOD(P[[#This Row],[Sun]],30),2)</f>
        <v>10s24.5</v>
      </c>
      <c r="I382" s="13" t="str">
        <f>INT(P[[#This Row],[Moon]]/30)&amp;"s"&amp;ROUNDUP(MOD(P[[#This Row],[Moon]],30),2)</f>
        <v>2s23.79</v>
      </c>
      <c r="J382" s="14">
        <f t="shared" si="48"/>
        <v>45725.03606989421</v>
      </c>
      <c r="K382" s="10" t="str">
        <f>naks(P[[#This Row],[Moon]])</f>
        <v>Punarvasu</v>
      </c>
      <c r="L382" s="15">
        <f>(C383-P[[#This Row],[SunRise]])/(MOD(360+V383-P[[#This Row],[Moon]],360))*(13.3333333333333-MOD(P[[#This Row],[Moon]],13.333333333333))+P[[#This Row],[SunRise]]</f>
        <v>45725.998692411791</v>
      </c>
      <c r="M382" s="4" t="str">
        <f>IF(Panchanga!$R382&gt;15,"K","S")&amp;ROUNDUP(MOD(Panchanga!$R382,15),0)&amp;" ("&amp;ROUND(Panchanga!$R382,2)&amp;")"</f>
        <v>S10 (9.94)</v>
      </c>
      <c r="N382" s="4">
        <f>IF(AND(Panchanga!$R382&lt;28.5,Panchanga!$R382&gt;0.49999),MOD((Panchanga!$R382-0.5)*2,7),MOD((Panchanga!$R382+30-28.5),30)*2+7)</f>
        <v>4.8824000000000005</v>
      </c>
      <c r="O382" s="4" t="str">
        <f>CHOOSE(ROUNDUP(Panchanga!$N382,0),"Bhava","Baalava","Kaulava","Taitula","Garija","Vanija","Vishti","Shakuni","Chatushapda","Naaga","Kimstugna")</f>
        <v>Garija</v>
      </c>
      <c r="P382" s="11" t="str">
        <f>CHOOSE(ROUNDUP(Panchanga!$S382,0),"viṣkambha","prīti","āyuṣmāna","saubhāgya","śobhana","atigaṇḍa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("&amp;Panchanga!$S382&amp;")"</f>
        <v>saubhāgya (3.63)</v>
      </c>
      <c r="Q382" s="4">
        <f>IF(AND(Panchanga!$R382&lt;28.5,Panchanga!$R382&gt;0.49999),MOD((Panchanga!$R382-0.5)*2,7),MOD((Panchanga!$R382+30-28.5),30)*2+7)</f>
        <v>4.8824000000000005</v>
      </c>
      <c r="R382" s="4">
        <f>ROUNDUP(MOD(360+P[[#This Row],[Moon]]-P[[#This Row],[Sun]],360)/12,4)</f>
        <v>9.9412000000000003</v>
      </c>
      <c r="S382" s="4">
        <f>ROUNDUP(MOD(P[[#This Row],[Sun]]+P[[#This Row],[Moon]],360)/13.333333333,2)</f>
        <v>3.63</v>
      </c>
      <c r="T382" s="4" t="str">
        <f>SIGN(W383-Panchanga!$W382)*INT(Panchanga!$W382/30+1)&amp;"Ma,"&amp;SIGN(X383-Panchanga!$X382)*INT(Panchanga!$X382/30+1)&amp;"Me,"&amp;SIGN(Y383-Panchanga!$Y382)*INT(Panchanga!$Y382/30+1)&amp;"J, "&amp;SIGN(Z383-Panchanga!$Z382)*INT(Panchanga!$Z382/30+1)&amp;"V,"&amp;SIGN(AA383-Panchanga!$AA382)*INT(Panchanga!$AA382/30+1)&amp;"S,"&amp;INT(Panchanga!$AB382/30+1)&amp;"R"</f>
        <v>3Ma,12Me,2J, -12V,11S,12R</v>
      </c>
      <c r="U382" s="4">
        <f t="shared" si="46"/>
        <v>324.49116814392244</v>
      </c>
      <c r="V382" s="4">
        <f t="shared" si="47"/>
        <v>83.784796113140658</v>
      </c>
      <c r="W382" s="4">
        <f>Planet(Panchanga!$G382,4)</f>
        <v>83.789108827800646</v>
      </c>
      <c r="X382" s="4">
        <f>Planet(Panchanga!$G382,2)</f>
        <v>342.58988195775305</v>
      </c>
      <c r="Y382" s="4">
        <f>Planet(Panchanga!$G382,5)</f>
        <v>48.792392823315893</v>
      </c>
      <c r="Z382" s="4">
        <f>Planet(Panchanga!$G382,3)</f>
        <v>345.60344458536349</v>
      </c>
      <c r="AA382" s="4">
        <f>Planet(Panchanga!$G382,6)</f>
        <v>327.46751560518271</v>
      </c>
      <c r="AB382" s="4">
        <f>Planet(Panchanga!$G382,10)</f>
        <v>333.73860729733019</v>
      </c>
      <c r="AC382" s="4" t="str">
        <f>TEXT(Panchanga!$C382+($C383-Panchanga!$C382)/ABS(IF($R383&lt;1,$R383+30,$R383)-Panchanga!$R382)*(ROUNDUP(Panchanga!$R382,0)-Panchanga!$R382),"hh:mm AM/PM")</f>
        <v>07:46 AM</v>
      </c>
      <c r="AD382" s="4"/>
    </row>
    <row r="383" spans="1:30" x14ac:dyDescent="0.2">
      <c r="A383" s="3">
        <f t="shared" si="49"/>
        <v>45726</v>
      </c>
      <c r="B383" s="3">
        <f t="shared" si="44"/>
        <v>45726.229166666664</v>
      </c>
      <c r="C383" s="6">
        <f t="shared" si="45"/>
        <v>45726.264798825759</v>
      </c>
      <c r="D383" s="6">
        <f>sunset(Lat,Long,B383)+TimeZone/24-0.000277777777777778</f>
        <v>45725.762824045538</v>
      </c>
      <c r="E383" s="6">
        <f>PlanetRiseSet(Lat,Long,B383,1,1)+TimeZone/24+0.00103009259259259</f>
        <v>45725.593284192182</v>
      </c>
      <c r="F383" s="6">
        <f>PlanetRiseSet(Lat,Long,B383+1,1,2)+TimeZone/24+0.00103009259259259</f>
        <v>45727.180907830749</v>
      </c>
      <c r="G383" s="17">
        <f>Panchanga!$C383-TimeZone/24</f>
        <v>45726.035632159095</v>
      </c>
      <c r="H383" s="13" t="str">
        <f>INT(P[[#This Row],[Sun]]/30)&amp;"s"&amp;ROUNDUP(MOD(P[[#This Row],[Sun]],30),2)</f>
        <v>10s25.5</v>
      </c>
      <c r="I383" s="13" t="str">
        <f>INT(P[[#This Row],[Moon]]/30)&amp;"s"&amp;ROUNDUP(MOD(P[[#This Row],[Moon]],30),2)</f>
        <v>3s6.8</v>
      </c>
      <c r="J383" s="14">
        <f t="shared" si="48"/>
        <v>45726.035632159095</v>
      </c>
      <c r="K383" s="10" t="str">
        <f>naks(P[[#This Row],[Moon]])</f>
        <v>Pushya</v>
      </c>
      <c r="L383" s="15">
        <f>(C384-P[[#This Row],[SunRise]])/(MOD(360+V384-P[[#This Row],[Moon]],360))*(13.3333333333333-MOD(P[[#This Row],[Moon]],13.333333333333))+P[[#This Row],[SunRise]]</f>
        <v>45727.037311330816</v>
      </c>
      <c r="M383" s="4" t="str">
        <f>IF(Panchanga!$R383&gt;15,"K","S")&amp;ROUNDUP(MOD(Panchanga!$R383,15),0)&amp;" ("&amp;ROUND(Panchanga!$R383,2)&amp;")"</f>
        <v>S11 (10.94)</v>
      </c>
      <c r="N383" s="4">
        <f>IF(AND(Panchanga!$R383&lt;28.5,Panchanga!$R383&gt;0.49999),MOD((Panchanga!$R383-0.5)*2,7),MOD((Panchanga!$R383+30-28.5),30)*2+7)</f>
        <v>6.8847999999999985</v>
      </c>
      <c r="O383" s="4" t="str">
        <f>CHOOSE(ROUNDUP(Panchanga!$N383,0),"Bhava","Baalava","Kaulava","Taitula","Garija","Vanija","Vishti","Shakuni","Chatushapda","Naaga","Kimstugna")</f>
        <v>Vishti</v>
      </c>
      <c r="P383" s="11" t="str">
        <f>CHOOSE(ROUNDUP(Panchanga!$S383,0),"viṣkambha","prīti","āyuṣmāna","saubhāgya","śobhana","atigaṇḍa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("&amp;Panchanga!$S383&amp;")"</f>
        <v>śobhana (4.68)</v>
      </c>
      <c r="Q383" s="4">
        <f>IF(AND(Panchanga!$R383&lt;28.5,Panchanga!$R383&gt;0.49999),MOD((Panchanga!$R383-0.5)*2,7),MOD((Panchanga!$R383+30-28.5),30)*2+7)</f>
        <v>6.8847999999999985</v>
      </c>
      <c r="R383" s="4">
        <f>ROUNDUP(MOD(360+P[[#This Row],[Moon]]-P[[#This Row],[Sun]],360)/12,4)</f>
        <v>10.942399999999999</v>
      </c>
      <c r="S383" s="4">
        <f>ROUNDUP(MOD(P[[#This Row],[Sun]]+P[[#This Row],[Moon]],360)/13.333333333,2)</f>
        <v>4.68</v>
      </c>
      <c r="T383" s="4" t="str">
        <f>SIGN(W384-Panchanga!$W383)*INT(Panchanga!$W383/30+1)&amp;"Ma,"&amp;SIGN(X384-Panchanga!$X383)*INT(Panchanga!$X383/30+1)&amp;"Me,"&amp;SIGN(Y384-Panchanga!$Y383)*INT(Panchanga!$Y383/30+1)&amp;"J, "&amp;SIGN(Z384-Panchanga!$Z383)*INT(Panchanga!$Z383/30+1)&amp;"V,"&amp;SIGN(AA384-Panchanga!$AA383)*INT(Panchanga!$AA383/30+1)&amp;"S,"&amp;INT(Panchanga!$AB383/30+1)&amp;"R"</f>
        <v>3Ma,12Me,2J, -12V,11S,12R</v>
      </c>
      <c r="U383" s="4">
        <f t="shared" si="46"/>
        <v>325.4900192018477</v>
      </c>
      <c r="V383" s="4">
        <f t="shared" si="47"/>
        <v>96.797655003293656</v>
      </c>
      <c r="W383" s="4">
        <f>Planet(Panchanga!$G383,4)</f>
        <v>83.940430023540216</v>
      </c>
      <c r="X383" s="4">
        <f>Planet(Panchanga!$G383,2)</f>
        <v>343.40301647765159</v>
      </c>
      <c r="Y383" s="4">
        <f>Planet(Panchanga!$G383,5)</f>
        <v>48.895310222126682</v>
      </c>
      <c r="Z383" s="4">
        <f>Planet(Panchanga!$G383,3)</f>
        <v>345.29136543078033</v>
      </c>
      <c r="AA383" s="4">
        <f>Planet(Panchanga!$G383,6)</f>
        <v>327.59082001299248</v>
      </c>
      <c r="AB383" s="4">
        <f>Planet(Panchanga!$G383,10)</f>
        <v>333.68563850725792</v>
      </c>
      <c r="AC383" s="4" t="str">
        <f>TEXT(Panchanga!$C383+($C384-Panchanga!$C383)/ABS(IF($R384&lt;1,$R384+30,$R384)-Panchanga!$R383)*(ROUNDUP(Panchanga!$R383,0)-Panchanga!$R383),"hh:mm AM/PM")</f>
        <v>07:45 AM</v>
      </c>
      <c r="AD383" s="4"/>
    </row>
    <row r="384" spans="1:30" x14ac:dyDescent="0.2">
      <c r="A384" s="3">
        <f t="shared" si="49"/>
        <v>45727</v>
      </c>
      <c r="B384" s="3">
        <f t="shared" si="44"/>
        <v>45727.229166666664</v>
      </c>
      <c r="C384" s="6">
        <f t="shared" si="45"/>
        <v>45727.264356705513</v>
      </c>
      <c r="D384" s="6">
        <f>sunset(Lat,Long,B384)+TimeZone/24-0.000277777777777778</f>
        <v>45726.762906574222</v>
      </c>
      <c r="E384" s="6">
        <f>PlanetRiseSet(Lat,Long,B384,1,1)+TimeZone/24+0.00103009259259259</f>
        <v>45726.632845698543</v>
      </c>
      <c r="F384" s="6">
        <f>PlanetRiseSet(Lat,Long,B384+1,1,2)+TimeZone/24+0.00103009259259259</f>
        <v>45728.209382289242</v>
      </c>
      <c r="G384" s="17">
        <f>Panchanga!$C384-TimeZone/24</f>
        <v>45727.035190038849</v>
      </c>
      <c r="H384" s="13" t="str">
        <f>INT(P[[#This Row],[Sun]]/30)&amp;"s"&amp;ROUNDUP(MOD(P[[#This Row],[Sun]],30),2)</f>
        <v>10s26.49</v>
      </c>
      <c r="I384" s="13" t="str">
        <f>INT(P[[#This Row],[Moon]]/30)&amp;"s"&amp;ROUNDUP(MOD(P[[#This Row],[Moon]],30),2)</f>
        <v>3s19.57</v>
      </c>
      <c r="J384" s="14">
        <f t="shared" si="48"/>
        <v>45727.035190038849</v>
      </c>
      <c r="K384" s="10" t="str">
        <f>naks(P[[#This Row],[Moon]])</f>
        <v>Aslesha</v>
      </c>
      <c r="L384" s="15">
        <f>(C385-P[[#This Row],[SunRise]])/(MOD(360+V385-P[[#This Row],[Moon]],360))*(13.3333333333333-MOD(P[[#This Row],[Moon]],13.333333333333))+P[[#This Row],[SunRise]]</f>
        <v>45728.09524904198</v>
      </c>
      <c r="M384" s="4" t="str">
        <f>IF(Panchanga!$R384&gt;15,"K","S")&amp;ROUNDUP(MOD(Panchanga!$R384,15),0)&amp;" ("&amp;ROUND(Panchanga!$R384,2)&amp;")"</f>
        <v>S12 (11.92)</v>
      </c>
      <c r="N384" s="4">
        <f>IF(AND(Panchanga!$R384&lt;28.5,Panchanga!$R384&gt;0.49999),MOD((Panchanga!$R384-0.5)*2,7),MOD((Panchanga!$R384+30-28.5),30)*2+7)</f>
        <v>1.8465999999999987</v>
      </c>
      <c r="O384" s="4" t="str">
        <f>CHOOSE(ROUNDUP(Panchanga!$N384,0),"Bhava","Baalava","Kaulava","Taitula","Garija","Vanija","Vishti","Shakuni","Chatushapda","Naaga","Kimstugna")</f>
        <v>Baalava</v>
      </c>
      <c r="P384" s="11" t="str">
        <f>CHOOSE(ROUNDUP(Panchanga!$S384,0),"viṣkambha","prīti","āyuṣmāna","saubhāgya","śobhana","atigaṇḍa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("&amp;Panchanga!$S384&amp;")"</f>
        <v>atigaṇḍa  (5.71)</v>
      </c>
      <c r="Q384" s="4">
        <f>IF(AND(Panchanga!$R384&lt;28.5,Panchanga!$R384&gt;0.49999),MOD((Panchanga!$R384-0.5)*2,7),MOD((Panchanga!$R384+30-28.5),30)*2+7)</f>
        <v>1.8465999999999987</v>
      </c>
      <c r="R384" s="4">
        <f>ROUNDUP(MOD(360+P[[#This Row],[Moon]]-P[[#This Row],[Sun]],360)/12,4)</f>
        <v>11.923299999999999</v>
      </c>
      <c r="S384" s="4">
        <f>ROUNDUP(MOD(P[[#This Row],[Sun]]+P[[#This Row],[Moon]],360)/13.333333333,2)</f>
        <v>5.71</v>
      </c>
      <c r="T384" s="4" t="str">
        <f>SIGN(W385-Panchanga!$W384)*INT(Panchanga!$W384/30+1)&amp;"Ma,"&amp;SIGN(X385-Panchanga!$X384)*INT(Panchanga!$X384/30+1)&amp;"Me,"&amp;SIGN(Y385-Panchanga!$Y384)*INT(Panchanga!$Y384/30+1)&amp;"J, "&amp;SIGN(Z385-Panchanga!$Z384)*INT(Panchanga!$Z384/30+1)&amp;"V,"&amp;SIGN(AA385-Panchanga!$AA384)*INT(Panchanga!$AA384/30+1)&amp;"S,"&amp;INT(Panchanga!$AB384/30+1)&amp;"R"</f>
        <v>3Ma,12Me,2J, -12V,11S,12R</v>
      </c>
      <c r="U384" s="4">
        <f t="shared" si="46"/>
        <v>326.48827734463083</v>
      </c>
      <c r="V384" s="4">
        <f t="shared" si="47"/>
        <v>109.56721964978789</v>
      </c>
      <c r="W384" s="4">
        <f>Planet(Panchanga!$G384,4)</f>
        <v>84.10149170605186</v>
      </c>
      <c r="X384" s="4">
        <f>Planet(Panchanga!$G384,2)</f>
        <v>344.0814303732659</v>
      </c>
      <c r="Y384" s="4">
        <f>Planet(Panchanga!$G384,5)</f>
        <v>49.000865745601558</v>
      </c>
      <c r="Z384" s="4">
        <f>Planet(Panchanga!$G384,3)</f>
        <v>344.93966988260797</v>
      </c>
      <c r="AA384" s="4">
        <f>Planet(Panchanga!$G384,6)</f>
        <v>327.71415925240791</v>
      </c>
      <c r="AB384" s="4">
        <f>Planet(Panchanga!$G384,10)</f>
        <v>333.63266994953267</v>
      </c>
      <c r="AC384" s="4" t="str">
        <f>TEXT(Panchanga!$C384+($C385-Panchanga!$C384)/ABS(IF($R385&lt;1,$R385+30,$R385)-Panchanga!$R384)*(ROUNDUP(Panchanga!$R384,0)-Panchanga!$R384),"hh:mm AM/PM")</f>
        <v>08:15 AM</v>
      </c>
      <c r="AD384" s="4"/>
    </row>
    <row r="385" spans="1:30" x14ac:dyDescent="0.2">
      <c r="A385" s="3">
        <f t="shared" si="49"/>
        <v>45728</v>
      </c>
      <c r="B385" s="3">
        <f t="shared" si="44"/>
        <v>45728.229166666664</v>
      </c>
      <c r="C385" s="6">
        <f t="shared" si="45"/>
        <v>45728.263910503279</v>
      </c>
      <c r="D385" s="6">
        <f>sunset(Lat,Long,B385)+TimeZone/24-0.000277777777777778</f>
        <v>45727.762985608584</v>
      </c>
      <c r="E385" s="6">
        <f>PlanetRiseSet(Lat,Long,B385,1,1)+TimeZone/24+0.00103009259259259</f>
        <v>45727.670114510845</v>
      </c>
      <c r="F385" s="6">
        <f>PlanetRiseSet(Lat,Long,B385+1,1,2)+TimeZone/24+0.00103009259259259</f>
        <v>45729.235339366052</v>
      </c>
      <c r="G385" s="17">
        <f>Panchanga!$C385-TimeZone/24</f>
        <v>45728.034743836615</v>
      </c>
      <c r="H385" s="13" t="str">
        <f>INT(P[[#This Row],[Sun]]/30)&amp;"s"&amp;ROUNDUP(MOD(P[[#This Row],[Sun]],30),2)</f>
        <v>10s27.49</v>
      </c>
      <c r="I385" s="13" t="str">
        <f>INT(P[[#This Row],[Moon]]/30)&amp;"s"&amp;ROUNDUP(MOD(P[[#This Row],[Moon]],30),2)</f>
        <v>4s2.12</v>
      </c>
      <c r="J385" s="14">
        <f t="shared" si="48"/>
        <v>45728.034743836615</v>
      </c>
      <c r="K385" s="10" t="str">
        <f>naks(P[[#This Row],[Moon]])</f>
        <v>Makha</v>
      </c>
      <c r="L385" s="15">
        <f>(C386-P[[#This Row],[SunRise]])/(MOD(360+V386-P[[#This Row],[Moon]],360))*(13.3333333333333-MOD(P[[#This Row],[Moon]],13.333333333333))+P[[#This Row],[SunRise]]</f>
        <v>45729.171229917862</v>
      </c>
      <c r="M385" s="4" t="str">
        <f>IF(Panchanga!$R385&gt;15,"K","S")&amp;ROUNDUP(MOD(Panchanga!$R385,15),0)&amp;" ("&amp;ROUND(Panchanga!$R385,2)&amp;")"</f>
        <v>S13 (12.89)</v>
      </c>
      <c r="N385" s="4">
        <f>IF(AND(Panchanga!$R385&lt;28.5,Panchanga!$R385&gt;0.49999),MOD((Panchanga!$R385-0.5)*2,7),MOD((Panchanga!$R385+30-28.5),30)*2+7)</f>
        <v>3.7719999999999985</v>
      </c>
      <c r="O385" s="4" t="str">
        <f>CHOOSE(ROUNDUP(Panchanga!$N385,0),"Bhava","Baalava","Kaulava","Taitula","Garija","Vanija","Vishti","Shakuni","Chatushapda","Naaga","Kimstugna")</f>
        <v>Taitula</v>
      </c>
      <c r="P385" s="11" t="str">
        <f>CHOOSE(ROUNDUP(Panchanga!$S385,0),"viṣkambha","prīti","āyuṣmāna","saubhāgya","śobhana","atigaṇḍa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("&amp;Panchanga!$S385&amp;")"</f>
        <v>sukarmā  (6.73)</v>
      </c>
      <c r="Q385" s="4">
        <f>IF(AND(Panchanga!$R385&lt;28.5,Panchanga!$R385&gt;0.49999),MOD((Panchanga!$R385-0.5)*2,7),MOD((Panchanga!$R385+30-28.5),30)*2+7)</f>
        <v>3.7719999999999985</v>
      </c>
      <c r="R385" s="4">
        <f>ROUNDUP(MOD(360+P[[#This Row],[Moon]]-P[[#This Row],[Sun]],360)/12,4)</f>
        <v>12.885999999999999</v>
      </c>
      <c r="S385" s="4">
        <f>ROUNDUP(MOD(P[[#This Row],[Sun]]+P[[#This Row],[Moon]],360)/13.333333333,2)</f>
        <v>6.7299999999999995</v>
      </c>
      <c r="T385" s="4" t="str">
        <f>SIGN(W386-Panchanga!$W385)*INT(Panchanga!$W385/30+1)&amp;"Ma,"&amp;SIGN(X386-Panchanga!$X385)*INT(Panchanga!$X385/30+1)&amp;"Me,"&amp;SIGN(Y386-Panchanga!$Y385)*INT(Panchanga!$Y385/30+1)&amp;"J, "&amp;SIGN(Z386-Panchanga!$Z385)*INT(Panchanga!$Z385/30+1)&amp;"V,"&amp;SIGN(AA386-Panchanga!$AA385)*INT(Panchanga!$AA385/30+1)&amp;"S,"&amp;INT(Panchanga!$AB385/30+1)&amp;"R"</f>
        <v>3Ma,12Me,2J, -12V,11S,12R</v>
      </c>
      <c r="U385" s="4">
        <f t="shared" si="46"/>
        <v>327.48595228302838</v>
      </c>
      <c r="V385" s="4">
        <f t="shared" si="47"/>
        <v>122.11773283017713</v>
      </c>
      <c r="W385" s="4">
        <f>Planet(Panchanga!$G385,4)</f>
        <v>84.272078326196961</v>
      </c>
      <c r="X385" s="4">
        <f>Planet(Panchanga!$G385,2)</f>
        <v>344.62035020495375</v>
      </c>
      <c r="Y385" s="4">
        <f>Planet(Panchanga!$G385,5)</f>
        <v>49.109025915812666</v>
      </c>
      <c r="Z385" s="4">
        <f>Planet(Panchanga!$G385,3)</f>
        <v>344.54972498513831</v>
      </c>
      <c r="AA385" s="4">
        <f>Planet(Panchanga!$G385,6)</f>
        <v>327.83750691939855</v>
      </c>
      <c r="AB385" s="4">
        <f>Planet(Panchanga!$G385,10)</f>
        <v>333.57970160814875</v>
      </c>
      <c r="AC385" s="4" t="str">
        <f>TEXT(Panchanga!$C385+($C386-Panchanga!$C385)/ABS(IF($R386&lt;1,$R386+30,$R386)-Panchanga!$R385)*(ROUNDUP(Panchanga!$R385,0)-Panchanga!$R385),"hh:mm AM/PM")</f>
        <v>09:13 AM</v>
      </c>
      <c r="AD385" s="4"/>
    </row>
    <row r="386" spans="1:30" x14ac:dyDescent="0.2">
      <c r="A386" s="3">
        <f t="shared" si="49"/>
        <v>45729</v>
      </c>
      <c r="B386" s="3">
        <f t="shared" si="44"/>
        <v>45729.229166666664</v>
      </c>
      <c r="C386" s="6">
        <f t="shared" si="45"/>
        <v>45729.263460525464</v>
      </c>
      <c r="D386" s="6">
        <f>sunset(Lat,Long,B386)+TimeZone/24-0.000277777777777778</f>
        <v>45728.763061373073</v>
      </c>
      <c r="E386" s="6">
        <f>PlanetRiseSet(Lat,Long,B386,1,1)+TimeZone/24+0.00103009259259259</f>
        <v>45728.705111478608</v>
      </c>
      <c r="F386" s="6">
        <f>PlanetRiseSet(Lat,Long,B386+1,1,2)+TimeZone/24+0.00103009259259259</f>
        <v>45730.259629928194</v>
      </c>
      <c r="G386" s="17">
        <f>Panchanga!$C386-TimeZone/24</f>
        <v>45729.0342938588</v>
      </c>
      <c r="H386" s="13" t="str">
        <f>INT(P[[#This Row],[Sun]]/30)&amp;"s"&amp;ROUNDUP(MOD(P[[#This Row],[Sun]],30),2)</f>
        <v>10s28.49</v>
      </c>
      <c r="I386" s="13" t="str">
        <f>INT(P[[#This Row],[Moon]]/30)&amp;"s"&amp;ROUNDUP(MOD(P[[#This Row],[Moon]],30),2)</f>
        <v>4s14.48</v>
      </c>
      <c r="J386" s="14">
        <f t="shared" si="48"/>
        <v>45729.0342938588</v>
      </c>
      <c r="K386" s="10" t="str">
        <f>naks(P[[#This Row],[Moon]])</f>
        <v>Purva Phalguni</v>
      </c>
      <c r="L386" s="15">
        <f>(C387-P[[#This Row],[SunRise]])/(MOD(360+V387-P[[#This Row],[Moon]],360))*(13.3333333333333-MOD(P[[#This Row],[Moon]],13.333333333333))+P[[#This Row],[SunRise]]</f>
        <v>45730.263648572582</v>
      </c>
      <c r="M386" s="4" t="str">
        <f>IF(Panchanga!$R386&gt;15,"K","S")&amp;ROUNDUP(MOD(Panchanga!$R386,15),0)&amp;" ("&amp;ROUND(Panchanga!$R386,2)&amp;")"</f>
        <v>S14 (13.83)</v>
      </c>
      <c r="N386" s="4">
        <f>IF(AND(Panchanga!$R386&lt;28.5,Panchanga!$R386&gt;0.49999),MOD((Panchanga!$R386-0.5)*2,7),MOD((Panchanga!$R386+30-28.5),30)*2+7)</f>
        <v>5.6651999999999987</v>
      </c>
      <c r="O386" s="4" t="str">
        <f>CHOOSE(ROUNDUP(Panchanga!$N386,0),"Bhava","Baalava","Kaulava","Taitula","Garija","Vanija","Vishti","Shakuni","Chatushapda","Naaga","Kimstugna")</f>
        <v>Vanija</v>
      </c>
      <c r="P386" s="11" t="str">
        <f>CHOOSE(ROUNDUP(Panchanga!$S386,0),"viṣkambha","prīti","āyuṣmāna","saubhāgya","śobhana","atigaṇḍa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("&amp;Panchanga!$S386&amp;")"</f>
        <v>dhṛti  (7.73)</v>
      </c>
      <c r="Q386" s="4">
        <f>IF(AND(Panchanga!$R386&lt;28.5,Panchanga!$R386&gt;0.49999),MOD((Panchanga!$R386-0.5)*2,7),MOD((Panchanga!$R386+30-28.5),30)*2+7)</f>
        <v>5.6651999999999987</v>
      </c>
      <c r="R386" s="4">
        <f>ROUNDUP(MOD(360+P[[#This Row],[Moon]]-P[[#This Row],[Sun]],360)/12,4)</f>
        <v>13.832599999999999</v>
      </c>
      <c r="S386" s="4">
        <f>ROUNDUP(MOD(P[[#This Row],[Sun]]+P[[#This Row],[Moon]],360)/13.333333333,2)</f>
        <v>7.7299999999999995</v>
      </c>
      <c r="T386" s="4" t="str">
        <f>SIGN(W387-Panchanga!$W386)*INT(Panchanga!$W386/30+1)&amp;"Ma,"&amp;SIGN(X387-Panchanga!$X386)*INT(Panchanga!$X386/30+1)&amp;"Me,"&amp;SIGN(Y387-Panchanga!$Y386)*INT(Panchanga!$Y386/30+1)&amp;"J, "&amp;SIGN(Z387-Panchanga!$Z386)*INT(Panchanga!$Z386/30+1)&amp;"V,"&amp;SIGN(AA387-Panchanga!$AA386)*INT(Panchanga!$AA386/30+1)&amp;"S,"&amp;INT(Panchanga!$AB386/30+1)&amp;"R"</f>
        <v>3Ma,12Me,2J, -12V,11S,12R</v>
      </c>
      <c r="U386" s="4">
        <f t="shared" si="46"/>
        <v>328.48305513441602</v>
      </c>
      <c r="V386" s="4">
        <f t="shared" si="47"/>
        <v>134.47341876782585</v>
      </c>
      <c r="W386" s="4">
        <f>Planet(Panchanga!$G386,4)</f>
        <v>84.451979137167271</v>
      </c>
      <c r="X386" s="4">
        <f>Planet(Panchanga!$G386,2)</f>
        <v>345.0164442477971</v>
      </c>
      <c r="Y386" s="4">
        <f>Planet(Panchanga!$G386,5)</f>
        <v>49.219757936736528</v>
      </c>
      <c r="Z386" s="4">
        <f>Planet(Panchanga!$G386,3)</f>
        <v>344.12323158435834</v>
      </c>
      <c r="AA386" s="4">
        <f>Planet(Panchanga!$G386,6)</f>
        <v>327.96085069350175</v>
      </c>
      <c r="AB386" s="4">
        <f>Planet(Panchanga!$G386,10)</f>
        <v>333.52673346681911</v>
      </c>
      <c r="AC386" s="4" t="str">
        <f>TEXT(Panchanga!$C386+($C387-Panchanga!$C386)/ABS(IF($R387&lt;1,$R387+30,$R387)-Panchanga!$R386)*(ROUNDUP(Panchanga!$R386,0)-Panchanga!$R386),"hh:mm AM/PM")</f>
        <v>10:37 AM</v>
      </c>
      <c r="AD386" s="4"/>
    </row>
    <row r="387" spans="1:30" x14ac:dyDescent="0.2">
      <c r="A387" s="3">
        <f t="shared" si="49"/>
        <v>45730</v>
      </c>
      <c r="B387" s="3">
        <f t="shared" ref="B387:B450" si="50">A387+TimeZone/24</f>
        <v>45730.229166666664</v>
      </c>
      <c r="C387" s="6">
        <f t="shared" ref="C387:C450" si="51">sunrise(Lat,Long,B387)+TimeZone/24+0.00103009259259259</f>
        <v>45730.263007079404</v>
      </c>
      <c r="D387" s="6">
        <f>sunset(Lat,Long,B387)+TimeZone/24-0.000277777777777778</f>
        <v>45729.76313409819</v>
      </c>
      <c r="E387" s="6">
        <f>PlanetRiseSet(Lat,Long,B387,1,1)+TimeZone/24+0.00103009259259259</f>
        <v>45729.738270040289</v>
      </c>
      <c r="F387" s="6">
        <f>PlanetRiseSet(Lat,Long,B387+1,1,2)+TimeZone/24+0.00103009259259259</f>
        <v>45731.283074099258</v>
      </c>
      <c r="G387" s="17">
        <f>Panchanga!$C387-TimeZone/24</f>
        <v>45730.03384041274</v>
      </c>
      <c r="H387" s="13" t="str">
        <f>INT(P[[#This Row],[Sun]]/30)&amp;"s"&amp;ROUNDUP(MOD(P[[#This Row],[Sun]],30),2)</f>
        <v>10s29.48</v>
      </c>
      <c r="I387" s="13" t="str">
        <f>INT(P[[#This Row],[Moon]]/30)&amp;"s"&amp;ROUNDUP(MOD(P[[#This Row],[Moon]],30),2)</f>
        <v>4s26.66</v>
      </c>
      <c r="J387" s="14">
        <f t="shared" si="48"/>
        <v>45730.03384041274</v>
      </c>
      <c r="K387" s="10" t="str">
        <f>naks(P[[#This Row],[Moon]])</f>
        <v>Uttara Phalguni</v>
      </c>
      <c r="L387" s="15">
        <f>(C388-P[[#This Row],[SunRise]])/(MOD(360+V388-P[[#This Row],[Moon]],360))*(13.3333333333333-MOD(P[[#This Row],[Moon]],13.333333333333))+P[[#This Row],[SunRise]]</f>
        <v>45730.26365624262</v>
      </c>
      <c r="M387" s="4" t="str">
        <f>IF(Panchanga!$R387&gt;15,"K","S")&amp;ROUNDUP(MOD(Panchanga!$R387,15),0)&amp;" ("&amp;ROUND(Panchanga!$R387,2)&amp;")"</f>
        <v>S15 (14.77)</v>
      </c>
      <c r="N387" s="4">
        <f>IF(AND(Panchanga!$R387&lt;28.5,Panchanga!$R387&gt;0.49999),MOD((Panchanga!$R387-0.5)*2,7),MOD((Panchanga!$R387+30-28.5),30)*2+7)</f>
        <v>0.53000000000000114</v>
      </c>
      <c r="O387" s="4" t="str">
        <f>CHOOSE(ROUNDUP(Panchanga!$N387,0),"Bhava","Baalava","Kaulava","Taitula","Garija","Vanija","Vishti","Shakuni","Chatushapda","Naaga","Kimstugna")</f>
        <v>Bhava</v>
      </c>
      <c r="P387" s="11" t="str">
        <f>CHOOSE(ROUNDUP(Panchanga!$S387,0),"viṣkambha","prīti","āyuṣmāna","saubhāgya","śobhana","atigaṇḍa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("&amp;Panchanga!$S387&amp;")"</f>
        <v>śūla  (8.72)</v>
      </c>
      <c r="Q387" s="4">
        <f>IF(AND(Panchanga!$R387&lt;28.5,Panchanga!$R387&gt;0.49999),MOD((Panchanga!$R387-0.5)*2,7),MOD((Panchanga!$R387+30-28.5),30)*2+7)</f>
        <v>0.53000000000000114</v>
      </c>
      <c r="R387" s="4">
        <f>ROUNDUP(MOD(360+P[[#This Row],[Moon]]-P[[#This Row],[Sun]],360)/12,4)</f>
        <v>14.765000000000001</v>
      </c>
      <c r="S387" s="4">
        <f>ROUNDUP(MOD(P[[#This Row],[Sun]]+P[[#This Row],[Moon]],360)/13.333333333,2)</f>
        <v>8.7200000000000006</v>
      </c>
      <c r="T387" s="4" t="str">
        <f>SIGN(W388-Panchanga!$W387)*INT(Panchanga!$W387/30+1)&amp;"Ma,"&amp;SIGN(X388-Panchanga!$X387)*INT(Panchanga!$X387/30+1)&amp;"Me,"&amp;SIGN(Y388-Panchanga!$Y387)*INT(Panchanga!$Y387/30+1)&amp;"J, "&amp;SIGN(Z388-Panchanga!$Z387)*INT(Panchanga!$Z387/30+1)&amp;"V,"&amp;SIGN(AA388-Panchanga!$AA387)*INT(Panchanga!$AA387/30+1)&amp;"S,"&amp;INT(Panchanga!$AB387/30+1)&amp;"R"</f>
        <v>3Ma,12Me,2J, -12V,11S,12R</v>
      </c>
      <c r="U387" s="4">
        <f t="shared" ref="U387:U450" si="52">Planet($G387,0)</f>
        <v>329.47959775429314</v>
      </c>
      <c r="V387" s="4">
        <f t="shared" ref="V387:V450" si="53">Planet($G387,1)</f>
        <v>146.65884625190381</v>
      </c>
      <c r="W387" s="4">
        <f>Planet(Panchanga!$G387,4)</f>
        <v>84.640988796710772</v>
      </c>
      <c r="X387" s="4">
        <f>Planet(Panchanga!$G387,2)</f>
        <v>345.2679984948777</v>
      </c>
      <c r="Y387" s="4">
        <f>Planet(Panchanga!$G387,5)</f>
        <v>49.333029691577245</v>
      </c>
      <c r="Z387" s="4">
        <f>Planet(Panchanga!$G387,3)</f>
        <v>343.66223048471841</v>
      </c>
      <c r="AA387" s="4">
        <f>Planet(Panchanga!$G387,6)</f>
        <v>328.08419602151741</v>
      </c>
      <c r="AB387" s="4">
        <f>Planet(Panchanga!$G387,10)</f>
        <v>333.47376550930642</v>
      </c>
      <c r="AC387" s="4" t="str">
        <f>TEXT(Panchanga!$C387+($C388-Panchanga!$C387)/ABS(IF($R388&lt;1,$R388+30,$R388)-Panchanga!$R387)*(ROUNDUP(Panchanga!$R387,0)-Panchanga!$R387),"hh:mm AM/PM")</f>
        <v>12:26 PM</v>
      </c>
      <c r="AD387" s="4"/>
    </row>
    <row r="388" spans="1:30" x14ac:dyDescent="0.2">
      <c r="A388" s="3">
        <f t="shared" si="49"/>
        <v>45731</v>
      </c>
      <c r="B388" s="3">
        <f t="shared" si="50"/>
        <v>45731.229166666664</v>
      </c>
      <c r="C388" s="6">
        <f t="shared" si="51"/>
        <v>45731.2625504729</v>
      </c>
      <c r="D388" s="6">
        <f>sunset(Lat,Long,B388)+TimeZone/24-0.000277777777777778</f>
        <v>45730.763204016766</v>
      </c>
      <c r="E388" s="6">
        <f>PlanetRiseSet(Lat,Long,B388,1,1)+TimeZone/24+0.00103009259259259</f>
        <v>45730.770219199978</v>
      </c>
      <c r="F388" s="6">
        <f>PlanetRiseSet(Lat,Long,B388+1,1,2)+TimeZone/24+0.00103009259259259</f>
        <v>45732.306448850002</v>
      </c>
      <c r="G388" s="17">
        <f>Panchanga!$C388-TimeZone/24</f>
        <v>45731.033383806236</v>
      </c>
      <c r="H388" s="13" t="str">
        <f>INT(P[[#This Row],[Sun]]/30)&amp;"s"&amp;ROUNDUP(MOD(P[[#This Row],[Sun]],30),2)</f>
        <v>11s0.48</v>
      </c>
      <c r="I388" s="13" t="str">
        <f>INT(P[[#This Row],[Moon]]/30)&amp;"s"&amp;ROUNDUP(MOD(P[[#This Row],[Moon]],30),2)</f>
        <v>5s8.71</v>
      </c>
      <c r="J388" s="14">
        <f t="shared" si="48"/>
        <v>45731.033383806236</v>
      </c>
      <c r="K388" s="10" t="str">
        <f>naks(P[[#This Row],[Moon]])</f>
        <v>Uttara Phalguni</v>
      </c>
      <c r="L388" s="15">
        <f>(C389-P[[#This Row],[SunRise]])/(MOD(360+V389-P[[#This Row],[Moon]],360))*(13.3333333333333-MOD(P[[#This Row],[Moon]],13.333333333333))+P[[#This Row],[SunRise]]</f>
        <v>45731.371472784456</v>
      </c>
      <c r="M388" s="4" t="str">
        <f>IF(Panchanga!$R388&gt;15,"K","S")&amp;ROUNDUP(MOD(Panchanga!$R388,15),0)&amp;" ("&amp;ROUND(Panchanga!$R388,2)&amp;")"</f>
        <v>K1 (15.69)</v>
      </c>
      <c r="N388" s="4">
        <f>IF(AND(Panchanga!$R388&lt;28.5,Panchanga!$R388&gt;0.49999),MOD((Panchanga!$R388-0.5)*2,7),MOD((Panchanga!$R388+30-28.5),30)*2+7)</f>
        <v>2.3707999999999991</v>
      </c>
      <c r="O388" s="4" t="str">
        <f>CHOOSE(ROUNDUP(Panchanga!$N388,0),"Bhava","Baalava","Kaulava","Taitula","Garija","Vanija","Vishti","Shakuni","Chatushapda","Naaga","Kimstugna")</f>
        <v>Kaulava</v>
      </c>
      <c r="P388" s="11" t="str">
        <f>CHOOSE(ROUNDUP(Panchanga!$S388,0),"viṣkambha","prīti","āyuṣmāna","saubhāgya","śobhana","atigaṇḍa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("&amp;Panchanga!$S388&amp;")"</f>
        <v>gaṇḍa  (9.69)</v>
      </c>
      <c r="Q388" s="4">
        <f>IF(AND(Panchanga!$R388&lt;28.5,Panchanga!$R388&gt;0.49999),MOD((Panchanga!$R388-0.5)*2,7),MOD((Panchanga!$R388+30-28.5),30)*2+7)</f>
        <v>2.3707999999999991</v>
      </c>
      <c r="R388" s="4">
        <f>ROUNDUP(MOD(360+P[[#This Row],[Moon]]-P[[#This Row],[Sun]],360)/12,4)</f>
        <v>15.6854</v>
      </c>
      <c r="S388" s="4">
        <f>ROUNDUP(MOD(P[[#This Row],[Sun]]+P[[#This Row],[Moon]],360)/13.333333333,2)</f>
        <v>9.69</v>
      </c>
      <c r="T388" s="4" t="str">
        <f>SIGN(W389-Panchanga!$W388)*INT(Panchanga!$W388/30+1)&amp;"Ma,"&amp;SIGN(X389-Panchanga!$X388)*INT(Panchanga!$X388/30+1)&amp;"Me,"&amp;SIGN(Y389-Panchanga!$Y388)*INT(Panchanga!$Y388/30+1)&amp;"J, "&amp;SIGN(Z389-Panchanga!$Z388)*INT(Panchanga!$Z388/30+1)&amp;"V,"&amp;SIGN(AA389-Panchanga!$AA388)*INT(Panchanga!$AA388/30+1)&amp;"S,"&amp;INT(Panchanga!$AB388/30+1)&amp;"R"</f>
        <v>3Ma,-12Me,2J, -12V,11S,12R</v>
      </c>
      <c r="U388" s="4">
        <f t="shared" si="52"/>
        <v>330.47559214300441</v>
      </c>
      <c r="V388" s="4">
        <f t="shared" si="53"/>
        <v>158.70026163260405</v>
      </c>
      <c r="W388" s="4">
        <f>Planet(Panchanga!$G388,4)</f>
        <v>84.838907667175761</v>
      </c>
      <c r="X388" s="4">
        <f>Planet(Panchanga!$G388,2)</f>
        <v>345.37509226652338</v>
      </c>
      <c r="Y388" s="4">
        <f>Planet(Panchanga!$G388,5)</f>
        <v>49.448809695335264</v>
      </c>
      <c r="Z388" s="4">
        <f>Planet(Panchanga!$G388,3)</f>
        <v>343.16910222650978</v>
      </c>
      <c r="AA388" s="4">
        <f>Planet(Panchanga!$G388,6)</f>
        <v>328.20752563736664</v>
      </c>
      <c r="AB388" s="4">
        <f>Planet(Panchanga!$G388,10)</f>
        <v>333.42079771927371</v>
      </c>
      <c r="AC388" s="4" t="str">
        <f>TEXT(Panchanga!$C388+($C389-Panchanga!$C388)/ABS(IF($R389&lt;1,$R389+30,$R389)-Panchanga!$R388)*(ROUNDUP(Panchanga!$R388,0)-Panchanga!$R388),"hh:mm AM/PM")</f>
        <v>02:35 PM</v>
      </c>
      <c r="AD388" s="4"/>
    </row>
    <row r="389" spans="1:30" x14ac:dyDescent="0.2">
      <c r="A389" s="3">
        <f t="shared" si="49"/>
        <v>45732</v>
      </c>
      <c r="B389" s="3">
        <f t="shared" si="50"/>
        <v>45732.229166666664</v>
      </c>
      <c r="C389" s="6">
        <f t="shared" si="51"/>
        <v>45732.262091012824</v>
      </c>
      <c r="D389" s="6">
        <f>sunset(Lat,Long,B389)+TimeZone/24-0.000277777777777778</f>
        <v>45731.763271362099</v>
      </c>
      <c r="E389" s="6">
        <f>PlanetRiseSet(Lat,Long,B389,1,1)+TimeZone/24+0.00103009259259259</f>
        <v>45731.801648975503</v>
      </c>
      <c r="F389" s="6">
        <f>PlanetRiseSet(Lat,Long,B389+1,1,2)+TimeZone/24+0.00103009259259259</f>
        <v>45733.330503241777</v>
      </c>
      <c r="G389" s="17">
        <f>Panchanga!$C389-TimeZone/24</f>
        <v>45732.03292434616</v>
      </c>
      <c r="H389" s="13" t="str">
        <f>INT(P[[#This Row],[Sun]]/30)&amp;"s"&amp;ROUNDUP(MOD(P[[#This Row],[Sun]],30),2)</f>
        <v>11s1.48</v>
      </c>
      <c r="I389" s="13" t="str">
        <f>INT(P[[#This Row],[Moon]]/30)&amp;"s"&amp;ROUNDUP(MOD(P[[#This Row],[Moon]],30),2)</f>
        <v>5s20.63</v>
      </c>
      <c r="J389" s="14">
        <f t="shared" si="48"/>
        <v>45732.03292434616</v>
      </c>
      <c r="K389" s="10" t="str">
        <f>naks(P[[#This Row],[Moon]])</f>
        <v>Hasta</v>
      </c>
      <c r="L389" s="15">
        <f>(C390-P[[#This Row],[SunRise]])/(MOD(360+V390-P[[#This Row],[Moon]],360))*(13.3333333333333-MOD(P[[#This Row],[Moon]],13.333333333333))+P[[#This Row],[SunRise]]</f>
        <v>45732.49035756696</v>
      </c>
      <c r="M389" s="4" t="str">
        <f>IF(Panchanga!$R389&gt;15,"K","S")&amp;ROUNDUP(MOD(Panchanga!$R389,15),0)&amp;" ("&amp;ROUND(Panchanga!$R389,2)&amp;")"</f>
        <v>K2 (16.6)</v>
      </c>
      <c r="N389" s="4">
        <f>IF(AND(Panchanga!$R389&lt;28.5,Panchanga!$R389&gt;0.49999),MOD((Panchanga!$R389-0.5)*2,7),MOD((Panchanga!$R389+30-28.5),30)*2+7)</f>
        <v>4.1927999999999983</v>
      </c>
      <c r="O389" s="4" t="str">
        <f>CHOOSE(ROUNDUP(Panchanga!$N389,0),"Bhava","Baalava","Kaulava","Taitula","Garija","Vanija","Vishti","Shakuni","Chatushapda","Naaga","Kimstugna")</f>
        <v>Garija</v>
      </c>
      <c r="P389" s="11" t="str">
        <f>CHOOSE(ROUNDUP(Panchanga!$S389,0),"viṣkambha","prīti","āyuṣmāna","saubhāgya","śobhana","atigaṇḍa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("&amp;Panchanga!$S389&amp;")"</f>
        <v>vṛddhi  (10.66)</v>
      </c>
      <c r="Q389" s="4">
        <f>IF(AND(Panchanga!$R389&lt;28.5,Panchanga!$R389&gt;0.49999),MOD((Panchanga!$R389-0.5)*2,7),MOD((Panchanga!$R389+30-28.5),30)*2+7)</f>
        <v>4.1927999999999983</v>
      </c>
      <c r="R389" s="4">
        <f>ROUNDUP(MOD(360+P[[#This Row],[Moon]]-P[[#This Row],[Sun]],360)/12,4)</f>
        <v>16.596399999999999</v>
      </c>
      <c r="S389" s="4">
        <f>ROUNDUP(MOD(P[[#This Row],[Sun]]+P[[#This Row],[Moon]],360)/13.333333333,2)</f>
        <v>10.66</v>
      </c>
      <c r="T389" s="4" t="str">
        <f>SIGN(W390-Panchanga!$W389)*INT(Panchanga!$W389/30+1)&amp;"Ma,"&amp;SIGN(X390-Panchanga!$X389)*INT(Panchanga!$X389/30+1)&amp;"Me,"&amp;SIGN(Y390-Panchanga!$Y389)*INT(Panchanga!$Y389/30+1)&amp;"J, "&amp;SIGN(Z390-Panchanga!$Z389)*INT(Panchanga!$Z389/30+1)&amp;"V,"&amp;SIGN(AA390-Panchanga!$AA389)*INT(Panchanga!$AA389/30+1)&amp;"S,"&amp;INT(Panchanga!$AB389/30+1)&amp;"R"</f>
        <v>3Ma,-12Me,2J, -12V,11S,12R</v>
      </c>
      <c r="U389" s="4">
        <f t="shared" si="52"/>
        <v>331.47104998044449</v>
      </c>
      <c r="V389" s="4">
        <f t="shared" si="53"/>
        <v>170.62748913063288</v>
      </c>
      <c r="W389" s="4">
        <f>Planet(Panchanga!$G389,4)</f>
        <v>85.045541859361705</v>
      </c>
      <c r="X389" s="4">
        <f>Planet(Panchanga!$G389,2)</f>
        <v>345.33976823437183</v>
      </c>
      <c r="Y389" s="4">
        <f>Planet(Panchanga!$G389,5)</f>
        <v>49.567067020706354</v>
      </c>
      <c r="Z389" s="4">
        <f>Planet(Panchanga!$G389,3)</f>
        <v>342.64656006127359</v>
      </c>
      <c r="AA389" s="4">
        <f>Planet(Panchanga!$G389,6)</f>
        <v>328.33081392143185</v>
      </c>
      <c r="AB389" s="4">
        <f>Planet(Panchanga!$G389,10)</f>
        <v>333.36783008043381</v>
      </c>
      <c r="AC389" s="4" t="str">
        <f>TEXT(Panchanga!$C389+($C390-Panchanga!$C389)/ABS(IF($R390&lt;1,$R390+30,$R390)-Panchanga!$R389)*(ROUNDUP(Panchanga!$R389,0)-Panchanga!$R389),"hh:mm AM/PM")</f>
        <v>04:59 PM</v>
      </c>
      <c r="AD389" s="4"/>
    </row>
    <row r="390" spans="1:30" x14ac:dyDescent="0.2">
      <c r="A390" s="3">
        <f t="shared" si="49"/>
        <v>45733</v>
      </c>
      <c r="B390" s="3">
        <f t="shared" si="50"/>
        <v>45733.229166666664</v>
      </c>
      <c r="C390" s="6">
        <f t="shared" si="51"/>
        <v>45733.261629005116</v>
      </c>
      <c r="D390" s="6">
        <f>sunset(Lat,Long,B390)+TimeZone/24-0.000277777777777778</f>
        <v>45732.763336367017</v>
      </c>
      <c r="E390" s="6">
        <f>PlanetRiseSet(Lat,Long,B390,1,1)+TimeZone/24+0.00103009259259259</f>
        <v>45732.833238840722</v>
      </c>
      <c r="F390" s="6">
        <f>PlanetRiseSet(Lat,Long,B390+1,1,2)+TimeZone/24+0.00103009259259259</f>
        <v>45734.355971055258</v>
      </c>
      <c r="G390" s="17">
        <f>Panchanga!$C390-TimeZone/24</f>
        <v>45733.032462338451</v>
      </c>
      <c r="H390" s="13" t="str">
        <f>INT(P[[#This Row],[Sun]]/30)&amp;"s"&amp;ROUNDUP(MOD(P[[#This Row],[Sun]],30),2)</f>
        <v>11s2.47</v>
      </c>
      <c r="I390" s="13" t="str">
        <f>INT(P[[#This Row],[Moon]]/30)&amp;"s"&amp;ROUNDUP(MOD(P[[#This Row],[Moon]],30),2)</f>
        <v>6s2.48</v>
      </c>
      <c r="J390" s="14">
        <f t="shared" si="48"/>
        <v>45733.032462338451</v>
      </c>
      <c r="K390" s="10" t="str">
        <f>naks(P[[#This Row],[Moon]])</f>
        <v>Chitra</v>
      </c>
      <c r="L390" s="15">
        <f>(C391-P[[#This Row],[SunRise]])/(MOD(360+V391-P[[#This Row],[Moon]],360))*(13.3333333333333-MOD(P[[#This Row],[Moon]],13.333333333333))+P[[#This Row],[SunRise]]</f>
        <v>45733.616253187523</v>
      </c>
      <c r="M390" s="4" t="str">
        <f>IF(Panchanga!$R390&gt;15,"K","S")&amp;ROUNDUP(MOD(Panchanga!$R390,15),0)&amp;" ("&amp;ROUND(Panchanga!$R390,2)&amp;")"</f>
        <v>K3 (17.5)</v>
      </c>
      <c r="N390" s="4">
        <f>IF(AND(Panchanga!$R390&lt;28.5,Panchanga!$R390&gt;0.49999),MOD((Panchanga!$R390-0.5)*2,7),MOD((Panchanga!$R390+30-28.5),30)*2+7)</f>
        <v>6.0018000000000029</v>
      </c>
      <c r="O390" s="4" t="str">
        <f>CHOOSE(ROUNDUP(Panchanga!$N390,0),"Bhava","Baalava","Kaulava","Taitula","Garija","Vanija","Vishti","Shakuni","Chatushapda","Naaga","Kimstugna")</f>
        <v>Vishti</v>
      </c>
      <c r="P390" s="11" t="str">
        <f>CHOOSE(ROUNDUP(Panchanga!$S390,0),"viṣkambha","prīti","āyuṣmāna","saubhāgya","śobhana","atigaṇḍa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("&amp;Panchanga!$S390&amp;")"</f>
        <v>dhruva  (11.63)</v>
      </c>
      <c r="Q390" s="4">
        <f>IF(AND(Panchanga!$R390&lt;28.5,Panchanga!$R390&gt;0.49999),MOD((Panchanga!$R390-0.5)*2,7),MOD((Panchanga!$R390+30-28.5),30)*2+7)</f>
        <v>6.0018000000000029</v>
      </c>
      <c r="R390" s="4">
        <f>ROUNDUP(MOD(360+P[[#This Row],[Moon]]-P[[#This Row],[Sun]],360)/12,4)</f>
        <v>17.500900000000001</v>
      </c>
      <c r="S390" s="4">
        <f>ROUNDUP(MOD(P[[#This Row],[Sun]]+P[[#This Row],[Moon]],360)/13.333333333,2)</f>
        <v>11.629999999999999</v>
      </c>
      <c r="T390" s="4" t="str">
        <f>SIGN(W391-Panchanga!$W390)*INT(Panchanga!$W390/30+1)&amp;"Ma,"&amp;SIGN(X391-Panchanga!$X390)*INT(Panchanga!$X390/30+1)&amp;"Me,"&amp;SIGN(Y391-Panchanga!$Y390)*INT(Panchanga!$Y390/30+1)&amp;"J, "&amp;SIGN(Z391-Panchanga!$Z390)*INT(Panchanga!$Z390/30+1)&amp;"V,"&amp;SIGN(AA391-Panchanga!$AA390)*INT(Panchanga!$AA390/30+1)&amp;"S,"&amp;INT(Panchanga!$AB390/30+1)&amp;"R"</f>
        <v>3Ma,-12Me,2J, -12V,11S,12R</v>
      </c>
      <c r="U390" s="4">
        <f t="shared" si="52"/>
        <v>332.46598230948325</v>
      </c>
      <c r="V390" s="4">
        <f t="shared" si="53"/>
        <v>182.47589194211636</v>
      </c>
      <c r="W390" s="4">
        <f>Planet(Panchanga!$G390,4)</f>
        <v>85.260703125856011</v>
      </c>
      <c r="X390" s="4">
        <f>Planet(Panchanga!$G390,2)</f>
        <v>345.1661859779108</v>
      </c>
      <c r="Y390" s="4">
        <f>Planet(Panchanga!$G390,5)</f>
        <v>49.687771217075316</v>
      </c>
      <c r="Z390" s="4">
        <f>Planet(Panchanga!$G390,3)</f>
        <v>342.09763575446914</v>
      </c>
      <c r="AA390" s="4">
        <f>Planet(Panchanga!$G390,6)</f>
        <v>328.45404023836824</v>
      </c>
      <c r="AB390" s="4">
        <f>Planet(Panchanga!$G390,10)</f>
        <v>333.31486257661578</v>
      </c>
      <c r="AC390" s="4" t="str">
        <f>TEXT(Panchanga!$C390+($C391-Panchanga!$C390)/ABS(IF($R391&lt;1,$R391+30,$R391)-Panchanga!$R390)*(ROUNDUP(Panchanga!$R390,0)-Panchanga!$R390),"hh:mm AM/PM")</f>
        <v>07:33 PM</v>
      </c>
      <c r="AD390" s="4"/>
    </row>
    <row r="391" spans="1:30" x14ac:dyDescent="0.2">
      <c r="A391" s="3">
        <f t="shared" si="49"/>
        <v>45734</v>
      </c>
      <c r="B391" s="3">
        <f t="shared" si="50"/>
        <v>45734.229166666664</v>
      </c>
      <c r="C391" s="6">
        <f t="shared" si="51"/>
        <v>45734.261164752919</v>
      </c>
      <c r="D391" s="6">
        <f>sunset(Lat,Long,B391)+TimeZone/24-0.000277777777777778</f>
        <v>45733.763399261559</v>
      </c>
      <c r="E391" s="6">
        <f>PlanetRiseSet(Lat,Long,B391,1,1)+TimeZone/24+0.00103009259259259</f>
        <v>45733.865609380569</v>
      </c>
      <c r="F391" s="6">
        <f>PlanetRiseSet(Lat,Long,B391+1,1,2)+TimeZone/24+0.00103009259259259</f>
        <v>45735.383556284163</v>
      </c>
      <c r="G391" s="17">
        <f>Panchanga!$C391-TimeZone/24</f>
        <v>45734.031998086255</v>
      </c>
      <c r="H391" s="13" t="str">
        <f>INT(P[[#This Row],[Sun]]/30)&amp;"s"&amp;ROUNDUP(MOD(P[[#This Row],[Sun]],30),2)</f>
        <v>11s3.47</v>
      </c>
      <c r="I391" s="13" t="str">
        <f>INT(P[[#This Row],[Moon]]/30)&amp;"s"&amp;ROUNDUP(MOD(P[[#This Row],[Moon]],30),2)</f>
        <v>6s14.29</v>
      </c>
      <c r="J391" s="14">
        <f t="shared" si="48"/>
        <v>45734.031998086255</v>
      </c>
      <c r="K391" s="10" t="str">
        <f>naks(P[[#This Row],[Moon]])</f>
        <v>Swati</v>
      </c>
      <c r="L391" s="15">
        <f>(C392-P[[#This Row],[SunRise]])/(MOD(360+V392-P[[#This Row],[Moon]],360))*(13.3333333333333-MOD(P[[#This Row],[Moon]],13.333333333333))+P[[#This Row],[SunRise]]</f>
        <v>45734.743948872427</v>
      </c>
      <c r="M391" s="4" t="str">
        <f>IF(Panchanga!$R391&gt;15,"K","S")&amp;ROUNDUP(MOD(Panchanga!$R391,15),0)&amp;" ("&amp;ROUND(Panchanga!$R391,2)&amp;")"</f>
        <v>K4 (18.4)</v>
      </c>
      <c r="N391" s="4">
        <f>IF(AND(Panchanga!$R391&lt;28.5,Panchanga!$R391&gt;0.49999),MOD((Panchanga!$R391-0.5)*2,7),MOD((Panchanga!$R391+30-28.5),30)*2+7)</f>
        <v>0.80460000000000065</v>
      </c>
      <c r="O391" s="4" t="str">
        <f>CHOOSE(ROUNDUP(Panchanga!$N391,0),"Bhava","Baalava","Kaulava","Taitula","Garija","Vanija","Vishti","Shakuni","Chatushapda","Naaga","Kimstugna")</f>
        <v>Bhava</v>
      </c>
      <c r="P391" s="11" t="str">
        <f>CHOOSE(ROUNDUP(Panchanga!$S391,0),"viṣkambha","prīti","āyuṣmāna","saubhāgya","śobhana","atigaṇḍa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("&amp;Panchanga!$S391&amp;")"</f>
        <v>vyāghāta (12.59)</v>
      </c>
      <c r="Q391" s="4">
        <f>IF(AND(Panchanga!$R391&lt;28.5,Panchanga!$R391&gt;0.49999),MOD((Panchanga!$R391-0.5)*2,7),MOD((Panchanga!$R391+30-28.5),30)*2+7)</f>
        <v>0.80460000000000065</v>
      </c>
      <c r="R391" s="4">
        <f>ROUNDUP(MOD(360+P[[#This Row],[Moon]]-P[[#This Row],[Sun]],360)/12,4)</f>
        <v>18.4023</v>
      </c>
      <c r="S391" s="4">
        <f>ROUNDUP(MOD(P[[#This Row],[Sun]]+P[[#This Row],[Moon]],360)/13.333333333,2)</f>
        <v>12.59</v>
      </c>
      <c r="T391" s="4" t="str">
        <f>SIGN(W392-Panchanga!$W391)*INT(Panchanga!$W391/30+1)&amp;"Ma,"&amp;SIGN(X392-Panchanga!$X391)*INT(Panchanga!$X391/30+1)&amp;"Me,"&amp;SIGN(Y392-Panchanga!$Y391)*INT(Panchanga!$Y391/30+1)&amp;"J, "&amp;SIGN(Z392-Panchanga!$Z391)*INT(Panchanga!$Z391/30+1)&amp;"V,"&amp;SIGN(AA392-Panchanga!$AA391)*INT(Panchanga!$AA391/30+1)&amp;"S,"&amp;INT(Panchanga!$AB391/30+1)&amp;"R"</f>
        <v>3Ma,-12Me,2J, -12V,11S,12R</v>
      </c>
      <c r="U391" s="4">
        <f t="shared" si="52"/>
        <v>333.46039933444735</v>
      </c>
      <c r="V391" s="4">
        <f t="shared" si="53"/>
        <v>194.28791536281332</v>
      </c>
      <c r="W391" s="4">
        <f>Planet(Panchanga!$G391,4)</f>
        <v>85.484208712409853</v>
      </c>
      <c r="X391" s="4">
        <f>Planet(Panchanga!$G391,2)</f>
        <v>344.86074245342917</v>
      </c>
      <c r="Y391" s="4">
        <f>Planet(Panchanga!$G391,5)</f>
        <v>49.810892241263694</v>
      </c>
      <c r="Z391" s="4">
        <f>Planet(Panchanga!$G391,3)</f>
        <v>341.52565786133096</v>
      </c>
      <c r="AA391" s="4">
        <f>Planet(Panchanga!$G391,6)</f>
        <v>328.57718655445962</v>
      </c>
      <c r="AB391" s="4">
        <f>Planet(Panchanga!$G391,10)</f>
        <v>333.26189519176432</v>
      </c>
      <c r="AC391" s="4" t="str">
        <f>TEXT(Panchanga!$C391+($C392-Panchanga!$C391)/ABS(IF($R392&lt;1,$R392+30,$R392)-Panchanga!$R391)*(ROUNDUP(Panchanga!$R391,0)-Panchanga!$R391),"hh:mm AM/PM")</f>
        <v>10:09 PM</v>
      </c>
      <c r="AD391" s="4"/>
    </row>
    <row r="392" spans="1:30" x14ac:dyDescent="0.2">
      <c r="A392" s="3">
        <f t="shared" si="49"/>
        <v>45735</v>
      </c>
      <c r="B392" s="3">
        <f t="shared" si="50"/>
        <v>45735.229166666664</v>
      </c>
      <c r="C392" s="6">
        <f t="shared" si="51"/>
        <v>45735.260698557518</v>
      </c>
      <c r="D392" s="6">
        <f>sunset(Lat,Long,B392)+TimeZone/24-0.000277777777777778</f>
        <v>45734.763460274364</v>
      </c>
      <c r="E392" s="6">
        <f>PlanetRiseSet(Lat,Long,B392,1,1)+TimeZone/24+0.00103009259259259</f>
        <v>45734.899262112718</v>
      </c>
      <c r="F392" s="6">
        <f>PlanetRiseSet(Lat,Long,B392+1,1,2)+TimeZone/24+0.00103009259259259</f>
        <v>45736.413866010182</v>
      </c>
      <c r="G392" s="17">
        <f>Panchanga!$C392-TimeZone/24</f>
        <v>45735.031531890854</v>
      </c>
      <c r="H392" s="13" t="str">
        <f>INT(P[[#This Row],[Sun]]/30)&amp;"s"&amp;ROUNDUP(MOD(P[[#This Row],[Sun]],30),2)</f>
        <v>11s4.46</v>
      </c>
      <c r="I392" s="13" t="str">
        <f>INT(P[[#This Row],[Moon]]/30)&amp;"s"&amp;ROUNDUP(MOD(P[[#This Row],[Moon]],30),2)</f>
        <v>6s26.12</v>
      </c>
      <c r="J392" s="14">
        <f t="shared" si="48"/>
        <v>45735.031531890854</v>
      </c>
      <c r="K392" s="10" t="str">
        <f>naks(P[[#This Row],[Moon]])</f>
        <v>Visakha</v>
      </c>
      <c r="L392" s="15">
        <f>(C393-P[[#This Row],[SunRise]])/(MOD(360+V393-P[[#This Row],[Moon]],360))*(13.3333333333333-MOD(P[[#This Row],[Moon]],13.333333333333))+P[[#This Row],[SunRise]]</f>
        <v>45735.867163030591</v>
      </c>
      <c r="M392" s="4" t="str">
        <f>IF(Panchanga!$R392&gt;15,"K","S")&amp;ROUNDUP(MOD(Panchanga!$R392,15),0)&amp;" ("&amp;ROUND(Panchanga!$R392,2)&amp;")"</f>
        <v>K5 (19.31)</v>
      </c>
      <c r="N392" s="4">
        <f>IF(AND(Panchanga!$R392&lt;28.5,Panchanga!$R392&gt;0.49999),MOD((Panchanga!$R392-0.5)*2,7),MOD((Panchanga!$R392+30-28.5),30)*2+7)</f>
        <v>2.6099999999999994</v>
      </c>
      <c r="O392" s="4" t="str">
        <f>CHOOSE(ROUNDUP(Panchanga!$N392,0),"Bhava","Baalava","Kaulava","Taitula","Garija","Vanija","Vishti","Shakuni","Chatushapda","Naaga","Kimstugna")</f>
        <v>Kaulava</v>
      </c>
      <c r="P392" s="11" t="str">
        <f>CHOOSE(ROUNDUP(Panchanga!$S392,0),"viṣkambha","prīti","āyuṣmāna","saubhāgya","śobhana","atigaṇḍa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("&amp;Panchanga!$S392&amp;")"</f>
        <v>harṣaṇa (13.55)</v>
      </c>
      <c r="Q392" s="4">
        <f>IF(AND(Panchanga!$R392&lt;28.5,Panchanga!$R392&gt;0.49999),MOD((Panchanga!$R392-0.5)*2,7),MOD((Panchanga!$R392+30-28.5),30)*2+7)</f>
        <v>2.6099999999999994</v>
      </c>
      <c r="R392" s="4">
        <f>ROUNDUP(MOD(360+P[[#This Row],[Moon]]-P[[#This Row],[Sun]],360)/12,4)</f>
        <v>19.305</v>
      </c>
      <c r="S392" s="4">
        <f>ROUNDUP(MOD(P[[#This Row],[Sun]]+P[[#This Row],[Moon]],360)/13.333333333,2)</f>
        <v>13.549999999999999</v>
      </c>
      <c r="T392" s="4" t="str">
        <f>SIGN(W393-Panchanga!$W392)*INT(Panchanga!$W392/30+1)&amp;"Ma,"&amp;SIGN(X393-Panchanga!$X392)*INT(Panchanga!$X392/30+1)&amp;"Me,"&amp;SIGN(Y393-Panchanga!$Y392)*INT(Panchanga!$Y392/30+1)&amp;"J, "&amp;SIGN(Z393-Panchanga!$Z392)*INT(Panchanga!$Z392/30+1)&amp;"V,"&amp;SIGN(AA393-Panchanga!$AA392)*INT(Panchanga!$AA392/30+1)&amp;"S,"&amp;INT(Panchanga!$AB392/30+1)&amp;"R"</f>
        <v>3Ma,-12Me,2J, -12V,11S,12R</v>
      </c>
      <c r="U392" s="4">
        <f t="shared" si="52"/>
        <v>334.45431026029604</v>
      </c>
      <c r="V392" s="4">
        <f t="shared" si="53"/>
        <v>206.11394993789236</v>
      </c>
      <c r="W392" s="4">
        <f>Planet(Panchanga!$G392,4)</f>
        <v>85.71588124716753</v>
      </c>
      <c r="X392" s="4">
        <f>Planet(Panchanga!$G392,2)</f>
        <v>344.43213826271784</v>
      </c>
      <c r="Y392" s="4">
        <f>Planet(Panchanga!$G392,5)</f>
        <v>49.936400404908646</v>
      </c>
      <c r="Z392" s="4">
        <f>Planet(Panchanga!$G392,3)</f>
        <v>340.93422224087942</v>
      </c>
      <c r="AA392" s="4">
        <f>Planet(Panchanga!$G392,6)</f>
        <v>328.70023548337826</v>
      </c>
      <c r="AB392" s="4">
        <f>Planet(Panchanga!$G392,10)</f>
        <v>333.2089279098409</v>
      </c>
      <c r="AC392" s="4" t="str">
        <f>TEXT(Panchanga!$C392+($C393-Panchanga!$C392)/ABS(IF($R393&lt;1,$R393+30,$R393)-Panchanga!$R392)*(ROUNDUP(Panchanga!$R392,0)-Panchanga!$R392),"hh:mm AM/PM")</f>
        <v>12:36 AM</v>
      </c>
      <c r="AD392" s="4"/>
    </row>
    <row r="393" spans="1:30" x14ac:dyDescent="0.2">
      <c r="A393" s="3">
        <f t="shared" si="49"/>
        <v>45736</v>
      </c>
      <c r="B393" s="3">
        <f t="shared" si="50"/>
        <v>45736.229166666664</v>
      </c>
      <c r="C393" s="6">
        <f t="shared" si="51"/>
        <v>45736.260230717402</v>
      </c>
      <c r="D393" s="6">
        <f>sunset(Lat,Long,B393)+TimeZone/24-0.000277777777777778</f>
        <v>45735.763519629414</v>
      </c>
      <c r="E393" s="6">
        <f>PlanetRiseSet(Lat,Long,B393,1,1)+TimeZone/24+0.00103009259259259</f>
        <v>45735.934484678939</v>
      </c>
      <c r="F393" s="6">
        <f>PlanetRiseSet(Lat,Long,B393+1,1,2)+TimeZone/24+0.00103009259259259</f>
        <v>45737.447272760946</v>
      </c>
      <c r="G393" s="17">
        <f>Panchanga!$C393-TimeZone/24</f>
        <v>45736.031064050738</v>
      </c>
      <c r="H393" s="13" t="str">
        <f>INT(P[[#This Row],[Sun]]/30)&amp;"s"&amp;ROUNDUP(MOD(P[[#This Row],[Sun]],30),2)</f>
        <v>11s5.45</v>
      </c>
      <c r="I393" s="13" t="str">
        <f>INT(P[[#This Row],[Moon]]/30)&amp;"s"&amp;ROUNDUP(MOD(P[[#This Row],[Moon]],30),2)</f>
        <v>7s8.02</v>
      </c>
      <c r="J393" s="14">
        <f t="shared" si="48"/>
        <v>45736.031064050738</v>
      </c>
      <c r="K393" s="10" t="str">
        <f>naks(P[[#This Row],[Moon]])</f>
        <v>Anuradha</v>
      </c>
      <c r="L393" s="15">
        <f>(C394-P[[#This Row],[SunRise]])/(MOD(360+V394-P[[#This Row],[Moon]],360))*(13.3333333333333-MOD(P[[#This Row],[Moon]],13.333333333333))+P[[#This Row],[SunRise]]</f>
        <v>45736.978887293502</v>
      </c>
      <c r="M393" s="4" t="str">
        <f>IF(Panchanga!$R393&gt;15,"K","S")&amp;ROUNDUP(MOD(Panchanga!$R393,15),0)&amp;" ("&amp;ROUND(Panchanga!$R393,2)&amp;")"</f>
        <v>K6 (20.21)</v>
      </c>
      <c r="N393" s="4">
        <f>IF(AND(Panchanga!$R393&lt;28.5,Panchanga!$R393&gt;0.49999),MOD((Panchanga!$R393-0.5)*2,7),MOD((Panchanga!$R393+30-28.5),30)*2+7)</f>
        <v>4.4275999999999982</v>
      </c>
      <c r="O393" s="4" t="str">
        <f>CHOOSE(ROUNDUP(Panchanga!$N393,0),"Bhava","Baalava","Kaulava","Taitula","Garija","Vanija","Vishti","Shakuni","Chatushapda","Naaga","Kimstugna")</f>
        <v>Garija</v>
      </c>
      <c r="P393" s="11" t="str">
        <f>CHOOSE(ROUNDUP(Panchanga!$S393,0),"viṣkambha","prīti","āyuṣmāna","saubhāgya","śobhana","atigaṇḍa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("&amp;Panchanga!$S393&amp;")"</f>
        <v>vajra (14.51)</v>
      </c>
      <c r="Q393" s="4">
        <f>IF(AND(Panchanga!$R393&lt;28.5,Panchanga!$R393&gt;0.49999),MOD((Panchanga!$R393-0.5)*2,7),MOD((Panchanga!$R393+30-28.5),30)*2+7)</f>
        <v>4.4275999999999982</v>
      </c>
      <c r="R393" s="4">
        <f>ROUNDUP(MOD(360+P[[#This Row],[Moon]]-P[[#This Row],[Sun]],360)/12,4)</f>
        <v>20.213799999999999</v>
      </c>
      <c r="S393" s="4">
        <f>ROUNDUP(MOD(P[[#This Row],[Sun]]+P[[#This Row],[Moon]],360)/13.333333333,2)</f>
        <v>14.51</v>
      </c>
      <c r="T393" s="4" t="str">
        <f>SIGN(W394-Panchanga!$W393)*INT(Panchanga!$W393/30+1)&amp;"Ma,"&amp;SIGN(X394-Panchanga!$X393)*INT(Panchanga!$X393/30+1)&amp;"Me,"&amp;SIGN(Y394-Panchanga!$Y393)*INT(Panchanga!$Y393/30+1)&amp;"J, "&amp;SIGN(Z394-Panchanga!$Z393)*INT(Panchanga!$Z393/30+1)&amp;"V,"&amp;SIGN(AA394-Panchanga!$AA393)*INT(Panchanga!$AA393/30+1)&amp;"S,"&amp;INT(Panchanga!$AB393/30+1)&amp;"R"</f>
        <v>3Ma,-12Me,2J, -12V,11S,12R</v>
      </c>
      <c r="U393" s="4">
        <f t="shared" si="52"/>
        <v>335.44772310986559</v>
      </c>
      <c r="V393" s="4">
        <f t="shared" si="53"/>
        <v>218.01243072058935</v>
      </c>
      <c r="W393" s="4">
        <f>Planet(Panchanga!$G393,4)</f>
        <v>85.955548682096008</v>
      </c>
      <c r="X393" s="4">
        <f>Planet(Panchanga!$G393,2)</f>
        <v>343.89136678223429</v>
      </c>
      <c r="Y393" s="4">
        <f>Planet(Panchanga!$G393,5)</f>
        <v>50.064266333648945</v>
      </c>
      <c r="Z393" s="4">
        <f>Planet(Panchanga!$G393,3)</f>
        <v>340.32715488205503</v>
      </c>
      <c r="AA393" s="4">
        <f>Planet(Panchanga!$G393,6)</f>
        <v>328.823169659055</v>
      </c>
      <c r="AB393" s="4">
        <f>Planet(Panchanga!$G393,10)</f>
        <v>333.1559607151051</v>
      </c>
      <c r="AC393" s="4" t="str">
        <f>TEXT(Panchanga!$C393+($C394-Panchanga!$C393)/ABS(IF($R394&lt;1,$R394+30,$R394)-Panchanga!$R393)*(ROUNDUP(Panchanga!$R393,0)-Panchanga!$R393),"hh:mm AM/PM")</f>
        <v>02:44 AM</v>
      </c>
      <c r="AD393" s="4"/>
    </row>
    <row r="394" spans="1:30" x14ac:dyDescent="0.2">
      <c r="A394" s="3">
        <f t="shared" si="49"/>
        <v>45737</v>
      </c>
      <c r="B394" s="3">
        <f t="shared" si="50"/>
        <v>45737.229166666664</v>
      </c>
      <c r="C394" s="6">
        <f t="shared" si="51"/>
        <v>45737.259761526402</v>
      </c>
      <c r="D394" s="6">
        <f>sunset(Lat,Long,B394)+TimeZone/24-0.000277777777777778</f>
        <v>45736.763577546968</v>
      </c>
      <c r="E394" s="6">
        <f>PlanetRiseSet(Lat,Long,B394,1,1)+TimeZone/24+0.00103009259259259</f>
        <v>45736.971225013644</v>
      </c>
      <c r="F394" s="6">
        <f>PlanetRiseSet(Lat,Long,B394+1,1,2)+TimeZone/24+0.00103009259259259</f>
        <v>45738.483732390836</v>
      </c>
      <c r="G394" s="17">
        <f>Panchanga!$C394-TimeZone/24</f>
        <v>45737.030594859738</v>
      </c>
      <c r="H394" s="13" t="str">
        <f>INT(P[[#This Row],[Sun]]/30)&amp;"s"&amp;ROUNDUP(MOD(P[[#This Row],[Sun]],30),2)</f>
        <v>11s6.45</v>
      </c>
      <c r="I394" s="13" t="str">
        <f>INT(P[[#This Row],[Moon]]/30)&amp;"s"&amp;ROUNDUP(MOD(P[[#This Row],[Moon]],30),2)</f>
        <v>7s20.05</v>
      </c>
      <c r="J394" s="14">
        <f t="shared" ref="J394:J457" si="54">G394</f>
        <v>45737.030594859738</v>
      </c>
      <c r="K394" s="10" t="str">
        <f>naks(P[[#This Row],[Moon]])</f>
        <v>Jyestha</v>
      </c>
      <c r="L394" s="15">
        <f>(C395-P[[#This Row],[SunRise]])/(MOD(360+V395-P[[#This Row],[Moon]],360))*(13.3333333333333-MOD(P[[#This Row],[Moon]],13.333333333333))+P[[#This Row],[SunRise]]</f>
        <v>45738.072001696535</v>
      </c>
      <c r="M394" s="4" t="str">
        <f>IF(Panchanga!$R394&gt;15,"K","S")&amp;ROUNDUP(MOD(Panchanga!$R394,15),0)&amp;" ("&amp;ROUND(Panchanga!$R394,2)&amp;")"</f>
        <v>K7 (21.13)</v>
      </c>
      <c r="N394" s="4">
        <f>IF(AND(Panchanga!$R394&lt;28.5,Panchanga!$R394&gt;0.49999),MOD((Panchanga!$R394-0.5)*2,7),MOD((Panchanga!$R394+30-28.5),30)*2+7)</f>
        <v>6.2682000000000002</v>
      </c>
      <c r="O394" s="4" t="str">
        <f>CHOOSE(ROUNDUP(Panchanga!$N394,0),"Bhava","Baalava","Kaulava","Taitula","Garija","Vanija","Vishti","Shakuni","Chatushapda","Naaga","Kimstugna")</f>
        <v>Vishti</v>
      </c>
      <c r="P394" s="11" t="str">
        <f>CHOOSE(ROUNDUP(Panchanga!$S394,0),"viṣkambha","prīti","āyuṣmāna","saubhāgya","śobhana","atigaṇḍa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("&amp;Panchanga!$S394&amp;")"</f>
        <v>siddhi (15.49)</v>
      </c>
      <c r="Q394" s="4">
        <f>IF(AND(Panchanga!$R394&lt;28.5,Panchanga!$R394&gt;0.49999),MOD((Panchanga!$R394-0.5)*2,7),MOD((Panchanga!$R394+30-28.5),30)*2+7)</f>
        <v>6.2682000000000002</v>
      </c>
      <c r="R394" s="4">
        <f>ROUNDUP(MOD(360+P[[#This Row],[Moon]]-P[[#This Row],[Sun]],360)/12,4)</f>
        <v>21.1341</v>
      </c>
      <c r="S394" s="4">
        <f>ROUNDUP(MOD(P[[#This Row],[Sun]]+P[[#This Row],[Moon]],360)/13.333333333,2)</f>
        <v>15.49</v>
      </c>
      <c r="T394" s="4" t="str">
        <f>SIGN(W395-Panchanga!$W394)*INT(Panchanga!$W394/30+1)&amp;"Ma,"&amp;SIGN(X395-Panchanga!$X394)*INT(Panchanga!$X394/30+1)&amp;"Me,"&amp;SIGN(Y395-Panchanga!$Y394)*INT(Panchanga!$Y394/30+1)&amp;"J, "&amp;SIGN(Z395-Panchanga!$Z394)*INT(Panchanga!$Z394/30+1)&amp;"V,"&amp;SIGN(AA395-Panchanga!$AA394)*INT(Panchanga!$AA394/30+1)&amp;"S,"&amp;INT(Panchanga!$AB394/30+1)&amp;"R"</f>
        <v>3Ma,-12Me,2J, -12V,11S,12R</v>
      </c>
      <c r="U394" s="4">
        <f t="shared" si="52"/>
        <v>336.44064449765858</v>
      </c>
      <c r="V394" s="4">
        <f t="shared" si="53"/>
        <v>230.04902197165768</v>
      </c>
      <c r="W394" s="4">
        <f>Planet(Panchanga!$G394,4)</f>
        <v>86.20304425472645</v>
      </c>
      <c r="X394" s="4">
        <f>Planet(Panchanga!$G394,2)</f>
        <v>343.25160512403619</v>
      </c>
      <c r="Y394" s="4">
        <f>Planet(Panchanga!$G394,5)</f>
        <v>50.194460928264242</v>
      </c>
      <c r="Z394" s="4">
        <f>Planet(Panchanga!$G394,3)</f>
        <v>339.7084676171138</v>
      </c>
      <c r="AA394" s="4">
        <f>Planet(Panchanga!$G394,6)</f>
        <v>328.94597154636472</v>
      </c>
      <c r="AB394" s="4">
        <f>Planet(Panchanga!$G394,10)</f>
        <v>333.10299359194914</v>
      </c>
      <c r="AC394" s="4" t="str">
        <f>TEXT(Panchanga!$C394+($C395-Panchanga!$C394)/ABS(IF($R395&lt;1,$R395+30,$R395)-Panchanga!$R394)*(ROUNDUP(Panchanga!$R394,0)-Panchanga!$R394),"hh:mm AM/PM")</f>
        <v>04:23 AM</v>
      </c>
      <c r="AD394" s="4"/>
    </row>
    <row r="395" spans="1:30" x14ac:dyDescent="0.2">
      <c r="A395" s="3">
        <f t="shared" ref="A395:A458" si="55">A394+1</f>
        <v>45738</v>
      </c>
      <c r="B395" s="3">
        <f t="shared" si="50"/>
        <v>45738.229166666664</v>
      </c>
      <c r="C395" s="6">
        <f t="shared" si="51"/>
        <v>45738.259291276023</v>
      </c>
      <c r="D395" s="6">
        <f>sunset(Lat,Long,B395)+TimeZone/24-0.000277777777777778</f>
        <v>45737.763634240764</v>
      </c>
      <c r="E395" s="6">
        <f>PlanetRiseSet(Lat,Long,B395,1,1)+TimeZone/24+0.00103009259259259</f>
        <v>45738.008990978975</v>
      </c>
      <c r="F395" s="6">
        <f>PlanetRiseSet(Lat,Long,B395+1,1,2)+TimeZone/24+0.00103009259259259</f>
        <v>45738.48373242157</v>
      </c>
      <c r="G395" s="17">
        <f>Panchanga!$C395-TimeZone/24</f>
        <v>45738.030124609359</v>
      </c>
      <c r="H395" s="13" t="str">
        <f>INT(P[[#This Row],[Sun]]/30)&amp;"s"&amp;ROUNDUP(MOD(P[[#This Row],[Sun]],30),2)</f>
        <v>11s7.44</v>
      </c>
      <c r="I395" s="13" t="str">
        <f>INT(P[[#This Row],[Moon]]/30)&amp;"s"&amp;ROUNDUP(MOD(P[[#This Row],[Moon]],30),2)</f>
        <v>8s2.3</v>
      </c>
      <c r="J395" s="14">
        <f t="shared" si="54"/>
        <v>45738.030124609359</v>
      </c>
      <c r="K395" s="10" t="str">
        <f>naks(P[[#This Row],[Moon]])</f>
        <v>Moola</v>
      </c>
      <c r="L395" s="15">
        <f>(C396-P[[#This Row],[SunRise]])/(MOD(360+V396-P[[#This Row],[Moon]],360))*(13.3333333333333-MOD(P[[#This Row],[Moon]],13.333333333333))+P[[#This Row],[SunRise]]</f>
        <v>45739.140101619807</v>
      </c>
      <c r="M395" s="4" t="str">
        <f>IF(Panchanga!$R395&gt;15,"K","S")&amp;ROUNDUP(MOD(Panchanga!$R395,15),0)&amp;" ("&amp;ROUND(Panchanga!$R395,2)&amp;")"</f>
        <v>K8 (22.07)</v>
      </c>
      <c r="N395" s="4">
        <f>IF(AND(Panchanga!$R395&lt;28.5,Panchanga!$R395&gt;0.49999),MOD((Panchanga!$R395-0.5)*2,7),MOD((Panchanga!$R395+30-28.5),30)*2+7)</f>
        <v>1.1435999999999993</v>
      </c>
      <c r="O395" s="4" t="str">
        <f>CHOOSE(ROUNDUP(Panchanga!$N395,0),"Bhava","Baalava","Kaulava","Taitula","Garija","Vanija","Vishti","Shakuni","Chatushapda","Naaga","Kimstugna")</f>
        <v>Baalava</v>
      </c>
      <c r="P395" s="11" t="str">
        <f>CHOOSE(ROUNDUP(Panchanga!$S395,0),"viṣkambha","prīti","āyuṣmāna","saubhāgya","śobhana","atigaṇḍa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("&amp;Panchanga!$S395&amp;")"</f>
        <v>vyatipāta (16.48)</v>
      </c>
      <c r="Q395" s="4">
        <f>IF(AND(Panchanga!$R395&lt;28.5,Panchanga!$R395&gt;0.49999),MOD((Panchanga!$R395-0.5)*2,7),MOD((Panchanga!$R395+30-28.5),30)*2+7)</f>
        <v>1.1435999999999993</v>
      </c>
      <c r="R395" s="4">
        <f>ROUNDUP(MOD(360+P[[#This Row],[Moon]]-P[[#This Row],[Sun]],360)/12,4)</f>
        <v>22.0718</v>
      </c>
      <c r="S395" s="4">
        <f>ROUNDUP(MOD(P[[#This Row],[Sun]]+P[[#This Row],[Moon]],360)/13.333333333,2)</f>
        <v>16.48</v>
      </c>
      <c r="T395" s="4" t="str">
        <f>SIGN(W396-Panchanga!$W395)*INT(Panchanga!$W395/30+1)&amp;"Ma,"&amp;SIGN(X396-Panchanga!$X395)*INT(Panchanga!$X395/30+1)&amp;"Me,"&amp;SIGN(Y396-Panchanga!$Y395)*INT(Panchanga!$Y395/30+1)&amp;"J, "&amp;SIGN(Z396-Panchanga!$Z395)*INT(Panchanga!$Z395/30+1)&amp;"V,"&amp;SIGN(AA396-Panchanga!$AA395)*INT(Panchanga!$AA395/30+1)&amp;"S,"&amp;INT(Panchanga!$AB395/30+1)&amp;"R"</f>
        <v>3Ma,-12Me,2J, -12V,11S,12R</v>
      </c>
      <c r="U395" s="4">
        <f t="shared" si="52"/>
        <v>337.43307937080846</v>
      </c>
      <c r="V395" s="4">
        <f t="shared" si="53"/>
        <v>242.29453622089494</v>
      </c>
      <c r="W395" s="4">
        <f>Planet(Panchanga!$G395,4)</f>
        <v>86.45820642592237</v>
      </c>
      <c r="X395" s="4">
        <f>Planet(Panchanga!$G395,2)</f>
        <v>342.52799225497199</v>
      </c>
      <c r="Y395" s="4">
        <f>Planet(Panchanga!$G395,5)</f>
        <v>50.326955319975823</v>
      </c>
      <c r="Z395" s="4">
        <f>Planet(Panchanga!$G395,3)</f>
        <v>339.08230784353668</v>
      </c>
      <c r="AA395" s="4">
        <f>Planet(Panchanga!$G395,6)</f>
        <v>329.06862336991895</v>
      </c>
      <c r="AB395" s="4">
        <f>Planet(Panchanga!$G395,10)</f>
        <v>333.0500265249309</v>
      </c>
      <c r="AC395" s="4" t="str">
        <f>TEXT(Panchanga!$C395+($C396-Panchanga!$C395)/ABS(IF($R396&lt;1,$R396+30,$R396)-Panchanga!$R395)*(ROUNDUP(Panchanga!$R395,0)-Panchanga!$R395),"hh:mm AM/PM")</f>
        <v>05:23 AM</v>
      </c>
      <c r="AD395" s="4"/>
    </row>
    <row r="396" spans="1:30" x14ac:dyDescent="0.2">
      <c r="A396" s="3">
        <f t="shared" si="55"/>
        <v>45739</v>
      </c>
      <c r="B396" s="3">
        <f t="shared" si="50"/>
        <v>45739.229166666664</v>
      </c>
      <c r="C396" s="6">
        <f t="shared" si="51"/>
        <v>45739.258820251714</v>
      </c>
      <c r="D396" s="6">
        <f>sunset(Lat,Long,B396)+TimeZone/24-0.000277777777777778</f>
        <v>45738.763689919884</v>
      </c>
      <c r="E396" s="6">
        <f>PlanetRiseSet(Lat,Long,B396,1,1)+TimeZone/24+0.00103009259259259</f>
        <v>45739.046887728073</v>
      </c>
      <c r="F396" s="6">
        <f>PlanetRiseSet(Lat,Long,B396+1,1,2)+TimeZone/24+0.00103009259259259</f>
        <v>45739.522670922022</v>
      </c>
      <c r="G396" s="17">
        <f>Panchanga!$C396-TimeZone/24</f>
        <v>45739.02965358505</v>
      </c>
      <c r="H396" s="13" t="str">
        <f>INT(P[[#This Row],[Sun]]/30)&amp;"s"&amp;ROUNDUP(MOD(P[[#This Row],[Sun]],30),2)</f>
        <v>11s8.43</v>
      </c>
      <c r="I396" s="13" t="str">
        <f>INT(P[[#This Row],[Moon]]/30)&amp;"s"&amp;ROUNDUP(MOD(P[[#This Row],[Moon]],30),2)</f>
        <v>8s14.83</v>
      </c>
      <c r="J396" s="14">
        <f t="shared" si="54"/>
        <v>45739.02965358505</v>
      </c>
      <c r="K396" s="10" t="str">
        <f>naks(P[[#This Row],[Moon]])</f>
        <v>Purva Asadha</v>
      </c>
      <c r="L396" s="15">
        <f>(C397-P[[#This Row],[SunRise]])/(MOD(360+V397-P[[#This Row],[Moon]],360))*(13.3333333333333-MOD(P[[#This Row],[Moon]],13.333333333333))+P[[#This Row],[SunRise]]</f>
        <v>45740.178374540483</v>
      </c>
      <c r="M396" s="4" t="str">
        <f>IF(Panchanga!$R396&gt;15,"K","S")&amp;ROUNDUP(MOD(Panchanga!$R396,15),0)&amp;" ("&amp;ROUND(Panchanga!$R396,2)&amp;")"</f>
        <v>K9 (23.03)</v>
      </c>
      <c r="N396" s="4">
        <f>IF(AND(Panchanga!$R396&lt;28.5,Panchanga!$R396&gt;0.49999),MOD((Panchanga!$R396-0.5)*2,7),MOD((Panchanga!$R396+30-28.5),30)*2+7)</f>
        <v>3.066200000000002</v>
      </c>
      <c r="O396" s="4" t="str">
        <f>CHOOSE(ROUNDUP(Panchanga!$N396,0),"Bhava","Baalava","Kaulava","Taitula","Garija","Vanija","Vishti","Shakuni","Chatushapda","Naaga","Kimstugna")</f>
        <v>Taitula</v>
      </c>
      <c r="P396" s="11" t="str">
        <f>CHOOSE(ROUNDUP(Panchanga!$S396,0),"viṣkambha","prīti","āyuṣmāna","saubhāgya","śobhana","atigaṇḍa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("&amp;Panchanga!$S396&amp;")"</f>
        <v>varīyas (17.5)</v>
      </c>
      <c r="Q396" s="4">
        <f>IF(AND(Panchanga!$R396&lt;28.5,Panchanga!$R396&gt;0.49999),MOD((Panchanga!$R396-0.5)*2,7),MOD((Panchanga!$R396+30-28.5),30)*2+7)</f>
        <v>3.066200000000002</v>
      </c>
      <c r="R396" s="4">
        <f>ROUNDUP(MOD(360+P[[#This Row],[Moon]]-P[[#This Row],[Sun]],360)/12,4)</f>
        <v>23.033100000000001</v>
      </c>
      <c r="S396" s="4">
        <f>ROUNDUP(MOD(P[[#This Row],[Sun]]+P[[#This Row],[Moon]],360)/13.333333333,2)</f>
        <v>17.5</v>
      </c>
      <c r="T396" s="4" t="str">
        <f>SIGN(W397-Panchanga!$W396)*INT(Panchanga!$W396/30+1)&amp;"Ma,"&amp;SIGN(X397-Panchanga!$X396)*INT(Panchanga!$X396/30+1)&amp;"Me,"&amp;SIGN(Y397-Panchanga!$Y396)*INT(Panchanga!$Y396/30+1)&amp;"J, "&amp;SIGN(Z397-Panchanga!$Z396)*INT(Panchanga!$Z396/30+1)&amp;"V,"&amp;SIGN(AA397-Panchanga!$AA396)*INT(Panchanga!$AA396/30+1)&amp;"S,"&amp;INT(Panchanga!$AB396/30+1)&amp;"R"</f>
        <v>3Ma,-12Me,2J, -12V,11S,12R</v>
      </c>
      <c r="U396" s="4">
        <f t="shared" si="52"/>
        <v>338.42503071973294</v>
      </c>
      <c r="V396" s="4">
        <f t="shared" si="53"/>
        <v>254.82118017841464</v>
      </c>
      <c r="W396" s="4">
        <f>Planet(Panchanga!$G396,4)</f>
        <v>86.720878773505461</v>
      </c>
      <c r="X396" s="4">
        <f>Planet(Panchanga!$G396,2)</f>
        <v>341.7372901315137</v>
      </c>
      <c r="Y396" s="4">
        <f>Planet(Panchanga!$G396,5)</f>
        <v>50.461720814797864</v>
      </c>
      <c r="Z396" s="4">
        <f>Planet(Panchanga!$G396,3)</f>
        <v>338.45290376514168</v>
      </c>
      <c r="AA396" s="4">
        <f>Planet(Panchanga!$G396,6)</f>
        <v>329.19110707584753</v>
      </c>
      <c r="AB396" s="4">
        <f>Planet(Panchanga!$G396,10)</f>
        <v>332.99705949893973</v>
      </c>
      <c r="AC396" s="4" t="str">
        <f>TEXT(Panchanga!$C396+($C397-Panchanga!$C396)/ABS(IF($R397&lt;1,$R397+30,$R397)-Panchanga!$R396)*(ROUNDUP(Panchanga!$R396,0)-Panchanga!$R396),"hh:mm AM/PM")</f>
        <v>05:38 AM</v>
      </c>
      <c r="AD396" s="4"/>
    </row>
    <row r="397" spans="1:30" x14ac:dyDescent="0.2">
      <c r="A397" s="3">
        <f t="shared" si="55"/>
        <v>45740</v>
      </c>
      <c r="B397" s="3">
        <f t="shared" si="50"/>
        <v>45740.229166666664</v>
      </c>
      <c r="C397" s="6">
        <f t="shared" si="51"/>
        <v>45740.258348735668</v>
      </c>
      <c r="D397" s="6">
        <f>sunset(Lat,Long,B397)+TimeZone/24-0.000277777777777778</f>
        <v>45739.763744786891</v>
      </c>
      <c r="E397" s="6">
        <f>PlanetRiseSet(Lat,Long,B397,1,1)+TimeZone/24+0.00103009259259259</f>
        <v>45740.083871577088</v>
      </c>
      <c r="F397" s="6">
        <f>PlanetRiseSet(Lat,Long,B397+1,1,2)+TimeZone/24+0.00103009259259259</f>
        <v>45740.563096654754</v>
      </c>
      <c r="G397" s="17">
        <f>Panchanga!$C397-TimeZone/24</f>
        <v>45740.029182069004</v>
      </c>
      <c r="H397" s="13" t="str">
        <f>INT(P[[#This Row],[Sun]]/30)&amp;"s"&amp;ROUNDUP(MOD(P[[#This Row],[Sun]],30),2)</f>
        <v>11s9.42</v>
      </c>
      <c r="I397" s="13" t="str">
        <f>INT(P[[#This Row],[Moon]]/30)&amp;"s"&amp;ROUNDUP(MOD(P[[#This Row],[Moon]],30),2)</f>
        <v>8s27.7</v>
      </c>
      <c r="J397" s="14">
        <f t="shared" si="54"/>
        <v>45740.029182069004</v>
      </c>
      <c r="K397" s="10" t="str">
        <f>naks(P[[#This Row],[Moon]])</f>
        <v>Uttara Asadha</v>
      </c>
      <c r="L397" s="15">
        <f>(C398-P[[#This Row],[SunRise]])/(MOD(360+V398-P[[#This Row],[Moon]],360))*(13.3333333333333-MOD(P[[#This Row],[Moon]],13.333333333333))+P[[#This Row],[SunRise]]</f>
        <v>45741.184300867593</v>
      </c>
      <c r="M397" s="4" t="str">
        <f>IF(Panchanga!$R397&gt;15,"K","S")&amp;ROUNDUP(MOD(Panchanga!$R397,15),0)&amp;" ("&amp;ROUND(Panchanga!$R397,2)&amp;")"</f>
        <v>K10 (24.02)</v>
      </c>
      <c r="N397" s="4">
        <f>IF(AND(Panchanga!$R397&lt;28.5,Panchanga!$R397&gt;0.49999),MOD((Panchanga!$R397-0.5)*2,7),MOD((Panchanga!$R397+30-28.5),30)*2+7)</f>
        <v>5.0467999999999975</v>
      </c>
      <c r="O397" s="4" t="str">
        <f>CHOOSE(ROUNDUP(Panchanga!$N397,0),"Bhava","Baalava","Kaulava","Taitula","Garija","Vanija","Vishti","Shakuni","Chatushapda","Naaga","Kimstugna")</f>
        <v>Vanija</v>
      </c>
      <c r="P397" s="11" t="str">
        <f>CHOOSE(ROUNDUP(Panchanga!$S397,0),"viṣkambha","prīti","āyuṣmāna","saubhāgya","śobhana","atigaṇḍa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("&amp;Panchanga!$S397&amp;")"</f>
        <v>parigha (18.54)</v>
      </c>
      <c r="Q397" s="4">
        <f>IF(AND(Panchanga!$R397&lt;28.5,Panchanga!$R397&gt;0.49999),MOD((Panchanga!$R397-0.5)*2,7),MOD((Panchanga!$R397+30-28.5),30)*2+7)</f>
        <v>5.0467999999999975</v>
      </c>
      <c r="R397" s="4">
        <f>ROUNDUP(MOD(360+P[[#This Row],[Moon]]-P[[#This Row],[Sun]],360)/12,4)</f>
        <v>24.023399999999999</v>
      </c>
      <c r="S397" s="4">
        <f>ROUNDUP(MOD(P[[#This Row],[Sun]]+P[[#This Row],[Moon]],360)/13.333333333,2)</f>
        <v>18.540000000000003</v>
      </c>
      <c r="T397" s="4" t="str">
        <f>SIGN(W398-Panchanga!$W397)*INT(Panchanga!$W397/30+1)&amp;"Ma,"&amp;SIGN(X398-Panchanga!$X397)*INT(Panchanga!$X397/30+1)&amp;"Me,"&amp;SIGN(Y398-Panchanga!$Y397)*INT(Panchanga!$Y397/30+1)&amp;"J, "&amp;SIGN(Z398-Panchanga!$Z397)*INT(Panchanga!$Z397/30+1)&amp;"V,"&amp;SIGN(AA398-Panchanga!$AA397)*INT(Panchanga!$AA397/30+1)&amp;"S,"&amp;INT(Panchanga!$AB397/30+1)&amp;"R"</f>
        <v>3Ma,-12Me,2J, -12V,11S,12R</v>
      </c>
      <c r="U397" s="4">
        <f t="shared" si="52"/>
        <v>339.41649924953072</v>
      </c>
      <c r="V397" s="4">
        <f t="shared" si="53"/>
        <v>267.69687582343107</v>
      </c>
      <c r="W397" s="4">
        <f>Planet(Panchanga!$G397,4)</f>
        <v>86.990909849126126</v>
      </c>
      <c r="X397" s="4">
        <f>Planet(Panchanga!$G397,2)</f>
        <v>340.8974372438617</v>
      </c>
      <c r="Y397" s="4">
        <f>Planet(Panchanga!$G397,5)</f>
        <v>50.59872882892666</v>
      </c>
      <c r="Z397" s="4">
        <f>Planet(Panchanga!$G397,3)</f>
        <v>337.82450676999474</v>
      </c>
      <c r="AA397" s="4">
        <f>Planet(Panchanga!$G397,6)</f>
        <v>329.31340429189993</v>
      </c>
      <c r="AB397" s="4">
        <f>Planet(Panchanga!$G397,10)</f>
        <v>332.94409249903038</v>
      </c>
      <c r="AC397" s="4" t="str">
        <f>TEXT(Panchanga!$C397+($C398-Panchanga!$C397)/ABS(IF($R398&lt;1,$R398+30,$R398)-Panchanga!$R397)*(ROUNDUP(Panchanga!$R397,0)-Panchanga!$R397),"hh:mm AM/PM")</f>
        <v>05:04 AM</v>
      </c>
      <c r="AD397" s="4"/>
    </row>
    <row r="398" spans="1:30" x14ac:dyDescent="0.2">
      <c r="A398" s="3">
        <f t="shared" si="55"/>
        <v>45741</v>
      </c>
      <c r="B398" s="3">
        <f t="shared" si="50"/>
        <v>45741.229166666664</v>
      </c>
      <c r="C398" s="6">
        <f t="shared" si="51"/>
        <v>45741.257877003554</v>
      </c>
      <c r="D398" s="6">
        <f>sunset(Lat,Long,B398)+TimeZone/24-0.000277777777777778</f>
        <v>45740.763799034103</v>
      </c>
      <c r="E398" s="6">
        <f>PlanetRiseSet(Lat,Long,B398,1,1)+TimeZone/24+0.00103009259259259</f>
        <v>45741.119127342165</v>
      </c>
      <c r="F398" s="6">
        <f>PlanetRiseSet(Lat,Long,B398+1,1,2)+TimeZone/24+0.00103009259259259</f>
        <v>45741.603958106753</v>
      </c>
      <c r="G398" s="17">
        <f>Panchanga!$C398-TimeZone/24</f>
        <v>45741.02871033689</v>
      </c>
      <c r="H398" s="13" t="str">
        <f>INT(P[[#This Row],[Sun]]/30)&amp;"s"&amp;ROUNDUP(MOD(P[[#This Row],[Sun]],30),2)</f>
        <v>11s10.41</v>
      </c>
      <c r="I398" s="13" t="str">
        <f>INT(P[[#This Row],[Moon]]/30)&amp;"s"&amp;ROUNDUP(MOD(P[[#This Row],[Moon]],30),2)</f>
        <v>9s10.98</v>
      </c>
      <c r="J398" s="14">
        <f t="shared" si="54"/>
        <v>45741.02871033689</v>
      </c>
      <c r="K398" s="10" t="str">
        <f>naks(P[[#This Row],[Moon]])</f>
        <v>Sravana</v>
      </c>
      <c r="L398" s="15">
        <f>(C399-P[[#This Row],[SunRise]])/(MOD(360+V399-P[[#This Row],[Moon]],360))*(13.3333333333333-MOD(P[[#This Row],[Moon]],13.333333333333))+P[[#This Row],[SunRise]]</f>
        <v>45742.157990922729</v>
      </c>
      <c r="M398" s="4" t="str">
        <f>IF(Panchanga!$R398&gt;15,"K","S")&amp;ROUNDUP(MOD(Panchanga!$R398,15),0)&amp;" ("&amp;ROUND(Panchanga!$R398,2)&amp;")"</f>
        <v>K11 (25.05)</v>
      </c>
      <c r="N398" s="4">
        <f>IF(AND(Panchanga!$R398&lt;28.5,Panchanga!$R398&gt;0.49999),MOD((Panchanga!$R398-0.5)*2,7),MOD((Panchanga!$R398+30-28.5),30)*2+7)</f>
        <v>9.5199999999998397E-2</v>
      </c>
      <c r="O398" s="4" t="str">
        <f>CHOOSE(ROUNDUP(Panchanga!$N398,0),"Bhava","Baalava","Kaulava","Taitula","Garija","Vanija","Vishti","Shakuni","Chatushapda","Naaga","Kimstugna")</f>
        <v>Bhava</v>
      </c>
      <c r="P398" s="11" t="str">
        <f>CHOOSE(ROUNDUP(Panchanga!$S398,0),"viṣkambha","prīti","āyuṣmāna","saubhāgya","śobhana","atigaṇḍa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("&amp;Panchanga!$S398&amp;")"</f>
        <v>śiva (19.61)</v>
      </c>
      <c r="Q398" s="4">
        <f>IF(AND(Panchanga!$R398&lt;28.5,Panchanga!$R398&gt;0.49999),MOD((Panchanga!$R398-0.5)*2,7),MOD((Panchanga!$R398+30-28.5),30)*2+7)</f>
        <v>9.5199999999998397E-2</v>
      </c>
      <c r="R398" s="4">
        <f>ROUNDUP(MOD(360+P[[#This Row],[Moon]]-P[[#This Row],[Sun]],360)/12,4)</f>
        <v>25.047599999999999</v>
      </c>
      <c r="S398" s="4">
        <f>ROUNDUP(MOD(P[[#This Row],[Sun]]+P[[#This Row],[Moon]],360)/13.333333333,2)</f>
        <v>19.610000000000003</v>
      </c>
      <c r="T398" s="4" t="str">
        <f>SIGN(W399-Panchanga!$W398)*INT(Panchanga!$W398/30+1)&amp;"Ma,"&amp;SIGN(X399-Panchanga!$X398)*INT(Panchanga!$X398/30+1)&amp;"Me,"&amp;SIGN(Y399-Panchanga!$Y398)*INT(Panchanga!$Y398/30+1)&amp;"J, "&amp;SIGN(Z399-Panchanga!$Z398)*INT(Panchanga!$Z398/30+1)&amp;"V,"&amp;SIGN(AA399-Panchanga!$AA398)*INT(Panchanga!$AA398/30+1)&amp;"S,"&amp;INT(Panchanga!$AB398/30+1)&amp;"R"</f>
        <v>3Ma,-12Me,2J, -12V,11S,12R</v>
      </c>
      <c r="U398" s="4">
        <f t="shared" si="52"/>
        <v>340.40748291289981</v>
      </c>
      <c r="V398" s="4">
        <f t="shared" si="53"/>
        <v>280.97760597545539</v>
      </c>
      <c r="W398" s="4">
        <f>Planet(Panchanga!$G398,4)</f>
        <v>87.268152962798808</v>
      </c>
      <c r="X398" s="4">
        <f>Planet(Panchanga!$G398,2)</f>
        <v>340.02701843190579</v>
      </c>
      <c r="Y398" s="4">
        <f>Planet(Panchanga!$G398,5)</f>
        <v>50.737950794547039</v>
      </c>
      <c r="Z398" s="4">
        <f>Planet(Panchanga!$G398,3)</f>
        <v>337.20133261587586</v>
      </c>
      <c r="AA398" s="4">
        <f>Planet(Panchanga!$G398,6)</f>
        <v>329.43549628947846</v>
      </c>
      <c r="AB398" s="4">
        <f>Planet(Panchanga!$G398,10)</f>
        <v>332.89112551053967</v>
      </c>
      <c r="AC398" s="4" t="str">
        <f>TEXT(Panchanga!$C398+($C399-Panchanga!$C398)/ABS(IF($R399&lt;1,$R399+30,$R399)-Panchanga!$R398)*(ROUNDUP(Panchanga!$R398,0)-Panchanga!$R398),"hh:mm AM/PM")</f>
        <v>03:43 AM</v>
      </c>
      <c r="AD398" s="4"/>
    </row>
    <row r="399" spans="1:30" x14ac:dyDescent="0.2">
      <c r="A399" s="3">
        <f t="shared" si="55"/>
        <v>45742</v>
      </c>
      <c r="B399" s="3">
        <f t="shared" si="50"/>
        <v>45742.229166666664</v>
      </c>
      <c r="C399" s="6">
        <f t="shared" si="51"/>
        <v>45742.257405322198</v>
      </c>
      <c r="D399" s="6">
        <f>sunset(Lat,Long,B399)+TimeZone/24-0.000277777777777778</f>
        <v>45741.763852845921</v>
      </c>
      <c r="E399" s="6">
        <f>PlanetRiseSet(Lat,Long,B399,1,1)+TimeZone/24+0.00103009259259259</f>
        <v>45742.152340061184</v>
      </c>
      <c r="F399" s="6">
        <f>PlanetRiseSet(Lat,Long,B399+1,1,2)+TimeZone/24+0.00103009259259259</f>
        <v>45742.644538538683</v>
      </c>
      <c r="G399" s="17">
        <f>Panchanga!$C399-TimeZone/24</f>
        <v>45742.028238655534</v>
      </c>
      <c r="H399" s="13" t="str">
        <f>INT(P[[#This Row],[Sun]]/30)&amp;"s"&amp;ROUNDUP(MOD(P[[#This Row],[Sun]],30),2)</f>
        <v>11s11.4</v>
      </c>
      <c r="I399" s="13" t="str">
        <f>INT(P[[#This Row],[Moon]]/30)&amp;"s"&amp;ROUNDUP(MOD(P[[#This Row],[Moon]],30),2)</f>
        <v>9s24.7</v>
      </c>
      <c r="J399" s="14">
        <f t="shared" si="54"/>
        <v>45742.028238655534</v>
      </c>
      <c r="K399" s="10" t="str">
        <f>naks(P[[#This Row],[Moon]])</f>
        <v>Dhanistha</v>
      </c>
      <c r="L399" s="15">
        <f>(C400-P[[#This Row],[SunRise]])/(MOD(360+V400-P[[#This Row],[Moon]],360))*(13.3333333333333-MOD(P[[#This Row],[Moon]],13.333333333333))+P[[#This Row],[SunRise]]</f>
        <v>45743.102080788631</v>
      </c>
      <c r="M399" s="4" t="str">
        <f>IF(Panchanga!$R399&gt;15,"K","S")&amp;ROUNDUP(MOD(Panchanga!$R399,15),0)&amp;" ("&amp;ROUND(Panchanga!$R399,2)&amp;")"</f>
        <v>K12 (26.11)</v>
      </c>
      <c r="N399" s="4">
        <f>IF(AND(Panchanga!$R399&lt;28.5,Panchanga!$R399&gt;0.49999),MOD((Panchanga!$R399-0.5)*2,7),MOD((Panchanga!$R399+30-28.5),30)*2+7)</f>
        <v>2.2167999999999992</v>
      </c>
      <c r="O399" s="4" t="str">
        <f>CHOOSE(ROUNDUP(Panchanga!$N399,0),"Bhava","Baalava","Kaulava","Taitula","Garija","Vanija","Vishti","Shakuni","Chatushapda","Naaga","Kimstugna")</f>
        <v>Kaulava</v>
      </c>
      <c r="P399" s="11" t="str">
        <f>CHOOSE(ROUNDUP(Panchanga!$S399,0),"viṣkambha","prīti","āyuṣmāna","saubhāgya","śobhana","atigaṇḍa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("&amp;Panchanga!$S399&amp;")"</f>
        <v>siddha (20.71)</v>
      </c>
      <c r="Q399" s="4">
        <f>IF(AND(Panchanga!$R399&lt;28.5,Panchanga!$R399&gt;0.49999),MOD((Panchanga!$R399-0.5)*2,7),MOD((Panchanga!$R399+30-28.5),30)*2+7)</f>
        <v>2.2167999999999992</v>
      </c>
      <c r="R399" s="4">
        <f>ROUNDUP(MOD(360+P[[#This Row],[Moon]]-P[[#This Row],[Sun]],360)/12,4)</f>
        <v>26.1084</v>
      </c>
      <c r="S399" s="4">
        <f>ROUNDUP(MOD(P[[#This Row],[Sun]]+P[[#This Row],[Moon]],360)/13.333333333,2)</f>
        <v>20.71</v>
      </c>
      <c r="T399" s="4" t="str">
        <f>SIGN(W400-Panchanga!$W399)*INT(Panchanga!$W399/30+1)&amp;"Ma,"&amp;SIGN(X400-Panchanga!$X399)*INT(Panchanga!$X399/30+1)&amp;"Me,"&amp;SIGN(Y400-Panchanga!$Y399)*INT(Panchanga!$Y399/30+1)&amp;"J, "&amp;SIGN(Z400-Panchanga!$Z399)*INT(Panchanga!$Z399/30+1)&amp;"V,"&amp;SIGN(AA400-Panchanga!$AA399)*INT(Panchanga!$AA399/30+1)&amp;"S,"&amp;INT(Panchanga!$AB399/30+1)&amp;"R"</f>
        <v>3Ma,-12Me,2J, -12V,11S,12R</v>
      </c>
      <c r="U399" s="4">
        <f t="shared" si="52"/>
        <v>341.3979762692548</v>
      </c>
      <c r="V399" s="4">
        <f t="shared" si="53"/>
        <v>294.69797972879451</v>
      </c>
      <c r="W399" s="4">
        <f>Planet(Panchanga!$G399,4)</f>
        <v>87.552465771665723</v>
      </c>
      <c r="X399" s="4">
        <f>Planet(Panchanga!$G399,2)</f>
        <v>339.14468746301429</v>
      </c>
      <c r="Y399" s="4">
        <f>Planet(Panchanga!$G399,5)</f>
        <v>50.879358010790085</v>
      </c>
      <c r="Z399" s="4">
        <f>Planet(Panchanga!$G399,3)</f>
        <v>336.5875033162701</v>
      </c>
      <c r="AA399" s="4">
        <f>Planet(Panchanga!$G399,6)</f>
        <v>329.55736392454105</v>
      </c>
      <c r="AB399" s="4">
        <f>Planet(Panchanga!$G399,10)</f>
        <v>332.83815851938391</v>
      </c>
      <c r="AC399" s="4" t="str">
        <f>TEXT(Panchanga!$C399+($C400-Panchanga!$C399)/ABS(IF($R400&lt;1,$R400+30,$R400)-Panchanga!$R399)*(ROUNDUP(Panchanga!$R399,0)-Panchanga!$R399),"hh:mm AM/PM")</f>
        <v>01:39 AM</v>
      </c>
      <c r="AD399" s="4"/>
    </row>
    <row r="400" spans="1:30" x14ac:dyDescent="0.2">
      <c r="A400" s="3">
        <f t="shared" si="55"/>
        <v>45743</v>
      </c>
      <c r="B400" s="3">
        <f t="shared" si="50"/>
        <v>45743.229166666664</v>
      </c>
      <c r="C400" s="6">
        <f t="shared" si="51"/>
        <v>45743.256933950506</v>
      </c>
      <c r="D400" s="6">
        <f>sunset(Lat,Long,B400)+TimeZone/24-0.000277777777777778</f>
        <v>45742.763906395106</v>
      </c>
      <c r="E400" s="6">
        <f>PlanetRiseSet(Lat,Long,B400,1,1)+TimeZone/24+0.00103009259259259</f>
        <v>45743.183731452715</v>
      </c>
      <c r="F400" s="6">
        <f>PlanetRiseSet(Lat,Long,B400+1,1,2)+TimeZone/24+0.00103009259259259</f>
        <v>45743.684653444834</v>
      </c>
      <c r="G400" s="17">
        <f>Panchanga!$C400-TimeZone/24</f>
        <v>45743.027767283842</v>
      </c>
      <c r="H400" s="13" t="str">
        <f>INT(P[[#This Row],[Sun]]/30)&amp;"s"&amp;ROUNDUP(MOD(P[[#This Row],[Sun]],30),2)</f>
        <v>11s12.39</v>
      </c>
      <c r="I400" s="13" t="str">
        <f>INT(P[[#This Row],[Moon]]/30)&amp;"s"&amp;ROUNDUP(MOD(P[[#This Row],[Moon]],30),2)</f>
        <v>10s8.87</v>
      </c>
      <c r="J400" s="14">
        <f t="shared" si="54"/>
        <v>45743.027767283842</v>
      </c>
      <c r="K400" s="10" t="str">
        <f>naks(P[[#This Row],[Moon]])</f>
        <v>Satabhisaj</v>
      </c>
      <c r="L400" s="15">
        <f>(C401-P[[#This Row],[SunRise]])/(MOD(360+V401-P[[#This Row],[Moon]],360))*(13.3333333333333-MOD(P[[#This Row],[Moon]],13.333333333333))+P[[#This Row],[SunRise]]</f>
        <v>45744.021234385014</v>
      </c>
      <c r="M400" s="4" t="str">
        <f>IF(Panchanga!$R400&gt;15,"K","S")&amp;ROUNDUP(MOD(Panchanga!$R400,15),0)&amp;" ("&amp;ROUND(Panchanga!$R400,2)&amp;")"</f>
        <v>K13 (27.21)</v>
      </c>
      <c r="N400" s="4">
        <f>IF(AND(Panchanga!$R400&lt;28.5,Panchanga!$R400&gt;0.49999),MOD((Panchanga!$R400-0.5)*2,7),MOD((Panchanga!$R400+30-28.5),30)*2+7)</f>
        <v>4.4121999999999986</v>
      </c>
      <c r="O400" s="4" t="str">
        <f>CHOOSE(ROUNDUP(Panchanga!$N400,0),"Bhava","Baalava","Kaulava","Taitula","Garija","Vanija","Vishti","Shakuni","Chatushapda","Naaga","Kimstugna")</f>
        <v>Garija</v>
      </c>
      <c r="P400" s="11" t="str">
        <f>CHOOSE(ROUNDUP(Panchanga!$S400,0),"viṣkambha","prīti","āyuṣmāna","saubhāgya","śobhana","atigaṇḍa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("&amp;Panchanga!$S400&amp;")"</f>
        <v>sādhya (21.85)</v>
      </c>
      <c r="Q400" s="4">
        <f>IF(AND(Panchanga!$R400&lt;28.5,Panchanga!$R400&gt;0.49999),MOD((Panchanga!$R400-0.5)*2,7),MOD((Panchanga!$R400+30-28.5),30)*2+7)</f>
        <v>4.4121999999999986</v>
      </c>
      <c r="R400" s="4">
        <f>ROUNDUP(MOD(360+P[[#This Row],[Moon]]-P[[#This Row],[Sun]],360)/12,4)</f>
        <v>27.206099999999999</v>
      </c>
      <c r="S400" s="4">
        <f>ROUNDUP(MOD(P[[#This Row],[Sun]]+P[[#This Row],[Moon]],360)/13.333333333,2)</f>
        <v>21.85</v>
      </c>
      <c r="T400" s="4" t="str">
        <f>SIGN(W401-Panchanga!$W400)*INT(Panchanga!$W400/30+1)&amp;"Ma,"&amp;SIGN(X401-Panchanga!$X400)*INT(Panchanga!$X400/30+1)&amp;"Me,"&amp;SIGN(Y401-Panchanga!$Y400)*INT(Panchanga!$Y400/30+1)&amp;"J, "&amp;SIGN(Z401-Panchanga!$Z400)*INT(Panchanga!$Z400/30+1)&amp;"V,"&amp;SIGN(AA401-Panchanga!$AA400)*INT(Panchanga!$AA400/30+1)&amp;"S,"&amp;INT(Panchanga!$AB400/30+1)&amp;"R"</f>
        <v>3Ma,-12Me,2J, -12V,11S,12R</v>
      </c>
      <c r="U400" s="4">
        <f t="shared" si="52"/>
        <v>342.38796977545297</v>
      </c>
      <c r="V400" s="4">
        <f t="shared" si="53"/>
        <v>308.86086916150566</v>
      </c>
      <c r="W400" s="4">
        <f>Planet(Panchanga!$G400,4)</f>
        <v>87.843709465042807</v>
      </c>
      <c r="X400" s="4">
        <f>Planet(Panchanga!$G400,2)</f>
        <v>338.26858702642312</v>
      </c>
      <c r="Y400" s="4">
        <f>Planet(Panchanga!$G400,5)</f>
        <v>51.02292140998992</v>
      </c>
      <c r="Z400" s="4">
        <f>Planet(Panchanga!$G400,3)</f>
        <v>335.98699222581541</v>
      </c>
      <c r="AA400" s="4">
        <f>Planet(Panchanga!$G400,6)</f>
        <v>329.67898759989487</v>
      </c>
      <c r="AB400" s="4">
        <f>Planet(Panchanga!$G400,10)</f>
        <v>332.78519151179466</v>
      </c>
      <c r="AC400" s="4" t="str">
        <f>TEXT(Panchanga!$C400+($C401-Panchanga!$C400)/ABS(IF($R401&lt;1,$R401+30,$R401)-Panchanga!$R400)*(ROUNDUP(Panchanga!$R400,0)-Panchanga!$R400),"hh:mm AM/PM")</f>
        <v>10:59 PM</v>
      </c>
      <c r="AD400" s="4"/>
    </row>
    <row r="401" spans="1:30" x14ac:dyDescent="0.2">
      <c r="A401" s="3">
        <f t="shared" si="55"/>
        <v>45744</v>
      </c>
      <c r="B401" s="3">
        <f t="shared" si="50"/>
        <v>45744.229166666664</v>
      </c>
      <c r="C401" s="6">
        <f t="shared" si="51"/>
        <v>45744.256463133883</v>
      </c>
      <c r="D401" s="6">
        <f>sunset(Lat,Long,B401)+TimeZone/24-0.000277777777777778</f>
        <v>45743.763959840915</v>
      </c>
      <c r="E401" s="6">
        <f>PlanetRiseSet(Lat,Long,B401,1,1)+TimeZone/24+0.00103009259259259</f>
        <v>45744.213932932042</v>
      </c>
      <c r="F401" s="6">
        <f>PlanetRiseSet(Lat,Long,B401+1,1,2)+TimeZone/24+0.00103009259259259</f>
        <v>45744.724611977268</v>
      </c>
      <c r="G401" s="17">
        <f>Panchanga!$C401-TimeZone/24</f>
        <v>45744.027296467219</v>
      </c>
      <c r="H401" s="13" t="str">
        <f>INT(P[[#This Row],[Sun]]/30)&amp;"s"&amp;ROUNDUP(MOD(P[[#This Row],[Sun]],30),2)</f>
        <v>11s13.38</v>
      </c>
      <c r="I401" s="13" t="str">
        <f>INT(P[[#This Row],[Moon]]/30)&amp;"s"&amp;ROUNDUP(MOD(P[[#This Row],[Moon]],30),2)</f>
        <v>10s23.43</v>
      </c>
      <c r="J401" s="14">
        <f t="shared" si="54"/>
        <v>45744.027296467219</v>
      </c>
      <c r="K401" s="10" t="str">
        <f>naks(P[[#This Row],[Moon]])</f>
        <v>Purva Bhadrapada</v>
      </c>
      <c r="L401" s="15">
        <f>(C402-P[[#This Row],[SunRise]])/(MOD(360+V402-P[[#This Row],[Moon]],360))*(13.3333333333333-MOD(P[[#This Row],[Moon]],13.333333333333))+P[[#This Row],[SunRise]]</f>
        <v>45744.921417533471</v>
      </c>
      <c r="M401" s="4" t="str">
        <f>IF(Panchanga!$R401&gt;15,"K","S")&amp;ROUNDUP(MOD(Panchanga!$R401,15),0)&amp;" ("&amp;ROUND(Panchanga!$R401,2)&amp;")"</f>
        <v>K14 (28.34)</v>
      </c>
      <c r="N401" s="4">
        <f>IF(AND(Panchanga!$R401&lt;28.5,Panchanga!$R401&gt;0.49999),MOD((Panchanga!$R401-0.5)*2,7),MOD((Panchanga!$R401+30-28.5),30)*2+7)</f>
        <v>6.6751999999999967</v>
      </c>
      <c r="O401" s="4" t="str">
        <f>CHOOSE(ROUNDUP(Panchanga!$N401,0),"Bhava","Baalava","Kaulava","Taitula","Garija","Vanija","Vishti","Shakuni","Chatushapda","Naaga","Kimstugna")</f>
        <v>Vishti</v>
      </c>
      <c r="P401" s="11" t="str">
        <f>CHOOSE(ROUNDUP(Panchanga!$S401,0),"viṣkambha","prīti","āyuṣmāna","saubhāgya","śobhana","atigaṇḍa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("&amp;Panchanga!$S401&amp;")"</f>
        <v>śukla (23.02)</v>
      </c>
      <c r="Q401" s="4">
        <f>IF(AND(Panchanga!$R401&lt;28.5,Panchanga!$R401&gt;0.49999),MOD((Panchanga!$R401-0.5)*2,7),MOD((Panchanga!$R401+30-28.5),30)*2+7)</f>
        <v>6.6751999999999967</v>
      </c>
      <c r="R401" s="4">
        <f>ROUNDUP(MOD(360+P[[#This Row],[Moon]]-P[[#This Row],[Sun]],360)/12,4)</f>
        <v>28.337599999999998</v>
      </c>
      <c r="S401" s="4">
        <f>ROUNDUP(MOD(P[[#This Row],[Sun]]+P[[#This Row],[Moon]],360)/13.333333333,2)</f>
        <v>23.020000000000003</v>
      </c>
      <c r="T401" s="4" t="str">
        <f>SIGN(W402-Panchanga!$W401)*INT(Panchanga!$W401/30+1)&amp;"Ma,"&amp;SIGN(X402-Panchanga!$X401)*INT(Panchanga!$X401/30+1)&amp;"Me,"&amp;SIGN(Y402-Panchanga!$Y401)*INT(Panchanga!$Y401/30+1)&amp;"J, "&amp;SIGN(Z402-Panchanga!$Z401)*INT(Panchanga!$Z401/30+1)&amp;"V,"&amp;SIGN(AA402-Panchanga!$AA401)*INT(Panchanga!$AA401/30+1)&amp;"S,"&amp;INT(Panchanga!$AB401/30+1)&amp;"R"</f>
        <v>3Ma,-12Me,2J, -12V,11S,12R</v>
      </c>
      <c r="U401" s="4">
        <f t="shared" si="52"/>
        <v>343.37744928822531</v>
      </c>
      <c r="V401" s="4">
        <f t="shared" si="53"/>
        <v>323.42829035848672</v>
      </c>
      <c r="W401" s="4">
        <f>Planet(Panchanga!$G401,4)</f>
        <v>88.141747372941794</v>
      </c>
      <c r="X401" s="4">
        <f>Planet(Panchanga!$G401,2)</f>
        <v>337.41581242191558</v>
      </c>
      <c r="Y401" s="4">
        <f>Planet(Panchanga!$G401,5)</f>
        <v>51.168611237784759</v>
      </c>
      <c r="Z401" s="4">
        <f>Planet(Panchanga!$G401,3)</f>
        <v>335.40357546431449</v>
      </c>
      <c r="AA401" s="4">
        <f>Planet(Panchanga!$G401,6)</f>
        <v>329.80034724585335</v>
      </c>
      <c r="AB401" s="4">
        <f>Planet(Panchanga!$G401,10)</f>
        <v>332.73222447481487</v>
      </c>
      <c r="AC401" s="4" t="str">
        <f>TEXT(Panchanga!$C401+($C402-Panchanga!$C401)/ABS(IF($R402&lt;1,$R402+30,$R402)-Panchanga!$R401)*(ROUNDUP(Panchanga!$R401,0)-Panchanga!$R401),"hh:mm AM/PM")</f>
        <v>07:52 PM</v>
      </c>
      <c r="AD401" s="4"/>
    </row>
    <row r="402" spans="1:30" x14ac:dyDescent="0.2">
      <c r="A402" s="3">
        <f t="shared" si="55"/>
        <v>45745</v>
      </c>
      <c r="B402" s="3">
        <f t="shared" si="50"/>
        <v>45745.229166666664</v>
      </c>
      <c r="C402" s="6">
        <f t="shared" si="51"/>
        <v>45745.255993105624</v>
      </c>
      <c r="D402" s="6">
        <f>sunset(Lat,Long,B402)+TimeZone/24-0.000277777777777778</f>
        <v>45744.764013329099</v>
      </c>
      <c r="E402" s="6">
        <f>PlanetRiseSet(Lat,Long,B402,1,1)+TimeZone/24+0.00103009259259259</f>
        <v>45745.243830140367</v>
      </c>
      <c r="F402" s="6">
        <f>PlanetRiseSet(Lat,Long,B402+1,1,2)+TimeZone/24+0.00103009259259259</f>
        <v>45745.765043120518</v>
      </c>
      <c r="G402" s="17">
        <f>Panchanga!$C402-TimeZone/24</f>
        <v>45745.02682643896</v>
      </c>
      <c r="H402" s="13" t="str">
        <f>INT(P[[#This Row],[Sun]]/30)&amp;"s"&amp;ROUNDUP(MOD(P[[#This Row],[Sun]],30),2)</f>
        <v>11s14.37</v>
      </c>
      <c r="I402" s="13" t="str">
        <f>INT(P[[#This Row],[Moon]]/30)&amp;"s"&amp;ROUNDUP(MOD(P[[#This Row],[Moon]],30),2)</f>
        <v>11s8.32</v>
      </c>
      <c r="J402" s="14">
        <f t="shared" si="54"/>
        <v>45745.02682643896</v>
      </c>
      <c r="K402" s="10" t="str">
        <f>naks(P[[#This Row],[Moon]])</f>
        <v>Uttara Bhadrapada</v>
      </c>
      <c r="L402" s="15">
        <f>(C403-P[[#This Row],[SunRise]])/(MOD(360+V403-P[[#This Row],[Moon]],360))*(13.3333333333333-MOD(P[[#This Row],[Moon]],13.333333333333))+P[[#This Row],[SunRise]]</f>
        <v>45745.809190725944</v>
      </c>
      <c r="M402" s="4" t="str">
        <f>IF(Panchanga!$R402&gt;15,"K","S")&amp;ROUNDUP(MOD(Panchanga!$R402,15),0)&amp;" ("&amp;ROUND(Panchanga!$R402,2)&amp;")"</f>
        <v>K15 (29.5)</v>
      </c>
      <c r="N402" s="4">
        <f>IF(AND(Panchanga!$R402&lt;28.5,Panchanga!$R402&gt;0.49999),MOD((Panchanga!$R402-0.5)*2,7),MOD((Panchanga!$R402+30-28.5),30)*2+7)</f>
        <v>8.9917999999999978</v>
      </c>
      <c r="O402" s="4" t="str">
        <f>CHOOSE(ROUNDUP(Panchanga!$N402,0),"Bhava","Baalava","Kaulava","Taitula","Garija","Vanija","Vishti","Shakuni","Chatushapda","Naaga","Kimstugna")</f>
        <v>Chatushapda</v>
      </c>
      <c r="P402" s="11" t="str">
        <f>CHOOSE(ROUNDUP(Panchanga!$S402,0),"viṣkambha","prīti","āyuṣmāna","saubhāgya","śobhana","atigaṇḍa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("&amp;Panchanga!$S402&amp;")"</f>
        <v>brahma (24.21)</v>
      </c>
      <c r="Q402" s="4">
        <f>IF(AND(Panchanga!$R402&lt;28.5,Panchanga!$R402&gt;0.49999),MOD((Panchanga!$R402-0.5)*2,7),MOD((Panchanga!$R402+30-28.5),30)*2+7)</f>
        <v>8.9917999999999978</v>
      </c>
      <c r="R402" s="4">
        <f>ROUNDUP(MOD(360+P[[#This Row],[Moon]]-P[[#This Row],[Sun]],360)/12,4)</f>
        <v>29.495899999999999</v>
      </c>
      <c r="S402" s="4">
        <f>ROUNDUP(MOD(P[[#This Row],[Sun]]+P[[#This Row],[Moon]],360)/13.333333333,2)</f>
        <v>24.21</v>
      </c>
      <c r="T402" s="4" t="str">
        <f>SIGN(W403-Panchanga!$W402)*INT(Panchanga!$W402/30+1)&amp;"Ma,"&amp;SIGN(X403-Panchanga!$X402)*INT(Panchanga!$X402/30+1)&amp;"Me,"&amp;SIGN(Y403-Panchanga!$Y402)*INT(Panchanga!$Y402/30+1)&amp;"J, "&amp;SIGN(Z403-Panchanga!$Z402)*INT(Panchanga!$Z402/30+1)&amp;"V,"&amp;SIGN(AA403-Panchanga!$AA402)*INT(Panchanga!$AA402/30+1)&amp;"S,"&amp;INT(Panchanga!$AB402/30+1)&amp;"R"</f>
        <v>3Ma,-12Me,2J, -12V,11S,12R</v>
      </c>
      <c r="U402" s="4">
        <f t="shared" si="52"/>
        <v>344.3663962161877</v>
      </c>
      <c r="V402" s="4">
        <f t="shared" si="53"/>
        <v>338.31711180379762</v>
      </c>
      <c r="W402" s="4">
        <f>Planet(Panchanga!$G402,4)</f>
        <v>88.446443060614996</v>
      </c>
      <c r="X402" s="4">
        <f>Planet(Panchanga!$G402,2)</f>
        <v>336.60195955199958</v>
      </c>
      <c r="Y402" s="4">
        <f>Planet(Panchanga!$G402,5)</f>
        <v>51.316396711926657</v>
      </c>
      <c r="Z402" s="4">
        <f>Planet(Panchanga!$G402,3)</f>
        <v>334.840792735702</v>
      </c>
      <c r="AA402" s="4">
        <f>Planet(Panchanga!$G402,6)</f>
        <v>329.92142240332976</v>
      </c>
      <c r="AB402" s="4">
        <f>Planet(Panchanga!$G402,10)</f>
        <v>332.67925739605136</v>
      </c>
      <c r="AC402" s="4" t="str">
        <f>TEXT(Panchanga!$C402+($C403-Panchanga!$C402)/ABS(IF($R403&lt;1,$R403+30,$R403)-Panchanga!$R402)*(ROUNDUP(Panchanga!$R402,0)-Panchanga!$R402),"hh:mm AM/PM")</f>
        <v>04:26 PM</v>
      </c>
      <c r="AD402" s="4"/>
    </row>
    <row r="403" spans="1:30" x14ac:dyDescent="0.2">
      <c r="A403" s="3">
        <f t="shared" si="55"/>
        <v>45746</v>
      </c>
      <c r="B403" s="3">
        <f t="shared" si="50"/>
        <v>45746.229166666664</v>
      </c>
      <c r="C403" s="6">
        <f t="shared" si="51"/>
        <v>45746.255524089247</v>
      </c>
      <c r="D403" s="6">
        <f>sunset(Lat,Long,B403)+TimeZone/24-0.000277777777777778</f>
        <v>45745.764066992837</v>
      </c>
      <c r="E403" s="6">
        <f>PlanetRiseSet(Lat,Long,B403,1,1)+TimeZone/24+0.00103009259259259</f>
        <v>45746.274442764152</v>
      </c>
      <c r="F403" s="6">
        <f>PlanetRiseSet(Lat,Long,B403+1,1,2)+TimeZone/24+0.00103009259259259</f>
        <v>45746.806662573166</v>
      </c>
      <c r="G403" s="17">
        <f>Panchanga!$C403-TimeZone/24</f>
        <v>45746.026357422583</v>
      </c>
      <c r="H403" s="13" t="str">
        <f>INT(P[[#This Row],[Sun]]/30)&amp;"s"&amp;ROUNDUP(MOD(P[[#This Row],[Sun]],30),2)</f>
        <v>11s15.36</v>
      </c>
      <c r="I403" s="13" t="str">
        <f>INT(P[[#This Row],[Moon]]/30)&amp;"s"&amp;ROUNDUP(MOD(P[[#This Row],[Moon]],30),2)</f>
        <v>11s23.41</v>
      </c>
      <c r="J403" s="14">
        <f t="shared" si="54"/>
        <v>45746.026357422583</v>
      </c>
      <c r="K403" s="10" t="str">
        <f>naks(P[[#This Row],[Moon]])</f>
        <v>Revati</v>
      </c>
      <c r="L403" s="15">
        <f>(C404-P[[#This Row],[SunRise]])/(MOD(360+V404-P[[#This Row],[Moon]],360))*(13.3333333333333-MOD(P[[#This Row],[Moon]],13.333333333333))+P[[#This Row],[SunRise]]</f>
        <v>45746.69124030129</v>
      </c>
      <c r="M403" s="4" t="str">
        <f>IF(Panchanga!$R403&gt;15,"K","S")&amp;ROUNDUP(MOD(Panchanga!$R403,15),0)&amp;" ("&amp;ROUND(Panchanga!$R403,2)&amp;")"</f>
        <v>S1 (0.67)</v>
      </c>
      <c r="N403" s="4">
        <f>IF(AND(Panchanga!$R403&lt;28.5,Panchanga!$R403&gt;0.49999),MOD((Panchanga!$R403-0.5)*2,7),MOD((Panchanga!$R403+30-28.5),30)*2+7)</f>
        <v>0.3415999999999999</v>
      </c>
      <c r="O403" s="4" t="str">
        <f>CHOOSE(ROUNDUP(Panchanga!$N403,0),"Bhava","Baalava","Kaulava","Taitula","Garija","Vanija","Vishti","Shakuni","Chatushapda","Naaga","Kimstugna")</f>
        <v>Bhava</v>
      </c>
      <c r="P403" s="11" t="str">
        <f>CHOOSE(ROUNDUP(Panchanga!$S403,0),"viṣkambha","prīti","āyuṣmāna","saubhāgya","śobhana","atigaṇḍa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("&amp;Panchanga!$S403&amp;")"</f>
        <v>mahendra (25.41)</v>
      </c>
      <c r="Q403" s="4">
        <f>IF(AND(Panchanga!$R403&lt;28.5,Panchanga!$R403&gt;0.49999),MOD((Panchanga!$R403-0.5)*2,7),MOD((Panchanga!$R403+30-28.5),30)*2+7)</f>
        <v>0.3415999999999999</v>
      </c>
      <c r="R403" s="4">
        <f>ROUNDUP(MOD(360+P[[#This Row],[Moon]]-P[[#This Row],[Sun]],360)/12,4)</f>
        <v>0.67079999999999995</v>
      </c>
      <c r="S403" s="4">
        <f>ROUNDUP(MOD(P[[#This Row],[Sun]]+P[[#This Row],[Moon]],360)/13.333333333,2)</f>
        <v>25.41</v>
      </c>
      <c r="T403" s="4" t="str">
        <f>SIGN(W404-Panchanga!$W403)*INT(Panchanga!$W403/30+1)&amp;"Ma,"&amp;SIGN(X404-Panchanga!$X403)*INT(Panchanga!$X403/30+1)&amp;"Me,"&amp;SIGN(Y404-Panchanga!$Y403)*INT(Panchanga!$Y403/30+1)&amp;"J, "&amp;SIGN(Z404-Panchanga!$Z403)*INT(Panchanga!$Z403/30+1)&amp;"V,"&amp;SIGN(AA404-Panchanga!$AA403)*INT(Panchanga!$AA403/30+1)&amp;"S,"&amp;INT(Panchanga!$AB403/30+1)&amp;"R"</f>
        <v>3Ma,-12Me,2J, -12V,12S,12R</v>
      </c>
      <c r="U403" s="4">
        <f t="shared" si="52"/>
        <v>345.35478862461645</v>
      </c>
      <c r="V403" s="4">
        <f t="shared" si="53"/>
        <v>353.4032916395891</v>
      </c>
      <c r="W403" s="4">
        <f>Planet(Panchanga!$G403,4)</f>
        <v>88.757658298616221</v>
      </c>
      <c r="X403" s="4">
        <f>Planet(Panchanga!$G403,2)</f>
        <v>335.84078598992079</v>
      </c>
      <c r="Y403" s="4">
        <f>Planet(Panchanga!$G403,5)</f>
        <v>51.466245767337227</v>
      </c>
      <c r="Z403" s="4">
        <f>Planet(Panchanga!$G403,3)</f>
        <v>334.30191932311777</v>
      </c>
      <c r="AA403" s="4">
        <f>Planet(Panchanga!$G403,6)</f>
        <v>330.04219239661586</v>
      </c>
      <c r="AB403" s="4">
        <f>Planet(Panchanga!$G403,10)</f>
        <v>332.62629026367381</v>
      </c>
      <c r="AC403" s="4" t="str">
        <f>TEXT(Panchanga!$C403+($C404-Panchanga!$C403)/ABS(IF($R404&lt;1,$R404+30,$R404)-Panchanga!$R403)*(ROUNDUP(Panchanga!$R403,0)-Panchanga!$R403),"hh:mm AM/PM")</f>
        <v>12:49 PM</v>
      </c>
      <c r="AD403" s="4"/>
    </row>
    <row r="404" spans="1:30" x14ac:dyDescent="0.2">
      <c r="A404" s="3">
        <f t="shared" si="55"/>
        <v>45747</v>
      </c>
      <c r="B404" s="3">
        <f t="shared" si="50"/>
        <v>45747.229166666664</v>
      </c>
      <c r="C404" s="6">
        <f t="shared" si="51"/>
        <v>45747.255056302216</v>
      </c>
      <c r="D404" s="6">
        <f>sunset(Lat,Long,B404)+TimeZone/24-0.000277777777777778</f>
        <v>45746.764120957858</v>
      </c>
      <c r="E404" s="6">
        <f>PlanetRiseSet(Lat,Long,B404,1,1)+TimeZone/24+0.00103009259259259</f>
        <v>45747.306817465149</v>
      </c>
      <c r="F404" s="6">
        <f>PlanetRiseSet(Lat,Long,B404+1,1,2)+TimeZone/24+0.00103009259259259</f>
        <v>45747.849976950478</v>
      </c>
      <c r="G404" s="17">
        <f>Panchanga!$C404-TimeZone/24</f>
        <v>45747.025889635552</v>
      </c>
      <c r="H404" s="13" t="str">
        <f>INT(P[[#This Row],[Sun]]/30)&amp;"s"&amp;ROUNDUP(MOD(P[[#This Row],[Sun]],30),2)</f>
        <v>11s16.35</v>
      </c>
      <c r="I404" s="13" t="str">
        <f>INT(P[[#This Row],[Moon]]/30)&amp;"s"&amp;ROUNDUP(MOD(P[[#This Row],[Moon]],30),2)</f>
        <v>0s8.54</v>
      </c>
      <c r="J404" s="14">
        <f t="shared" si="54"/>
        <v>45747.025889635552</v>
      </c>
      <c r="K404" s="10" t="str">
        <f>naks(P[[#This Row],[Moon]])</f>
        <v>Aswini</v>
      </c>
      <c r="L404" s="15">
        <f>(C405-P[[#This Row],[SunRise]])/(MOD(360+V405-P[[#This Row],[Moon]],360))*(13.3333333333333-MOD(P[[#This Row],[Moon]],13.333333333333))+P[[#This Row],[SunRise]]</f>
        <v>45747.574212196712</v>
      </c>
      <c r="M404" s="4" t="str">
        <f>IF(Panchanga!$R404&gt;15,"K","S")&amp;ROUNDUP(MOD(Panchanga!$R404,15),0)&amp;" ("&amp;ROUND(Panchanga!$R404,2)&amp;")"</f>
        <v>S2 (1.85)</v>
      </c>
      <c r="N404" s="4">
        <f>IF(AND(Panchanga!$R404&lt;28.5,Panchanga!$R404&gt;0.49999),MOD((Panchanga!$R404-0.5)*2,7),MOD((Panchanga!$R404+30-28.5),30)*2+7)</f>
        <v>2.6989999999999998</v>
      </c>
      <c r="O404" s="4" t="str">
        <f>CHOOSE(ROUNDUP(Panchanga!$N404,0),"Bhava","Baalava","Kaulava","Taitula","Garija","Vanija","Vishti","Shakuni","Chatushapda","Naaga","Kimstugna")</f>
        <v>Kaulava</v>
      </c>
      <c r="P404" s="11" t="str">
        <f>CHOOSE(ROUNDUP(Panchanga!$S404,0),"viṣkambha","prīti","āyuṣmāna","saubhāgya","śobhana","atigaṇḍa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("&amp;Panchanga!$S404&amp;")"</f>
        <v>vaidhṛti (26.62)</v>
      </c>
      <c r="Q404" s="4">
        <f>IF(AND(Panchanga!$R404&lt;28.5,Panchanga!$R404&gt;0.49999),MOD((Panchanga!$R404-0.5)*2,7),MOD((Panchanga!$R404+30-28.5),30)*2+7)</f>
        <v>2.6989999999999998</v>
      </c>
      <c r="R404" s="4">
        <f>ROUNDUP(MOD(360+P[[#This Row],[Moon]]-P[[#This Row],[Sun]],360)/12,4)</f>
        <v>1.8494999999999999</v>
      </c>
      <c r="S404" s="4">
        <f>ROUNDUP(MOD(P[[#This Row],[Sun]]+P[[#This Row],[Moon]],360)/13.333333333,2)</f>
        <v>26.62</v>
      </c>
      <c r="T404" s="4" t="str">
        <f>SIGN(W405-Panchanga!$W404)*INT(Panchanga!$W404/30+1)&amp;"Ma,"&amp;SIGN(X405-Panchanga!$X404)*INT(Panchanga!$X404/30+1)&amp;"Me,"&amp;SIGN(Y405-Panchanga!$Y404)*INT(Panchanga!$Y404/30+1)&amp;"J, "&amp;SIGN(Z405-Panchanga!$Z404)*INT(Panchanga!$Z404/30+1)&amp;"V,"&amp;SIGN(AA405-Panchanga!$AA404)*INT(Panchanga!$AA404/30+1)&amp;"S,"&amp;INT(Panchanga!$AB404/30+1)&amp;"R"</f>
        <v>3Ma,-12Me,2J, -12V,12S,12R</v>
      </c>
      <c r="U404" s="4">
        <f t="shared" si="52"/>
        <v>346.34260324360099</v>
      </c>
      <c r="V404" s="4">
        <f t="shared" si="53"/>
        <v>8.5361288477913106</v>
      </c>
      <c r="W404" s="4">
        <f>Planet(Panchanga!$G404,4)</f>
        <v>89.075251512910711</v>
      </c>
      <c r="X404" s="4">
        <f>Planet(Panchanga!$G404,2)</f>
        <v>335.14399853018887</v>
      </c>
      <c r="Y404" s="4">
        <f>Planet(Panchanga!$G404,5)</f>
        <v>51.618125002794024</v>
      </c>
      <c r="Z404" s="4">
        <f>Planet(Panchanga!$G404,3)</f>
        <v>333.78994879091647</v>
      </c>
      <c r="AA404" s="4">
        <f>Planet(Panchanga!$G404,6)</f>
        <v>330.16263659469377</v>
      </c>
      <c r="AB404" s="4">
        <f>Planet(Panchanga!$G404,10)</f>
        <v>332.57332306613387</v>
      </c>
      <c r="AC404" s="4" t="str">
        <f>TEXT(Panchanga!$C404+($C405-Panchanga!$C404)/ABS(IF($R405&lt;1,$R405+30,$R405)-Panchanga!$R404)*(ROUNDUP(Panchanga!$R404,0)-Panchanga!$R404),"hh:mm AM/PM")</f>
        <v>09:12 AM</v>
      </c>
      <c r="AD404" s="4"/>
    </row>
    <row r="405" spans="1:30" x14ac:dyDescent="0.2">
      <c r="A405" s="3">
        <f t="shared" si="55"/>
        <v>45748</v>
      </c>
      <c r="B405" s="3">
        <f t="shared" si="50"/>
        <v>45748.229166666664</v>
      </c>
      <c r="C405" s="6">
        <f t="shared" si="51"/>
        <v>45748.25458996246</v>
      </c>
      <c r="D405" s="6">
        <f>sunset(Lat,Long,B405)+TimeZone/24-0.000277777777777778</f>
        <v>45747.764175343837</v>
      </c>
      <c r="E405" s="6">
        <f>PlanetRiseSet(Lat,Long,B405,1,1)+TimeZone/24+0.00103009259259259</f>
        <v>45748.341861152243</v>
      </c>
      <c r="F405" s="6">
        <f>PlanetRiseSet(Lat,Long,B405+1,1,2)+TimeZone/24+0.00103009259259259</f>
        <v>45748.894914047945</v>
      </c>
      <c r="G405" s="17">
        <f>Panchanga!$C405-TimeZone/24</f>
        <v>45748.025423295796</v>
      </c>
      <c r="H405" s="13" t="str">
        <f>INT(P[[#This Row],[Sun]]/30)&amp;"s"&amp;ROUNDUP(MOD(P[[#This Row],[Sun]],30),2)</f>
        <v>11s17.33</v>
      </c>
      <c r="I405" s="13" t="str">
        <f>INT(P[[#This Row],[Moon]]/30)&amp;"s"&amp;ROUNDUP(MOD(P[[#This Row],[Moon]],30),2)</f>
        <v>0s23.57</v>
      </c>
      <c r="J405" s="14">
        <f t="shared" si="54"/>
        <v>45748.025423295796</v>
      </c>
      <c r="K405" s="10" t="str">
        <f>naks(P[[#This Row],[Moon]])</f>
        <v>Bharani</v>
      </c>
      <c r="L405" s="15">
        <f>(C406-P[[#This Row],[SunRise]])/(MOD(360+V406-P[[#This Row],[Moon]],360))*(13.3333333333333-MOD(P[[#This Row],[Moon]],13.333333333333))+P[[#This Row],[SunRise]]</f>
        <v>45748.464716225266</v>
      </c>
      <c r="M405" s="4" t="str">
        <f>IF(Panchanga!$R405&gt;15,"K","S")&amp;ROUNDUP(MOD(Panchanga!$R405,15),0)&amp;" ("&amp;ROUND(Panchanga!$R405,2)&amp;")"</f>
        <v>S4 (3.02)</v>
      </c>
      <c r="N405" s="4">
        <f>IF(AND(Panchanga!$R405&lt;28.5,Panchanga!$R405&gt;0.49999),MOD((Panchanga!$R405-0.5)*2,7),MOD((Panchanga!$R405+30-28.5),30)*2+7)</f>
        <v>5.0384000000000002</v>
      </c>
      <c r="O405" s="4" t="str">
        <f>CHOOSE(ROUNDUP(Panchanga!$N405,0),"Bhava","Baalava","Kaulava","Taitula","Garija","Vanija","Vishti","Shakuni","Chatushapda","Naaga","Kimstugna")</f>
        <v>Vanija</v>
      </c>
      <c r="P405" s="11" t="str">
        <f>CHOOSE(ROUNDUP(Panchanga!$S405,0),"viṣkambha","prīti","āyuṣmāna","saubhāgya","śobhana","atigaṇḍa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("&amp;Panchanga!$S405&amp;")"</f>
        <v>viṣkambha (0.82)</v>
      </c>
      <c r="Q405" s="4">
        <f>IF(AND(Panchanga!$R405&lt;28.5,Panchanga!$R405&gt;0.49999),MOD((Panchanga!$R405-0.5)*2,7),MOD((Panchanga!$R405+30-28.5),30)*2+7)</f>
        <v>5.0384000000000002</v>
      </c>
      <c r="R405" s="4">
        <f>ROUNDUP(MOD(360+P[[#This Row],[Moon]]-P[[#This Row],[Sun]],360)/12,4)</f>
        <v>3.0192000000000001</v>
      </c>
      <c r="S405" s="4">
        <f>ROUNDUP(MOD(P[[#This Row],[Sun]]+P[[#This Row],[Moon]],360)/13.333333333,2)</f>
        <v>0.82000000000000006</v>
      </c>
      <c r="T405" s="4" t="str">
        <f>SIGN(W406-Panchanga!$W405)*INT(Panchanga!$W405/30+1)&amp;"Ma,"&amp;SIGN(X406-Panchanga!$X405)*INT(Panchanga!$X405/30+1)&amp;"Me,"&amp;SIGN(Y406-Panchanga!$Y405)*INT(Panchanga!$Y405/30+1)&amp;"J, "&amp;SIGN(Z406-Panchanga!$Z405)*INT(Panchanga!$Z405/30+1)&amp;"V,"&amp;SIGN(AA406-Panchanga!$AA405)*INT(Panchanga!$AA405/30+1)&amp;"S,"&amp;INT(Panchanga!$AB405/30+1)&amp;"R"</f>
        <v>3Ma,-12Me,2J, -12V,12S,12R</v>
      </c>
      <c r="U405" s="4">
        <f t="shared" si="52"/>
        <v>347.32981794303657</v>
      </c>
      <c r="V405" s="4">
        <f t="shared" si="53"/>
        <v>23.560032341532168</v>
      </c>
      <c r="W405" s="4">
        <f>Planet(Panchanga!$G405,4)</f>
        <v>89.399077261449946</v>
      </c>
      <c r="X405" s="4">
        <f>Planet(Panchanga!$G405,2)</f>
        <v>334.52116524542163</v>
      </c>
      <c r="Y405" s="4">
        <f>Planet(Panchanga!$G405,5)</f>
        <v>51.771999883555537</v>
      </c>
      <c r="Z405" s="4">
        <f>Planet(Panchanga!$G405,3)</f>
        <v>333.3075837718165</v>
      </c>
      <c r="AA405" s="4">
        <f>Planet(Panchanga!$G405,6)</f>
        <v>330.2827346993879</v>
      </c>
      <c r="AB405" s="4">
        <f>Planet(Panchanga!$G405,10)</f>
        <v>332.52035579194933</v>
      </c>
      <c r="AC405" s="4" t="str">
        <f>TEXT(Panchanga!$C405+($C406-Panchanga!$C405)/ABS(IF($R406&lt;1,$R406+30,$R406)-Panchanga!$R405)*(ROUNDUP(Panchanga!$R405,0)-Panchanga!$R405),"hh:mm AM/PM")</f>
        <v>02:34 AM</v>
      </c>
      <c r="AD405" s="4"/>
    </row>
    <row r="406" spans="1:30" x14ac:dyDescent="0.2">
      <c r="A406" s="3">
        <f t="shared" si="55"/>
        <v>45749</v>
      </c>
      <c r="B406" s="3">
        <f t="shared" si="50"/>
        <v>45749.229166666664</v>
      </c>
      <c r="C406" s="6">
        <f t="shared" si="51"/>
        <v>45749.254125294428</v>
      </c>
      <c r="D406" s="6">
        <f>sunset(Lat,Long,B406)+TimeZone/24-0.000277777777777778</f>
        <v>45748.764230273242</v>
      </c>
      <c r="E406" s="6">
        <f>PlanetRiseSet(Lat,Long,B406,1,1)+TimeZone/24+0.00103009259259259</f>
        <v>45749.380045833219</v>
      </c>
      <c r="F406" s="6">
        <f>PlanetRiseSet(Lat,Long,B406+1,1,2)+TimeZone/24+0.00103009259259259</f>
        <v>45749.940511661734</v>
      </c>
      <c r="G406" s="17">
        <f>Panchanga!$C406-TimeZone/24</f>
        <v>45749.024958627764</v>
      </c>
      <c r="H406" s="13" t="str">
        <f>INT(P[[#This Row],[Sun]]/30)&amp;"s"&amp;ROUNDUP(MOD(P[[#This Row],[Sun]],30),2)</f>
        <v>11s18.32</v>
      </c>
      <c r="I406" s="13" t="str">
        <f>INT(P[[#This Row],[Moon]]/30)&amp;"s"&amp;ROUNDUP(MOD(P[[#This Row],[Moon]],30),2)</f>
        <v>1s8.34</v>
      </c>
      <c r="J406" s="14">
        <f t="shared" si="54"/>
        <v>45749.024958627764</v>
      </c>
      <c r="K406" s="10" t="str">
        <f>naks(P[[#This Row],[Moon]])</f>
        <v>Krittika</v>
      </c>
      <c r="L406" s="15">
        <f>(C407-P[[#This Row],[SunRise]])/(MOD(360+V407-P[[#This Row],[Moon]],360))*(13.3333333333333-MOD(P[[#This Row],[Moon]],13.333333333333))+P[[#This Row],[SunRise]]</f>
        <v>45749.369260017585</v>
      </c>
      <c r="M406" s="4" t="str">
        <f>IF(Panchanga!$R406&gt;15,"K","S")&amp;ROUNDUP(MOD(Panchanga!$R406,15),0)&amp;" ("&amp;ROUND(Panchanga!$R406,2)&amp;")"</f>
        <v>S5 (4.17)</v>
      </c>
      <c r="N406" s="4">
        <f>IF(AND(Panchanga!$R406&lt;28.5,Panchanga!$R406&gt;0.49999),MOD((Panchanga!$R406-0.5)*2,7),MOD((Panchanga!$R406+30-28.5),30)*2+7)</f>
        <v>0.33699999999999974</v>
      </c>
      <c r="O406" s="4" t="str">
        <f>CHOOSE(ROUNDUP(Panchanga!$N406,0),"Bhava","Baalava","Kaulava","Taitula","Garija","Vanija","Vishti","Shakuni","Chatushapda","Naaga","Kimstugna")</f>
        <v>Bhava</v>
      </c>
      <c r="P406" s="11" t="str">
        <f>CHOOSE(ROUNDUP(Panchanga!$S406,0),"viṣkambha","prīti","āyuṣmāna","saubhāgya","śobhana","atigaṇḍa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("&amp;Panchanga!$S406&amp;")"</f>
        <v>prīti (2)</v>
      </c>
      <c r="Q406" s="4">
        <f>IF(AND(Panchanga!$R406&lt;28.5,Panchanga!$R406&gt;0.49999),MOD((Panchanga!$R406-0.5)*2,7),MOD((Panchanga!$R406+30-28.5),30)*2+7)</f>
        <v>0.33699999999999974</v>
      </c>
      <c r="R406" s="4">
        <f>ROUNDUP(MOD(360+P[[#This Row],[Moon]]-P[[#This Row],[Sun]],360)/12,4)</f>
        <v>4.1684999999999999</v>
      </c>
      <c r="S406" s="4">
        <f>ROUNDUP(MOD(P[[#This Row],[Sun]]+P[[#This Row],[Moon]],360)/13.333333333,2)</f>
        <v>2</v>
      </c>
      <c r="T406" s="4" t="str">
        <f>SIGN(W407-Panchanga!$W406)*INT(Panchanga!$W406/30+1)&amp;"Ma,"&amp;SIGN(X407-Panchanga!$X406)*INT(Panchanga!$X406/30+1)&amp;"Me,"&amp;SIGN(Y407-Panchanga!$Y406)*INT(Panchanga!$Y406/30+1)&amp;"J, "&amp;SIGN(Z407-Panchanga!$Z406)*INT(Panchanga!$Z406/30+1)&amp;"V,"&amp;SIGN(AA407-Panchanga!$AA406)*INT(Panchanga!$AA406/30+1)&amp;"S,"&amp;INT(Panchanga!$AB406/30+1)&amp;"R"</f>
        <v>3Ma,-12Me,2J, -12V,12S,12R</v>
      </c>
      <c r="U406" s="4">
        <f t="shared" si="52"/>
        <v>348.31641399031025</v>
      </c>
      <c r="V406" s="4">
        <f t="shared" si="53"/>
        <v>38.337769926415675</v>
      </c>
      <c r="W406" s="4">
        <f>Planet(Panchanga!$G406,4)</f>
        <v>89.728986911507661</v>
      </c>
      <c r="X406" s="4">
        <f>Planet(Panchanga!$G406,2)</f>
        <v>333.97973787881205</v>
      </c>
      <c r="Y406" s="4">
        <f>Planet(Panchanga!$G406,5)</f>
        <v>51.9278351543132</v>
      </c>
      <c r="Z406" s="4">
        <f>Planet(Panchanga!$G406,3)</f>
        <v>332.85723143353067</v>
      </c>
      <c r="AA406" s="4">
        <f>Planet(Panchanga!$G406,6)</f>
        <v>330.40246697393945</v>
      </c>
      <c r="AB406" s="4">
        <f>Planet(Panchanga!$G406,10)</f>
        <v>332.46738842910781</v>
      </c>
      <c r="AC406" s="4" t="str">
        <f>TEXT(Panchanga!$C406+($C407-Panchanga!$C406)/ABS(IF($R407&lt;1,$R407+30,$R407)-Panchanga!$R406)*(ROUNDUP(Panchanga!$R406,0)-Panchanga!$R406),"hh:mm AM/PM")</f>
        <v>11:54 PM</v>
      </c>
      <c r="AD406" s="4"/>
    </row>
    <row r="407" spans="1:30" x14ac:dyDescent="0.2">
      <c r="A407" s="3">
        <f t="shared" si="55"/>
        <v>45750</v>
      </c>
      <c r="B407" s="3">
        <f t="shared" si="50"/>
        <v>45750.229166666664</v>
      </c>
      <c r="C407" s="6">
        <f t="shared" si="51"/>
        <v>45750.253662531883</v>
      </c>
      <c r="D407" s="6">
        <f>sunset(Lat,Long,B407)+TimeZone/24-0.000277777777777778</f>
        <v>45749.764285874597</v>
      </c>
      <c r="E407" s="6">
        <f>PlanetRiseSet(Lat,Long,B407,1,1)+TimeZone/24+0.00103009259259259</f>
        <v>45750.421040912777</v>
      </c>
      <c r="F407" s="6">
        <f>PlanetRiseSet(Lat,Long,B407+1,1,2)+TimeZone/24+0.00103009259259259</f>
        <v>45750.985008186348</v>
      </c>
      <c r="G407" s="17">
        <f>Panchanga!$C407-TimeZone/24</f>
        <v>45750.024495865218</v>
      </c>
      <c r="H407" s="13" t="str">
        <f>INT(P[[#This Row],[Sun]]/30)&amp;"s"&amp;ROUNDUP(MOD(P[[#This Row],[Sun]],30),2)</f>
        <v>11s19.31</v>
      </c>
      <c r="I407" s="13" t="str">
        <f>INT(P[[#This Row],[Moon]]/30)&amp;"s"&amp;ROUNDUP(MOD(P[[#This Row],[Moon]],30),2)</f>
        <v>1s22.77</v>
      </c>
      <c r="J407" s="14">
        <f t="shared" si="54"/>
        <v>45750.024495865218</v>
      </c>
      <c r="K407" s="10" t="str">
        <f>naks(P[[#This Row],[Moon]])</f>
        <v>Rohini</v>
      </c>
      <c r="L407" s="15">
        <f>(C408-P[[#This Row],[SunRise]])/(MOD(360+V408-P[[#This Row],[Moon]],360))*(13.3333333333333-MOD(P[[#This Row],[Moon]],13.333333333333))+P[[#This Row],[SunRise]]</f>
        <v>45750.293922776065</v>
      </c>
      <c r="M407" s="4" t="str">
        <f>IF(Panchanga!$R407&gt;15,"K","S")&amp;ROUNDUP(MOD(Panchanga!$R407,15),0)&amp;" ("&amp;ROUND(Panchanga!$R407,2)&amp;")"</f>
        <v>S6 (5.29)</v>
      </c>
      <c r="N407" s="4">
        <f>IF(AND(Panchanga!$R407&lt;28.5,Panchanga!$R407&gt;0.49999),MOD((Panchanga!$R407-0.5)*2,7),MOD((Panchanga!$R407+30-28.5),30)*2+7)</f>
        <v>2.5777999999999999</v>
      </c>
      <c r="O407" s="4" t="str">
        <f>CHOOSE(ROUNDUP(Panchanga!$N407,0),"Bhava","Baalava","Kaulava","Taitula","Garija","Vanija","Vishti","Shakuni","Chatushapda","Naaga","Kimstugna")</f>
        <v>Kaulava</v>
      </c>
      <c r="P407" s="11" t="str">
        <f>CHOOSE(ROUNDUP(Panchanga!$S407,0),"viṣkambha","prīti","āyuṣmāna","saubhāgya","śobhana","atigaṇḍa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("&amp;Panchanga!$S407&amp;")"</f>
        <v>saubhāgya (3.16)</v>
      </c>
      <c r="Q407" s="4">
        <f>IF(AND(Panchanga!$R407&lt;28.5,Panchanga!$R407&gt;0.49999),MOD((Panchanga!$R407-0.5)*2,7),MOD((Panchanga!$R407+30-28.5),30)*2+7)</f>
        <v>2.5777999999999999</v>
      </c>
      <c r="R407" s="4">
        <f>ROUNDUP(MOD(360+P[[#This Row],[Moon]]-P[[#This Row],[Sun]],360)/12,4)</f>
        <v>5.2888999999999999</v>
      </c>
      <c r="S407" s="4">
        <f>ROUNDUP(MOD(P[[#This Row],[Sun]]+P[[#This Row],[Moon]],360)/13.333333333,2)</f>
        <v>3.1599999999999997</v>
      </c>
      <c r="T407" s="4" t="str">
        <f>SIGN(W408-Panchanga!$W407)*INT(Panchanga!$W407/30+1)&amp;"Ma,"&amp;SIGN(X408-Panchanga!$X407)*INT(Panchanga!$X407/30+1)&amp;"Me,"&amp;SIGN(Y408-Panchanga!$Y407)*INT(Panchanga!$Y407/30+1)&amp;"J, "&amp;SIGN(Z408-Panchanga!$Z407)*INT(Panchanga!$Z407/30+1)&amp;"V,"&amp;SIGN(AA408-Panchanga!$AA407)*INT(Panchanga!$AA407/30+1)&amp;"S,"&amp;INT(Panchanga!$AB407/30+1)&amp;"R"</f>
        <v>4Ma,-12Me,2J, -12V,12S,12R</v>
      </c>
      <c r="U407" s="4">
        <f t="shared" si="52"/>
        <v>349.30237753437331</v>
      </c>
      <c r="V407" s="4">
        <f t="shared" si="53"/>
        <v>52.768350121346764</v>
      </c>
      <c r="W407" s="4">
        <f>Planet(Panchanga!$G407,4)</f>
        <v>90.064830237731769</v>
      </c>
      <c r="X407" s="4">
        <f>Planet(Panchanga!$G407,2)</f>
        <v>333.52516292969591</v>
      </c>
      <c r="Y407" s="4">
        <f>Planet(Panchanga!$G407,5)</f>
        <v>52.085595341033773</v>
      </c>
      <c r="Z407" s="4">
        <f>Planet(Panchanga!$G407,3)</f>
        <v>332.44100113557681</v>
      </c>
      <c r="AA407" s="4">
        <f>Planet(Panchanga!$G407,6)</f>
        <v>330.52181436926054</v>
      </c>
      <c r="AB407" s="4">
        <f>Planet(Panchanga!$G407,10)</f>
        <v>332.41442096538145</v>
      </c>
      <c r="AC407" s="4" t="str">
        <f>TEXT(Panchanga!$C407+($C408-Panchanga!$C407)/ABS(IF($R408&lt;1,$R408+30,$R408)-Panchanga!$R407)*(ROUNDUP(Panchanga!$R407,0)-Panchanga!$R407),"hh:mm AM/PM")</f>
        <v>09:47 PM</v>
      </c>
      <c r="AD407" s="4"/>
    </row>
    <row r="408" spans="1:30" x14ac:dyDescent="0.2">
      <c r="A408" s="3">
        <f t="shared" si="55"/>
        <v>45751</v>
      </c>
      <c r="B408" s="3">
        <f t="shared" si="50"/>
        <v>45751.229166666664</v>
      </c>
      <c r="C408" s="6">
        <f t="shared" si="51"/>
        <v>45751.253201919761</v>
      </c>
      <c r="D408" s="6">
        <f>sunset(Lat,Long,B408)+TimeZone/24-0.000277777777777778</f>
        <v>45750.764342286668</v>
      </c>
      <c r="E408" s="6">
        <f>PlanetRiseSet(Lat,Long,B408,1,1)+TimeZone/24+0.00103009259259259</f>
        <v>45751.463576827351</v>
      </c>
      <c r="F408" s="6">
        <f>PlanetRiseSet(Lat,Long,B408+1,1,2)+TimeZone/24+0.00103009259259259</f>
        <v>45752.026528341848</v>
      </c>
      <c r="G408" s="17">
        <f>Panchanga!$C408-TimeZone/24</f>
        <v>45751.024035253096</v>
      </c>
      <c r="H408" s="13" t="str">
        <f>INT(P[[#This Row],[Sun]]/30)&amp;"s"&amp;ROUNDUP(MOD(P[[#This Row],[Sun]],30),2)</f>
        <v>11s20.29</v>
      </c>
      <c r="I408" s="13" t="str">
        <f>INT(P[[#This Row],[Moon]]/30)&amp;"s"&amp;ROUNDUP(MOD(P[[#This Row],[Moon]],30),2)</f>
        <v>2s6.8</v>
      </c>
      <c r="J408" s="14">
        <f t="shared" si="54"/>
        <v>45751.024035253096</v>
      </c>
      <c r="K408" s="10" t="str">
        <f>naks(P[[#This Row],[Moon]])</f>
        <v>Ardra</v>
      </c>
      <c r="L408" s="15">
        <f>(C409-P[[#This Row],[SunRise]])/(MOD(360+V409-P[[#This Row],[Moon]],360))*(13.3333333333333-MOD(P[[#This Row],[Moon]],13.333333333333))+P[[#This Row],[SunRise]]</f>
        <v>45752.223059489726</v>
      </c>
      <c r="M408" s="4" t="str">
        <f>IF(Panchanga!$R408&gt;15,"K","S")&amp;ROUNDUP(MOD(Panchanga!$R408,15),0)&amp;" ("&amp;ROUND(Panchanga!$R408,2)&amp;")"</f>
        <v>S7 (6.38)</v>
      </c>
      <c r="N408" s="4">
        <f>IF(AND(Panchanga!$R408&lt;28.5,Panchanga!$R408&gt;0.49999),MOD((Panchanga!$R408-0.5)*2,7),MOD((Panchanga!$R408+30-28.5),30)*2+7)</f>
        <v>4.7514000000000003</v>
      </c>
      <c r="O408" s="4" t="str">
        <f>CHOOSE(ROUNDUP(Panchanga!$N408,0),"Bhava","Baalava","Kaulava","Taitula","Garija","Vanija","Vishti","Shakuni","Chatushapda","Naaga","Kimstugna")</f>
        <v>Garija</v>
      </c>
      <c r="P408" s="11" t="str">
        <f>CHOOSE(ROUNDUP(Panchanga!$S408,0),"viṣkambha","prīti","āyuṣmāna","saubhāgya","śobhana","atigaṇḍa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("&amp;Panchanga!$S408&amp;")"</f>
        <v>śobhana (4.29)</v>
      </c>
      <c r="Q408" s="4">
        <f>IF(AND(Panchanga!$R408&lt;28.5,Panchanga!$R408&gt;0.49999),MOD((Panchanga!$R408-0.5)*2,7),MOD((Panchanga!$R408+30-28.5),30)*2+7)</f>
        <v>4.7514000000000003</v>
      </c>
      <c r="R408" s="4">
        <f>ROUNDUP(MOD(360+P[[#This Row],[Moon]]-P[[#This Row],[Sun]],360)/12,4)</f>
        <v>6.3757000000000001</v>
      </c>
      <c r="S408" s="4">
        <f>ROUNDUP(MOD(P[[#This Row],[Sun]]+P[[#This Row],[Moon]],360)/13.333333333,2)</f>
        <v>4.29</v>
      </c>
      <c r="T408" s="4" t="str">
        <f>SIGN(W409-Panchanga!$W408)*INT(Panchanga!$W408/30+1)&amp;"Ma,"&amp;SIGN(X409-Panchanga!$X408)*INT(Panchanga!$X408/30+1)&amp;"Me,"&amp;SIGN(Y409-Panchanga!$Y408)*INT(Panchanga!$Y408/30+1)&amp;"J, "&amp;SIGN(Z409-Panchanga!$Z408)*INT(Panchanga!$Z408/30+1)&amp;"V,"&amp;SIGN(AA409-Panchanga!$AA408)*INT(Panchanga!$AA408/30+1)&amp;"S,"&amp;INT(Panchanga!$AB408/30+1)&amp;"R"</f>
        <v>4Ma,-12Me,2J, -12V,12S,12R</v>
      </c>
      <c r="U408" s="4">
        <f t="shared" si="52"/>
        <v>350.28770013505613</v>
      </c>
      <c r="V408" s="4">
        <f t="shared" si="53"/>
        <v>66.79516454793719</v>
      </c>
      <c r="W408" s="4">
        <f>Planet(Panchanga!$G408,4)</f>
        <v>90.406457389579401</v>
      </c>
      <c r="X408" s="4">
        <f>Planet(Panchanga!$G408,2)</f>
        <v>333.16105703799963</v>
      </c>
      <c r="Y408" s="4">
        <f>Planet(Panchanga!$G408,5)</f>
        <v>52.2452452158646</v>
      </c>
      <c r="Z408" s="4">
        <f>Planet(Panchanga!$G408,3)</f>
        <v>332.0607036485884</v>
      </c>
      <c r="AA408" s="4">
        <f>Planet(Panchanga!$G408,6)</f>
        <v>330.64075853966551</v>
      </c>
      <c r="AB408" s="4">
        <f>Planet(Panchanga!$G408,10)</f>
        <v>332.36145338761469</v>
      </c>
      <c r="AC408" s="4" t="str">
        <f>TEXT(Panchanga!$C408+($C409-Panchanga!$C408)/ABS(IF($R409&lt;1,$R409+30,$R409)-Panchanga!$R408)*(ROUNDUP(Panchanga!$R408,0)-Panchanga!$R408),"hh:mm AM/PM")</f>
        <v>08:18 PM</v>
      </c>
      <c r="AD408" s="4"/>
    </row>
    <row r="409" spans="1:30" x14ac:dyDescent="0.2">
      <c r="A409" s="3">
        <f t="shared" si="55"/>
        <v>45752</v>
      </c>
      <c r="B409" s="3">
        <f t="shared" si="50"/>
        <v>45752.229166666664</v>
      </c>
      <c r="C409" s="6">
        <f t="shared" si="51"/>
        <v>45752.252743712314</v>
      </c>
      <c r="D409" s="6">
        <f>sunset(Lat,Long,B409)+TimeZone/24-0.000277777777777778</f>
        <v>45751.764399658467</v>
      </c>
      <c r="E409" s="6">
        <f>PlanetRiseSet(Lat,Long,B409,1,1)+TimeZone/24+0.00103009259259259</f>
        <v>45751.463576919552</v>
      </c>
      <c r="F409" s="6">
        <f>PlanetRiseSet(Lat,Long,B409+1,1,2)+TimeZone/24+0.00103009259259259</f>
        <v>45753.063906565927</v>
      </c>
      <c r="G409" s="17">
        <f>Panchanga!$C409-TimeZone/24</f>
        <v>45752.023577045649</v>
      </c>
      <c r="H409" s="13" t="str">
        <f>INT(P[[#This Row],[Sun]]/30)&amp;"s"&amp;ROUNDUP(MOD(P[[#This Row],[Sun]],30),2)</f>
        <v>11s21.28</v>
      </c>
      <c r="I409" s="13" t="str">
        <f>INT(P[[#This Row],[Moon]]/30)&amp;"s"&amp;ROUNDUP(MOD(P[[#This Row],[Moon]],30),2)</f>
        <v>2s20.41</v>
      </c>
      <c r="J409" s="14">
        <f t="shared" si="54"/>
        <v>45752.023577045649</v>
      </c>
      <c r="K409" s="10" t="str">
        <f>naks(P[[#This Row],[Moon]])</f>
        <v>Punarvasu</v>
      </c>
      <c r="L409" s="15">
        <f>(C410-P[[#This Row],[SunRise]])/(MOD(360+V410-P[[#This Row],[Moon]],360))*(13.3333333333333-MOD(P[[#This Row],[Moon]],13.333333333333))+P[[#This Row],[SunRise]]</f>
        <v>45753.230966496398</v>
      </c>
      <c r="M409" s="4" t="str">
        <f>IF(Panchanga!$R409&gt;15,"K","S")&amp;ROUNDUP(MOD(Panchanga!$R409,15),0)&amp;" ("&amp;ROUND(Panchanga!$R409,2)&amp;")"</f>
        <v>S8 (7.43)</v>
      </c>
      <c r="N409" s="4">
        <f>IF(AND(Panchanga!$R409&lt;28.5,Panchanga!$R409&gt;0.49999),MOD((Panchanga!$R409-0.5)*2,7),MOD((Panchanga!$R409+30-28.5),30)*2+7)</f>
        <v>6.8553999999999995</v>
      </c>
      <c r="O409" s="4" t="str">
        <f>CHOOSE(ROUNDUP(Panchanga!$N409,0),"Bhava","Baalava","Kaulava","Taitula","Garija","Vanija","Vishti","Shakuni","Chatushapda","Naaga","Kimstugna")</f>
        <v>Vishti</v>
      </c>
      <c r="P409" s="11" t="str">
        <f>CHOOSE(ROUNDUP(Panchanga!$S409,0),"viṣkambha","prīti","āyuṣmāna","saubhāgya","śobhana","atigaṇḍa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("&amp;Panchanga!$S409&amp;")"</f>
        <v>atigaṇḍa  (5.38)</v>
      </c>
      <c r="Q409" s="4">
        <f>IF(AND(Panchanga!$R409&lt;28.5,Panchanga!$R409&gt;0.49999),MOD((Panchanga!$R409-0.5)*2,7),MOD((Panchanga!$R409+30-28.5),30)*2+7)</f>
        <v>6.8553999999999995</v>
      </c>
      <c r="R409" s="4">
        <f>ROUNDUP(MOD(360+P[[#This Row],[Moon]]-P[[#This Row],[Sun]],360)/12,4)</f>
        <v>7.4276999999999997</v>
      </c>
      <c r="S409" s="4">
        <f>ROUNDUP(MOD(P[[#This Row],[Sun]]+P[[#This Row],[Moon]],360)/13.333333333,2)</f>
        <v>5.38</v>
      </c>
      <c r="T409" s="4" t="str">
        <f>SIGN(W410-Panchanga!$W409)*INT(Panchanga!$W409/30+1)&amp;"Ma,"&amp;SIGN(X410-Panchanga!$X409)*INT(Panchanga!$X409/30+1)&amp;"Me,"&amp;SIGN(Y410-Panchanga!$Y409)*INT(Panchanga!$Y409/30+1)&amp;"J, "&amp;SIGN(Z410-Panchanga!$Z409)*INT(Panchanga!$Z409/30+1)&amp;"V,"&amp;SIGN(AA410-Panchanga!$AA409)*INT(Panchanga!$AA409/30+1)&amp;"S,"&amp;INT(Panchanga!$AB409/30+1)&amp;"R"</f>
        <v>4Ma,-12Me,2J, -12V,12S,12R</v>
      </c>
      <c r="U409" s="4">
        <f t="shared" si="52"/>
        <v>351.27237851301498</v>
      </c>
      <c r="V409" s="4">
        <f t="shared" si="53"/>
        <v>80.40415756589033</v>
      </c>
      <c r="W409" s="4">
        <f>Planet(Panchanga!$G409,4)</f>
        <v>90.753720698128234</v>
      </c>
      <c r="X409" s="4">
        <f>Planet(Panchanga!$G409,2)</f>
        <v>332.88942296307164</v>
      </c>
      <c r="Y409" s="4">
        <f>Planet(Panchanga!$G409,5)</f>
        <v>52.406750136277239</v>
      </c>
      <c r="Z409" s="4">
        <f>Planet(Panchanga!$G409,3)</f>
        <v>331.71785281902169</v>
      </c>
      <c r="AA409" s="4">
        <f>Planet(Panchanga!$G409,6)</f>
        <v>330.75928176694833</v>
      </c>
      <c r="AB409" s="4">
        <f>Planet(Panchanga!$G409,10)</f>
        <v>332.30848568248638</v>
      </c>
      <c r="AC409" s="4" t="str">
        <f>TEXT(Panchanga!$C409+($C410-Panchanga!$C409)/ABS(IF($R410&lt;1,$R410+30,$R410)-Panchanga!$R409)*(ROUNDUP(Panchanga!$R409,0)-Panchanga!$R409),"hh:mm AM/PM")</f>
        <v>07:32 PM</v>
      </c>
      <c r="AD409" s="4"/>
    </row>
    <row r="410" spans="1:30" x14ac:dyDescent="0.2">
      <c r="A410" s="3">
        <f t="shared" si="55"/>
        <v>45753</v>
      </c>
      <c r="B410" s="3">
        <f t="shared" si="50"/>
        <v>45753.229166666664</v>
      </c>
      <c r="C410" s="6">
        <f t="shared" si="51"/>
        <v>45753.25228816938</v>
      </c>
      <c r="D410" s="6">
        <f>sunset(Lat,Long,B410)+TimeZone/24-0.000277777777777778</f>
        <v>45752.76445814925</v>
      </c>
      <c r="E410" s="6">
        <f>PlanetRiseSet(Lat,Long,B410,1,1)+TimeZone/24+0.00103009259259259</f>
        <v>45752.505867583364</v>
      </c>
      <c r="F410" s="6">
        <f>PlanetRiseSet(Lat,Long,B410+1,1,2)+TimeZone/24+0.00103009259259259</f>
        <v>45754.096976039153</v>
      </c>
      <c r="G410" s="17">
        <f>Panchanga!$C410-TimeZone/24</f>
        <v>45753.023121502716</v>
      </c>
      <c r="H410" s="13" t="str">
        <f>INT(P[[#This Row],[Sun]]/30)&amp;"s"&amp;ROUNDUP(MOD(P[[#This Row],[Sun]],30),2)</f>
        <v>11s22.26</v>
      </c>
      <c r="I410" s="13" t="str">
        <f>INT(P[[#This Row],[Moon]]/30)&amp;"s"&amp;ROUNDUP(MOD(P[[#This Row],[Moon]],30),2)</f>
        <v>3s3.62</v>
      </c>
      <c r="J410" s="14">
        <f t="shared" si="54"/>
        <v>45753.023121502716</v>
      </c>
      <c r="K410" s="10" t="str">
        <f>naks(P[[#This Row],[Moon]])</f>
        <v>Pushya</v>
      </c>
      <c r="L410" s="15">
        <f>(C411-P[[#This Row],[SunRise]])/(MOD(360+V411-P[[#This Row],[Moon]],360))*(13.3333333333333-MOD(P[[#This Row],[Moon]],13.333333333333))+P[[#This Row],[SunRise]]</f>
        <v>45754.267089737812</v>
      </c>
      <c r="M410" s="4" t="str">
        <f>IF(Panchanga!$R410&gt;15,"K","S")&amp;ROUNDUP(MOD(Panchanga!$R410,15),0)&amp;" ("&amp;ROUND(Panchanga!$R410,2)&amp;")"</f>
        <v>S9 (8.45)</v>
      </c>
      <c r="N410" s="4">
        <f>IF(AND(Panchanga!$R410&lt;28.5,Panchanga!$R410&gt;0.49999),MOD((Panchanga!$R410-0.5)*2,7),MOD((Panchanga!$R410+30-28.5),30)*2+7)</f>
        <v>1.8932000000000002</v>
      </c>
      <c r="O410" s="4" t="str">
        <f>CHOOSE(ROUNDUP(Panchanga!$N410,0),"Bhava","Baalava","Kaulava","Taitula","Garija","Vanija","Vishti","Shakuni","Chatushapda","Naaga","Kimstugna")</f>
        <v>Baalava</v>
      </c>
      <c r="P410" s="11" t="str">
        <f>CHOOSE(ROUNDUP(Panchanga!$S410,0),"viṣkambha","prīti","āyuṣmāna","saubhāgya","śobhana","atigaṇḍa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("&amp;Panchanga!$S410&amp;")"</f>
        <v>sukarmā  (6.45)</v>
      </c>
      <c r="Q410" s="4">
        <f>IF(AND(Panchanga!$R410&lt;28.5,Panchanga!$R410&gt;0.49999),MOD((Panchanga!$R410-0.5)*2,7),MOD((Panchanga!$R410+30-28.5),30)*2+7)</f>
        <v>1.8932000000000002</v>
      </c>
      <c r="R410" s="4">
        <f>ROUNDUP(MOD(360+P[[#This Row],[Moon]]-P[[#This Row],[Sun]],360)/12,4)</f>
        <v>8.4466000000000001</v>
      </c>
      <c r="S410" s="4">
        <f>ROUNDUP(MOD(P[[#This Row],[Sun]]+P[[#This Row],[Moon]],360)/13.333333333,2)</f>
        <v>6.45</v>
      </c>
      <c r="T410" s="4" t="str">
        <f>SIGN(W411-Panchanga!$W410)*INT(Panchanga!$W410/30+1)&amp;"Ma,"&amp;SIGN(X411-Panchanga!$X410)*INT(Panchanga!$X410/30+1)&amp;"Me,"&amp;SIGN(Y411-Panchanga!$Y410)*INT(Panchanga!$Y410/30+1)&amp;"J, "&amp;SIGN(Z411-Panchanga!$Z410)*INT(Panchanga!$Z410/30+1)&amp;"V,"&amp;SIGN(AA411-Panchanga!$AA410)*INT(Panchanga!$AA410/30+1)&amp;"S,"&amp;INT(Panchanga!$AB410/30+1)&amp;"R"</f>
        <v>4Ma,-12Me,2J, -12V,12S,12R</v>
      </c>
      <c r="U410" s="4">
        <f t="shared" si="52"/>
        <v>352.25641389562151</v>
      </c>
      <c r="V410" s="4">
        <f t="shared" si="53"/>
        <v>93.615141999174739</v>
      </c>
      <c r="W410" s="4">
        <f>Planet(Panchanga!$G410,4)</f>
        <v>91.106476039127358</v>
      </c>
      <c r="X410" s="4">
        <f>Planet(Panchanga!$G410,2)</f>
        <v>332.71088520085283</v>
      </c>
      <c r="Y410" s="4">
        <f>Planet(Panchanga!$G410,5)</f>
        <v>52.570076250286213</v>
      </c>
      <c r="Z410" s="4">
        <f>Planet(Panchanga!$G410,3)</f>
        <v>331.41367092174016</v>
      </c>
      <c r="AA410" s="4">
        <f>Planet(Panchanga!$G410,6)</f>
        <v>330.8773668597405</v>
      </c>
      <c r="AB410" s="4">
        <f>Planet(Panchanga!$G410,10)</f>
        <v>332.25551783612826</v>
      </c>
      <c r="AC410" s="4" t="str">
        <f>TEXT(Panchanga!$C410+($C411-Panchanga!$C410)/ABS(IF($R411&lt;1,$R411+30,$R411)-Panchanga!$R410)*(ROUNDUP(Panchanga!$R410,0)-Panchanga!$R410),"hh:mm AM/PM")</f>
        <v>07:28 PM</v>
      </c>
      <c r="AD410" s="4"/>
    </row>
    <row r="411" spans="1:30" x14ac:dyDescent="0.2">
      <c r="A411" s="3">
        <f t="shared" si="55"/>
        <v>45754</v>
      </c>
      <c r="B411" s="3">
        <f t="shared" si="50"/>
        <v>45754.229166666664</v>
      </c>
      <c r="C411" s="6">
        <f t="shared" si="51"/>
        <v>45754.251835557785</v>
      </c>
      <c r="D411" s="6">
        <f>sunset(Lat,Long,B411)+TimeZone/24-0.000277777777777778</f>
        <v>45753.764517927586</v>
      </c>
      <c r="E411" s="6">
        <f>PlanetRiseSet(Lat,Long,B411,1,1)+TimeZone/24+0.00103009259259259</f>
        <v>45753.546387296788</v>
      </c>
      <c r="F411" s="6">
        <f>PlanetRiseSet(Lat,Long,B411+1,1,2)+TimeZone/24+0.00103009259259259</f>
        <v>45755.126295050759</v>
      </c>
      <c r="G411" s="17">
        <f>Panchanga!$C411-TimeZone/24</f>
        <v>45754.022668891121</v>
      </c>
      <c r="H411" s="13" t="str">
        <f>INT(P[[#This Row],[Sun]]/30)&amp;"s"&amp;ROUNDUP(MOD(P[[#This Row],[Sun]],30),2)</f>
        <v>11s23.24</v>
      </c>
      <c r="I411" s="13" t="str">
        <f>INT(P[[#This Row],[Moon]]/30)&amp;"s"&amp;ROUNDUP(MOD(P[[#This Row],[Moon]],30),2)</f>
        <v>3s16.48</v>
      </c>
      <c r="J411" s="14">
        <f t="shared" si="54"/>
        <v>45754.022668891121</v>
      </c>
      <c r="K411" s="10" t="str">
        <f>naks(P[[#This Row],[Moon]])</f>
        <v>Pushya</v>
      </c>
      <c r="L411" s="15">
        <f>(C412-P[[#This Row],[SunRise]])/(MOD(360+V412-P[[#This Row],[Moon]],360))*(13.3333333333333-MOD(P[[#This Row],[Moon]],13.333333333333))+P[[#This Row],[SunRise]]</f>
        <v>45754.267455981426</v>
      </c>
      <c r="M411" s="4" t="str">
        <f>IF(Panchanga!$R411&gt;15,"K","S")&amp;ROUNDUP(MOD(Panchanga!$R411,15),0)&amp;" ("&amp;ROUND(Panchanga!$R411,2)&amp;")"</f>
        <v>S10 (9.44)</v>
      </c>
      <c r="N411" s="4">
        <f>IF(AND(Panchanga!$R411&lt;28.5,Panchanga!$R411&gt;0.49999),MOD((Panchanga!$R411-0.5)*2,7),MOD((Panchanga!$R411+30-28.5),30)*2+7)</f>
        <v>3.8718000000000004</v>
      </c>
      <c r="O411" s="4" t="str">
        <f>CHOOSE(ROUNDUP(Panchanga!$N411,0),"Bhava","Baalava","Kaulava","Taitula","Garija","Vanija","Vishti","Shakuni","Chatushapda","Naaga","Kimstugna")</f>
        <v>Taitula</v>
      </c>
      <c r="P411" s="11" t="str">
        <f>CHOOSE(ROUNDUP(Panchanga!$S411,0),"viṣkambha","prīti","āyuṣmāna","saubhāgya","śobhana","atigaṇḍa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("&amp;Panchanga!$S411&amp;")"</f>
        <v>dhṛti  (7.48)</v>
      </c>
      <c r="Q411" s="4">
        <f>IF(AND(Panchanga!$R411&lt;28.5,Panchanga!$R411&gt;0.49999),MOD((Panchanga!$R411-0.5)*2,7),MOD((Panchanga!$R411+30-28.5),30)*2+7)</f>
        <v>3.8718000000000004</v>
      </c>
      <c r="R411" s="4">
        <f>ROUNDUP(MOD(360+P[[#This Row],[Moon]]-P[[#This Row],[Sun]],360)/12,4)</f>
        <v>9.4359000000000002</v>
      </c>
      <c r="S411" s="4">
        <f>ROUNDUP(MOD(P[[#This Row],[Sun]]+P[[#This Row],[Moon]],360)/13.333333333,2)</f>
        <v>7.4799999999999995</v>
      </c>
      <c r="T411" s="4" t="str">
        <f>SIGN(W412-Panchanga!$W411)*INT(Panchanga!$W411/30+1)&amp;"Ma,"&amp;SIGN(X412-Panchanga!$X411)*INT(Panchanga!$X411/30+1)&amp;"Me,"&amp;SIGN(Y412-Panchanga!$Y411)*INT(Panchanga!$Y411/30+1)&amp;"J, "&amp;SIGN(Z412-Panchanga!$Z411)*INT(Panchanga!$Z411/30+1)&amp;"V,"&amp;SIGN(AA412-Panchanga!$AA411)*INT(Panchanga!$AA411/30+1)&amp;"S,"&amp;INT(Panchanga!$AB411/30+1)&amp;"R"</f>
        <v>4Ma,12Me,2J, -12V,12S,12R</v>
      </c>
      <c r="U411" s="4">
        <f t="shared" si="52"/>
        <v>353.23981128550906</v>
      </c>
      <c r="V411" s="4">
        <f t="shared" si="53"/>
        <v>106.47048022678051</v>
      </c>
      <c r="W411" s="4">
        <f>Planet(Panchanga!$G411,4)</f>
        <v>91.46458373775539</v>
      </c>
      <c r="X411" s="4">
        <f>Planet(Panchanga!$G411,2)</f>
        <v>332.62492806858222</v>
      </c>
      <c r="Y411" s="4">
        <f>Planet(Panchanga!$G411,5)</f>
        <v>52.735190600510457</v>
      </c>
      <c r="Z411" s="4">
        <f>Planet(Panchanga!$G411,3)</f>
        <v>331.14909830143415</v>
      </c>
      <c r="AA411" s="4">
        <f>Planet(Panchanga!$G411,6)</f>
        <v>330.99499703933651</v>
      </c>
      <c r="AB411" s="4">
        <f>Planet(Panchanga!$G411,10)</f>
        <v>332.20254983445693</v>
      </c>
      <c r="AC411" s="4" t="str">
        <f>TEXT(Panchanga!$C411+($C412-Panchanga!$C411)/ABS(IF($R412&lt;1,$R412+30,$R412)-Panchanga!$R411)*(ROUNDUP(Panchanga!$R411,0)-Panchanga!$R411),"hh:mm AM/PM")</f>
        <v>08:04 PM</v>
      </c>
      <c r="AD411" s="4"/>
    </row>
    <row r="412" spans="1:30" x14ac:dyDescent="0.2">
      <c r="A412" s="3">
        <f t="shared" si="55"/>
        <v>45755</v>
      </c>
      <c r="B412" s="3">
        <f t="shared" si="50"/>
        <v>45755.229166666664</v>
      </c>
      <c r="C412" s="6">
        <f t="shared" si="51"/>
        <v>45755.251386146214</v>
      </c>
      <c r="D412" s="6">
        <f>sunset(Lat,Long,B412)+TimeZone/24-0.000277777777777778</f>
        <v>45754.764579167168</v>
      </c>
      <c r="E412" s="6">
        <f>PlanetRiseSet(Lat,Long,B412,1,1)+TimeZone/24+0.00103009259259259</f>
        <v>45754.584375877086</v>
      </c>
      <c r="F412" s="6">
        <f>PlanetRiseSet(Lat,Long,B412+1,1,2)+TimeZone/24+0.00103009259259259</f>
        <v>45756.152741020698</v>
      </c>
      <c r="G412" s="17">
        <f>Panchanga!$C412-TimeZone/24</f>
        <v>45755.02221947955</v>
      </c>
      <c r="H412" s="13" t="str">
        <f>INT(P[[#This Row],[Sun]]/30)&amp;"s"&amp;ROUNDUP(MOD(P[[#This Row],[Sun]],30),2)</f>
        <v>11s24.23</v>
      </c>
      <c r="I412" s="13" t="str">
        <f>INT(P[[#This Row],[Moon]]/30)&amp;"s"&amp;ROUNDUP(MOD(P[[#This Row],[Moon]],30),2)</f>
        <v>3s29.03</v>
      </c>
      <c r="J412" s="14">
        <f t="shared" si="54"/>
        <v>45755.02221947955</v>
      </c>
      <c r="K412" s="10" t="str">
        <f>naks(P[[#This Row],[Moon]])</f>
        <v>Aslesha</v>
      </c>
      <c r="L412" s="15">
        <f>(C413-P[[#This Row],[SunRise]])/(MOD(360+V413-P[[#This Row],[Moon]],360))*(13.3333333333333-MOD(P[[#This Row],[Moon]],13.333333333333))+P[[#This Row],[SunRise]]</f>
        <v>45755.330596542459</v>
      </c>
      <c r="M412" s="4" t="str">
        <f>IF(Panchanga!$R412&gt;15,"K","S")&amp;ROUNDUP(MOD(Panchanga!$R412,15),0)&amp;" ("&amp;ROUND(Panchanga!$R412,2)&amp;")"</f>
        <v>S11 (10.4)</v>
      </c>
      <c r="N412" s="4">
        <f>IF(AND(Panchanga!$R412&lt;28.5,Panchanga!$R412&gt;0.49999),MOD((Panchanga!$R412-0.5)*2,7),MOD((Panchanga!$R412+30-28.5),30)*2+7)</f>
        <v>5.8003999999999998</v>
      </c>
      <c r="O412" s="4" t="str">
        <f>CHOOSE(ROUNDUP(Panchanga!$N412,0),"Bhava","Baalava","Kaulava","Taitula","Garija","Vanija","Vishti","Shakuni","Chatushapda","Naaga","Kimstugna")</f>
        <v>Vanija</v>
      </c>
      <c r="P412" s="11" t="str">
        <f>CHOOSE(ROUNDUP(Panchanga!$S412,0),"viṣkambha","prīti","āyuṣmāna","saubhāgya","śobhana","atigaṇḍa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("&amp;Panchanga!$S412&amp;")"</f>
        <v>śūla  (8.5)</v>
      </c>
      <c r="Q412" s="4">
        <f>IF(AND(Panchanga!$R412&lt;28.5,Panchanga!$R412&gt;0.49999),MOD((Panchanga!$R412-0.5)*2,7),MOD((Panchanga!$R412+30-28.5),30)*2+7)</f>
        <v>5.8003999999999998</v>
      </c>
      <c r="R412" s="4">
        <f>ROUNDUP(MOD(360+P[[#This Row],[Moon]]-P[[#This Row],[Sun]],360)/12,4)</f>
        <v>10.4002</v>
      </c>
      <c r="S412" s="4">
        <f>ROUNDUP(MOD(P[[#This Row],[Sun]]+P[[#This Row],[Moon]],360)/13.333333333,2)</f>
        <v>8.5</v>
      </c>
      <c r="T412" s="4" t="str">
        <f>SIGN(W413-Panchanga!$W412)*INT(Panchanga!$W412/30+1)&amp;"Ma,"&amp;SIGN(X413-Panchanga!$X412)*INT(Panchanga!$X412/30+1)&amp;"Me,"&amp;SIGN(Y413-Panchanga!$Y412)*INT(Panchanga!$Y412/30+1)&amp;"J, "&amp;SIGN(Z413-Panchanga!$Z412)*INT(Panchanga!$Z412/30+1)&amp;"V,"&amp;SIGN(AA413-Panchanga!$AA412)*INT(Panchanga!$AA412/30+1)&amp;"S,"&amp;INT(Panchanga!$AB412/30+1)&amp;"R"</f>
        <v>4Ma,12Me,2J, -12V,12S,12R</v>
      </c>
      <c r="U412" s="4">
        <f t="shared" si="52"/>
        <v>354.2225787812809</v>
      </c>
      <c r="V412" s="4">
        <f t="shared" si="53"/>
        <v>119.02444648961489</v>
      </c>
      <c r="W412" s="4">
        <f>Planet(Panchanga!$G412,4)</f>
        <v>91.827909120634757</v>
      </c>
      <c r="X412" s="4">
        <f>Planet(Panchanga!$G412,2)</f>
        <v>332.63012331111133</v>
      </c>
      <c r="Y412" s="4">
        <f>Planet(Panchanga!$G412,5)</f>
        <v>52.902061165215855</v>
      </c>
      <c r="Z412" s="4">
        <f>Planet(Panchanga!$G412,3)</f>
        <v>330.92480702763771</v>
      </c>
      <c r="AA412" s="4">
        <f>Planet(Panchanga!$G412,6)</f>
        <v>331.11215584748209</v>
      </c>
      <c r="AB412" s="4">
        <f>Planet(Panchanga!$G412,10)</f>
        <v>332.14958166318991</v>
      </c>
      <c r="AC412" s="4" t="str">
        <f>TEXT(Panchanga!$C412+($C413-Panchanga!$C412)/ABS(IF($R413&lt;1,$R413+30,$R413)-Panchanga!$R412)*(ROUNDUP(Panchanga!$R412,0)-Panchanga!$R412),"hh:mm AM/PM")</f>
        <v>09:16 PM</v>
      </c>
      <c r="AD412" s="4"/>
    </row>
    <row r="413" spans="1:30" x14ac:dyDescent="0.2">
      <c r="A413" s="3">
        <f t="shared" si="55"/>
        <v>45756</v>
      </c>
      <c r="B413" s="3">
        <f t="shared" si="50"/>
        <v>45756.229166666664</v>
      </c>
      <c r="C413" s="6">
        <f t="shared" si="51"/>
        <v>45756.250940206613</v>
      </c>
      <c r="D413" s="6">
        <f>sunset(Lat,Long,B413)+TimeZone/24-0.000277777777777778</f>
        <v>45755.764642046342</v>
      </c>
      <c r="E413" s="6">
        <f>PlanetRiseSet(Lat,Long,B413,1,1)+TimeZone/24+0.00103009259259259</f>
        <v>45755.61982354537</v>
      </c>
      <c r="F413" s="6">
        <f>PlanetRiseSet(Lat,Long,B413+1,1,2)+TimeZone/24+0.00103009259259259</f>
        <v>45757.17724526782</v>
      </c>
      <c r="G413" s="17">
        <f>Panchanga!$C413-TimeZone/24</f>
        <v>45756.021773539949</v>
      </c>
      <c r="H413" s="13" t="str">
        <f>INT(P[[#This Row],[Sun]]/30)&amp;"s"&amp;ROUNDUP(MOD(P[[#This Row],[Sun]],30),2)</f>
        <v>11s25.21</v>
      </c>
      <c r="I413" s="13" t="str">
        <f>INT(P[[#This Row],[Moon]]/30)&amp;"s"&amp;ROUNDUP(MOD(P[[#This Row],[Moon]],30),2)</f>
        <v>4s11.34</v>
      </c>
      <c r="J413" s="14">
        <f t="shared" si="54"/>
        <v>45756.021773539949</v>
      </c>
      <c r="K413" s="10" t="str">
        <f>naks(P[[#This Row],[Moon]])</f>
        <v>Makha</v>
      </c>
      <c r="L413" s="15">
        <f>(C414-P[[#This Row],[SunRise]])/(MOD(360+V414-P[[#This Row],[Moon]],360))*(13.3333333333333-MOD(P[[#This Row],[Moon]],13.333333333333))+P[[#This Row],[SunRise]]</f>
        <v>45756.415712298731</v>
      </c>
      <c r="M413" s="4" t="str">
        <f>IF(Panchanga!$R413&gt;15,"K","S")&amp;ROUNDUP(MOD(Panchanga!$R413,15),0)&amp;" ("&amp;ROUND(Panchanga!$R413,2)&amp;")"</f>
        <v>S12 (11.34)</v>
      </c>
      <c r="N413" s="4">
        <f>IF(AND(Panchanga!$R413&lt;28.5,Panchanga!$R413&gt;0.49999),MOD((Panchanga!$R413-0.5)*2,7),MOD((Panchanga!$R413+30-28.5),30)*2+7)</f>
        <v>0.6883999999999979</v>
      </c>
      <c r="O413" s="4" t="str">
        <f>CHOOSE(ROUNDUP(Panchanga!$N413,0),"Bhava","Baalava","Kaulava","Taitula","Garija","Vanija","Vishti","Shakuni","Chatushapda","Naaga","Kimstugna")</f>
        <v>Bhava</v>
      </c>
      <c r="P413" s="11" t="str">
        <f>CHOOSE(ROUNDUP(Panchanga!$S413,0),"viṣkambha","prīti","āyuṣmāna","saubhāgya","śobhana","atigaṇḍa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("&amp;Panchanga!$S413&amp;")"</f>
        <v>gaṇḍa  (9.5)</v>
      </c>
      <c r="Q413" s="4">
        <f>IF(AND(Panchanga!$R413&lt;28.5,Panchanga!$R413&gt;0.49999),MOD((Panchanga!$R413-0.5)*2,7),MOD((Panchanga!$R413+30-28.5),30)*2+7)</f>
        <v>0.6883999999999979</v>
      </c>
      <c r="R413" s="4">
        <f>ROUNDUP(MOD(360+P[[#This Row],[Moon]]-P[[#This Row],[Sun]],360)/12,4)</f>
        <v>11.344199999999999</v>
      </c>
      <c r="S413" s="4">
        <f>ROUNDUP(MOD(P[[#This Row],[Sun]]+P[[#This Row],[Moon]],360)/13.333333333,2)</f>
        <v>9.5</v>
      </c>
      <c r="T413" s="4" t="str">
        <f>SIGN(W414-Panchanga!$W413)*INT(Panchanga!$W413/30+1)&amp;"Ma,"&amp;SIGN(X414-Panchanga!$X413)*INT(Panchanga!$X413/30+1)&amp;"Me,"&amp;SIGN(Y414-Panchanga!$Y413)*INT(Panchanga!$Y413/30+1)&amp;"J, "&amp;SIGN(Z414-Panchanga!$Z413)*INT(Panchanga!$Z413/30+1)&amp;"V,"&amp;SIGN(AA414-Panchanga!$AA413)*INT(Panchanga!$AA413/30+1)&amp;"S,"&amp;INT(Panchanga!$AB413/30+1)&amp;"R"</f>
        <v>4Ma,12Me,2J, -12V,12S,12R</v>
      </c>
      <c r="U413" s="4">
        <f t="shared" si="52"/>
        <v>355.20472697784999</v>
      </c>
      <c r="V413" s="4">
        <f t="shared" si="53"/>
        <v>131.3349324701025</v>
      </c>
      <c r="W413" s="4">
        <f>Planet(Panchanga!$G413,4)</f>
        <v>92.196322832788425</v>
      </c>
      <c r="X413" s="4">
        <f>Planet(Panchanga!$G413,2)</f>
        <v>332.72433847752342</v>
      </c>
      <c r="Y413" s="4">
        <f>Planet(Panchanga!$G413,5)</f>
        <v>53.070656860396483</v>
      </c>
      <c r="Z413" s="4">
        <f>Planet(Panchanga!$G413,3)</f>
        <v>330.74121772926731</v>
      </c>
      <c r="AA413" s="4">
        <f>Planet(Panchanga!$G413,6)</f>
        <v>331.22882705432636</v>
      </c>
      <c r="AB413" s="4">
        <f>Planet(Panchanga!$G413,10)</f>
        <v>332.09661330796223</v>
      </c>
      <c r="AC413" s="4" t="str">
        <f>TEXT(Panchanga!$C413+($C414-Panchanga!$C413)/ABS(IF($R414&lt;1,$R414+30,$R414)-Panchanga!$R413)*(ROUNDUP(Panchanga!$R413,0)-Panchanga!$R413),"hh:mm AM/PM")</f>
        <v>10:57 PM</v>
      </c>
      <c r="AD413" s="4"/>
    </row>
    <row r="414" spans="1:30" x14ac:dyDescent="0.2">
      <c r="A414" s="3">
        <f t="shared" si="55"/>
        <v>45757</v>
      </c>
      <c r="B414" s="3">
        <f t="shared" si="50"/>
        <v>45757.229166666664</v>
      </c>
      <c r="C414" s="6">
        <f t="shared" si="51"/>
        <v>45757.250498011395</v>
      </c>
      <c r="D414" s="6">
        <f>sunset(Lat,Long,B414)+TimeZone/24-0.000277777777777778</f>
        <v>45756.764706746253</v>
      </c>
      <c r="E414" s="6">
        <f>PlanetRiseSet(Lat,Long,B414,1,1)+TimeZone/24+0.00103009259259259</f>
        <v>45756.653193390615</v>
      </c>
      <c r="F414" s="6">
        <f>PlanetRiseSet(Lat,Long,B414+1,1,2)+TimeZone/24+0.00103009259259259</f>
        <v>45758.200686487988</v>
      </c>
      <c r="G414" s="17">
        <f>Panchanga!$C414-TimeZone/24</f>
        <v>45757.021331344731</v>
      </c>
      <c r="H414" s="13" t="str">
        <f>INT(P[[#This Row],[Sun]]/30)&amp;"s"&amp;ROUNDUP(MOD(P[[#This Row],[Sun]],30),2)</f>
        <v>11s26.19</v>
      </c>
      <c r="I414" s="13" t="str">
        <f>INT(P[[#This Row],[Moon]]/30)&amp;"s"&amp;ROUNDUP(MOD(P[[#This Row],[Moon]],30),2)</f>
        <v>4s23.46</v>
      </c>
      <c r="J414" s="14">
        <f t="shared" si="54"/>
        <v>45757.021331344731</v>
      </c>
      <c r="K414" s="10" t="str">
        <f>naks(P[[#This Row],[Moon]])</f>
        <v>Purva Phalguni</v>
      </c>
      <c r="L414" s="15">
        <f>(C415-P[[#This Row],[SunRise]])/(MOD(360+V415-P[[#This Row],[Moon]],360))*(13.3333333333333-MOD(P[[#This Row],[Moon]],13.333333333333))+P[[#This Row],[SunRise]]</f>
        <v>45757.518093768042</v>
      </c>
      <c r="M414" s="4" t="str">
        <f>IF(Panchanga!$R414&gt;15,"K","S")&amp;ROUNDUP(MOD(Panchanga!$R414,15),0)&amp;" ("&amp;ROUND(Panchanga!$R414,2)&amp;")"</f>
        <v>S13 (12.27)</v>
      </c>
      <c r="N414" s="4">
        <f>IF(AND(Panchanga!$R414&lt;28.5,Panchanga!$R414&gt;0.49999),MOD((Panchanga!$R414-0.5)*2,7),MOD((Panchanga!$R414+30-28.5),30)*2+7)</f>
        <v>2.5454000000000008</v>
      </c>
      <c r="O414" s="4" t="str">
        <f>CHOOSE(ROUNDUP(Panchanga!$N414,0),"Bhava","Baalava","Kaulava","Taitula","Garija","Vanija","Vishti","Shakuni","Chatushapda","Naaga","Kimstugna")</f>
        <v>Kaulava</v>
      </c>
      <c r="P414" s="11" t="str">
        <f>CHOOSE(ROUNDUP(Panchanga!$S414,0),"viṣkambha","prīti","āyuṣmāna","saubhāgya","śobhana","atigaṇḍa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("&amp;Panchanga!$S414&amp;")"</f>
        <v>vṛddhi  (10.48)</v>
      </c>
      <c r="Q414" s="4">
        <f>IF(AND(Panchanga!$R414&lt;28.5,Panchanga!$R414&gt;0.49999),MOD((Panchanga!$R414-0.5)*2,7),MOD((Panchanga!$R414+30-28.5),30)*2+7)</f>
        <v>2.5454000000000008</v>
      </c>
      <c r="R414" s="4">
        <f>ROUNDUP(MOD(360+P[[#This Row],[Moon]]-P[[#This Row],[Sun]],360)/12,4)</f>
        <v>12.2727</v>
      </c>
      <c r="S414" s="4">
        <f>ROUNDUP(MOD(P[[#This Row],[Sun]]+P[[#This Row],[Moon]],360)/13.333333333,2)</f>
        <v>10.48</v>
      </c>
      <c r="T414" s="4" t="str">
        <f>SIGN(W415-Panchanga!$W414)*INT(Panchanga!$W414/30+1)&amp;"Ma,"&amp;SIGN(X415-Panchanga!$X414)*INT(Panchanga!$X414/30+1)&amp;"Me,"&amp;SIGN(Y415-Panchanga!$Y414)*INT(Panchanga!$Y414/30+1)&amp;"J, "&amp;SIGN(Z415-Panchanga!$Z414)*INT(Panchanga!$Z414/30+1)&amp;"V,"&amp;SIGN(AA415-Panchanga!$AA414)*INT(Panchanga!$AA414/30+1)&amp;"S,"&amp;INT(Panchanga!$AB414/30+1)&amp;"R"</f>
        <v>4Ma,12Me,2J, -12V,12S,12R</v>
      </c>
      <c r="U414" s="4">
        <f t="shared" si="52"/>
        <v>356.18626841267314</v>
      </c>
      <c r="V414" s="4">
        <f t="shared" si="53"/>
        <v>143.45784208562338</v>
      </c>
      <c r="W414" s="4">
        <f>Planet(Panchanga!$G414,4)</f>
        <v>92.56970097534203</v>
      </c>
      <c r="X414" s="4">
        <f>Planet(Panchanga!$G414,2)</f>
        <v>332.90492110889056</v>
      </c>
      <c r="Y414" s="4">
        <f>Planet(Panchanga!$G414,5)</f>
        <v>53.240947513469649</v>
      </c>
      <c r="Z414" s="4">
        <f>Planet(Panchanga!$G414,3)</f>
        <v>330.59851871551245</v>
      </c>
      <c r="AA414" s="4">
        <f>Planet(Panchanga!$G414,6)</f>
        <v>331.34499458533264</v>
      </c>
      <c r="AB414" s="4">
        <f>Planet(Panchanga!$G414,10)</f>
        <v>332.04364475429281</v>
      </c>
      <c r="AC414" s="4" t="str">
        <f>TEXT(Panchanga!$C414+($C415-Panchanga!$C414)/ABS(IF($R415&lt;1,$R415+30,$R415)-Panchanga!$R414)*(ROUNDUP(Panchanga!$R414,0)-Panchanga!$R414),"hh:mm AM/PM")</f>
        <v>01:02 AM</v>
      </c>
      <c r="AD414" s="4"/>
    </row>
    <row r="415" spans="1:30" x14ac:dyDescent="0.2">
      <c r="A415" s="3">
        <f t="shared" si="55"/>
        <v>45758</v>
      </c>
      <c r="B415" s="3">
        <f t="shared" si="50"/>
        <v>45758.229166666664</v>
      </c>
      <c r="C415" s="6">
        <f t="shared" si="51"/>
        <v>45758.250059834369</v>
      </c>
      <c r="D415" s="6">
        <f>sunset(Lat,Long,B415)+TimeZone/24-0.000277777777777778</f>
        <v>45757.764773448042</v>
      </c>
      <c r="E415" s="6">
        <f>PlanetRiseSet(Lat,Long,B415,1,1)+TimeZone/24+0.00103009259259259</f>
        <v>45757.685160821457</v>
      </c>
      <c r="F415" s="6">
        <f>PlanetRiseSet(Lat,Long,B415+1,1,2)+TimeZone/24+0.00103009259259259</f>
        <v>45759.223875115313</v>
      </c>
      <c r="G415" s="17">
        <f>Panchanga!$C415-TimeZone/24</f>
        <v>45758.020893167704</v>
      </c>
      <c r="H415" s="13" t="str">
        <f>INT(P[[#This Row],[Sun]]/30)&amp;"s"&amp;ROUNDUP(MOD(P[[#This Row],[Sun]],30),2)</f>
        <v>11s27.17</v>
      </c>
      <c r="I415" s="13" t="str">
        <f>INT(P[[#This Row],[Moon]]/30)&amp;"s"&amp;ROUNDUP(MOD(P[[#This Row],[Moon]],30),2)</f>
        <v>5s5.45</v>
      </c>
      <c r="J415" s="14">
        <f t="shared" si="54"/>
        <v>45758.020893167704</v>
      </c>
      <c r="K415" s="10" t="str">
        <f>naks(P[[#This Row],[Moon]])</f>
        <v>Uttara Phalguni</v>
      </c>
      <c r="L415" s="15">
        <f>(C416-P[[#This Row],[SunRise]])/(MOD(360+V416-P[[#This Row],[Moon]],360))*(13.3333333333333-MOD(P[[#This Row],[Moon]],13.333333333333))+P[[#This Row],[SunRise]]</f>
        <v>45758.6329656171</v>
      </c>
      <c r="M415" s="4" t="str">
        <f>IF(Panchanga!$R415&gt;15,"K","S")&amp;ROUNDUP(MOD(Panchanga!$R415,15),0)&amp;" ("&amp;ROUND(Panchanga!$R415,2)&amp;")"</f>
        <v>S14 (13.19)</v>
      </c>
      <c r="N415" s="4">
        <f>IF(AND(Panchanga!$R415&lt;28.5,Panchanga!$R415&gt;0.49999),MOD((Panchanga!$R415-0.5)*2,7),MOD((Panchanga!$R415+30-28.5),30)*2+7)</f>
        <v>4.3795999999999999</v>
      </c>
      <c r="O415" s="4" t="str">
        <f>CHOOSE(ROUNDUP(Panchanga!$N415,0),"Bhava","Baalava","Kaulava","Taitula","Garija","Vanija","Vishti","Shakuni","Chatushapda","Naaga","Kimstugna")</f>
        <v>Garija</v>
      </c>
      <c r="P415" s="11" t="str">
        <f>CHOOSE(ROUNDUP(Panchanga!$S415,0),"viṣkambha","prīti","āyuṣmāna","saubhāgya","śobhana","atigaṇḍa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("&amp;Panchanga!$S415&amp;")"</f>
        <v>dhruva  (11.45)</v>
      </c>
      <c r="Q415" s="4">
        <f>IF(AND(Panchanga!$R415&lt;28.5,Panchanga!$R415&gt;0.49999),MOD((Panchanga!$R415-0.5)*2,7),MOD((Panchanga!$R415+30-28.5),30)*2+7)</f>
        <v>4.3795999999999999</v>
      </c>
      <c r="R415" s="4">
        <f>ROUNDUP(MOD(360+P[[#This Row],[Moon]]-P[[#This Row],[Sun]],360)/12,4)</f>
        <v>13.1898</v>
      </c>
      <c r="S415" s="4">
        <f>ROUNDUP(MOD(P[[#This Row],[Sun]]+P[[#This Row],[Moon]],360)/13.333333333,2)</f>
        <v>11.45</v>
      </c>
      <c r="T415" s="4" t="str">
        <f>SIGN(W416-Panchanga!$W415)*INT(Panchanga!$W415/30+1)&amp;"Ma,"&amp;SIGN(X416-Panchanga!$X415)*INT(Panchanga!$X415/30+1)&amp;"Me,"&amp;SIGN(Y416-Panchanga!$Y415)*INT(Panchanga!$Y415/30+1)&amp;"J, "&amp;SIGN(Z416-Panchanga!$Z415)*INT(Panchanga!$Z415/30+1)&amp;"V,"&amp;SIGN(AA416-Panchanga!$AA415)*INT(Panchanga!$AA415/30+1)&amp;"S,"&amp;INT(Panchanga!$AB415/30+1)&amp;"R"</f>
        <v>4Ma,12Me,2J, -12V,12S,12R</v>
      </c>
      <c r="U415" s="4">
        <f t="shared" si="52"/>
        <v>357.1672170556713</v>
      </c>
      <c r="V415" s="4">
        <f t="shared" si="53"/>
        <v>155.44390116213251</v>
      </c>
      <c r="W415" s="4">
        <f>Planet(Panchanga!$G415,4)</f>
        <v>92.947925090668747</v>
      </c>
      <c r="X415" s="4">
        <f>Planet(Panchanga!$G415,2)</f>
        <v>333.16885680583812</v>
      </c>
      <c r="Y415" s="4">
        <f>Planet(Panchanga!$G415,5)</f>
        <v>53.412903810222957</v>
      </c>
      <c r="Z415" s="4">
        <f>Planet(Panchanga!$G415,3)</f>
        <v>330.49668664058038</v>
      </c>
      <c r="AA415" s="4">
        <f>Planet(Panchanga!$G415,6)</f>
        <v>331.46064245263284</v>
      </c>
      <c r="AB415" s="4">
        <f>Planet(Panchanga!$G415,10)</f>
        <v>331.990675987717</v>
      </c>
      <c r="AC415" s="4" t="str">
        <f>TEXT(Panchanga!$C415+($C416-Panchanga!$C415)/ABS(IF($R416&lt;1,$R416+30,$R416)-Panchanga!$R415)*(ROUNDUP(Panchanga!$R415,0)-Panchanga!$R415),"hh:mm AM/PM")</f>
        <v>03:22 AM</v>
      </c>
      <c r="AD415" s="4"/>
    </row>
    <row r="416" spans="1:30" x14ac:dyDescent="0.2">
      <c r="A416" s="3">
        <f t="shared" si="55"/>
        <v>45759</v>
      </c>
      <c r="B416" s="3">
        <f t="shared" si="50"/>
        <v>45759.229166666664</v>
      </c>
      <c r="C416" s="6">
        <f t="shared" si="51"/>
        <v>45759.249625947479</v>
      </c>
      <c r="D416" s="6">
        <f>sunset(Lat,Long,B416)+TimeZone/24-0.000277777777777778</f>
        <v>45758.764842332384</v>
      </c>
      <c r="E416" s="6">
        <f>PlanetRiseSet(Lat,Long,B416,1,1)+TimeZone/24+0.00103009259259259</f>
        <v>45758.716456984788</v>
      </c>
      <c r="F416" s="6">
        <f>PlanetRiseSet(Lat,Long,B416+1,1,2)+TimeZone/24+0.00103009259259259</f>
        <v>45760.247571372114</v>
      </c>
      <c r="G416" s="17">
        <f>Panchanga!$C416-TimeZone/24</f>
        <v>45759.020459280815</v>
      </c>
      <c r="H416" s="13" t="str">
        <f>INT(P[[#This Row],[Sun]]/30)&amp;"s"&amp;ROUNDUP(MOD(P[[#This Row],[Sun]],30),2)</f>
        <v>11s28.15</v>
      </c>
      <c r="I416" s="13" t="str">
        <f>INT(P[[#This Row],[Moon]]/30)&amp;"s"&amp;ROUNDUP(MOD(P[[#This Row],[Moon]],30),2)</f>
        <v>5s17.34</v>
      </c>
      <c r="J416" s="14">
        <f t="shared" si="54"/>
        <v>45759.020459280815</v>
      </c>
      <c r="K416" s="10" t="str">
        <f>naks(P[[#This Row],[Moon]])</f>
        <v>Hasta</v>
      </c>
      <c r="L416" s="15">
        <f>(C417-P[[#This Row],[SunRise]])/(MOD(360+V417-P[[#This Row],[Moon]],360))*(13.3333333333333-MOD(P[[#This Row],[Moon]],13.333333333333))+P[[#This Row],[SunRise]]</f>
        <v>45759.755830965732</v>
      </c>
      <c r="M416" s="4" t="str">
        <f>IF(Panchanga!$R416&gt;15,"K","S")&amp;ROUNDUP(MOD(Panchanga!$R416,15),0)&amp;" ("&amp;ROUND(Panchanga!$R416,2)&amp;")"</f>
        <v>S15 (14.1)</v>
      </c>
      <c r="N416" s="4">
        <f>IF(AND(Panchanga!$R416&lt;28.5,Panchanga!$R416&gt;0.49999),MOD((Panchanga!$R416-0.5)*2,7),MOD((Panchanga!$R416+30-28.5),30)*2+7)</f>
        <v>6.1983999999999995</v>
      </c>
      <c r="O416" s="4" t="str">
        <f>CHOOSE(ROUNDUP(Panchanga!$N416,0),"Bhava","Baalava","Kaulava","Taitula","Garija","Vanija","Vishti","Shakuni","Chatushapda","Naaga","Kimstugna")</f>
        <v>Vishti</v>
      </c>
      <c r="P416" s="11" t="str">
        <f>CHOOSE(ROUNDUP(Panchanga!$S416,0),"viṣkambha","prīti","āyuṣmāna","saubhāgya","śobhana","atigaṇḍa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("&amp;Panchanga!$S416&amp;")"</f>
        <v>vyāghāta (12.42)</v>
      </c>
      <c r="Q416" s="4">
        <f>IF(AND(Panchanga!$R416&lt;28.5,Panchanga!$R416&gt;0.49999),MOD((Panchanga!$R416-0.5)*2,7),MOD((Panchanga!$R416+30-28.5),30)*2+7)</f>
        <v>6.1983999999999995</v>
      </c>
      <c r="R416" s="4">
        <f>ROUNDUP(MOD(360+P[[#This Row],[Moon]]-P[[#This Row],[Sun]],360)/12,4)</f>
        <v>14.0992</v>
      </c>
      <c r="S416" s="4">
        <f>ROUNDUP(MOD(P[[#This Row],[Sun]]+P[[#This Row],[Moon]],360)/13.333333333,2)</f>
        <v>12.42</v>
      </c>
      <c r="T416" s="4" t="str">
        <f>SIGN(W417-Panchanga!$W416)*INT(Panchanga!$W416/30+1)&amp;"Ma,"&amp;SIGN(X417-Panchanga!$X416)*INT(Panchanga!$X416/30+1)&amp;"Me,"&amp;SIGN(Y417-Panchanga!$Y416)*INT(Panchanga!$Y416/30+1)&amp;"J, "&amp;SIGN(Z417-Panchanga!$Z416)*INT(Panchanga!$Z416/30+1)&amp;"V,"&amp;SIGN(AA417-Panchanga!$AA416)*INT(Panchanga!$AA416/30+1)&amp;"S,"&amp;INT(Panchanga!$AB416/30+1)&amp;"R"</f>
        <v>4Ma,12Me,2J, -12V,12S,12R</v>
      </c>
      <c r="U416" s="4">
        <f t="shared" si="52"/>
        <v>358.14758786865445</v>
      </c>
      <c r="V416" s="4">
        <f t="shared" si="53"/>
        <v>167.33748494105535</v>
      </c>
      <c r="W416" s="4">
        <f>Planet(Panchanga!$G416,4)</f>
        <v>93.330882031551539</v>
      </c>
      <c r="X416" s="4">
        <f>Planet(Panchanga!$G416,2)</f>
        <v>333.51290139676314</v>
      </c>
      <c r="Y416" s="4">
        <f>Planet(Panchanga!$G416,5)</f>
        <v>53.586497229335144</v>
      </c>
      <c r="Z416" s="4">
        <f>Planet(Panchanga!$G416,3)</f>
        <v>330.43550807676189</v>
      </c>
      <c r="AA416" s="4">
        <f>Planet(Panchanga!$G416,6)</f>
        <v>331.57575469693353</v>
      </c>
      <c r="AB416" s="4">
        <f>Planet(Panchanga!$G416,10)</f>
        <v>331.93770699378672</v>
      </c>
      <c r="AC416" s="4" t="str">
        <f>TEXT(Panchanga!$C416+($C417-Panchanga!$C416)/ABS(IF($R417&lt;1,$R417+30,$R417)-Panchanga!$R416)*(ROUNDUP(Panchanga!$R416,0)-Panchanga!$R416),"hh:mm AM/PM")</f>
        <v>05:52 AM</v>
      </c>
      <c r="AD416" s="4"/>
    </row>
    <row r="417" spans="1:30" x14ac:dyDescent="0.2">
      <c r="A417" s="3">
        <f t="shared" si="55"/>
        <v>45760</v>
      </c>
      <c r="B417" s="3">
        <f t="shared" si="50"/>
        <v>45760.229166666664</v>
      </c>
      <c r="C417" s="6">
        <f t="shared" si="51"/>
        <v>45760.249196622673</v>
      </c>
      <c r="D417" s="6">
        <f>sunset(Lat,Long,B417)+TimeZone/24-0.000277777777777778</f>
        <v>45759.764913577164</v>
      </c>
      <c r="E417" s="6">
        <f>PlanetRiseSet(Lat,Long,B417,1,1)+TimeZone/24+0.00103009259259259</f>
        <v>45759.747790833622</v>
      </c>
      <c r="F417" s="6">
        <f>PlanetRiseSet(Lat,Long,B417+1,1,2)+TimeZone/24+0.00103009259259259</f>
        <v>45761.272502484419</v>
      </c>
      <c r="G417" s="17">
        <f>Panchanga!$C417-TimeZone/24</f>
        <v>45760.020029956009</v>
      </c>
      <c r="H417" s="13" t="str">
        <f>INT(P[[#This Row],[Sun]]/30)&amp;"s"&amp;ROUNDUP(MOD(P[[#This Row],[Sun]],30),2)</f>
        <v>11s29.13</v>
      </c>
      <c r="I417" s="13" t="str">
        <f>INT(P[[#This Row],[Moon]]/30)&amp;"s"&amp;ROUNDUP(MOD(P[[#This Row],[Moon]],30),2)</f>
        <v>5s29.18</v>
      </c>
      <c r="J417" s="14">
        <f t="shared" si="54"/>
        <v>45760.020029956009</v>
      </c>
      <c r="K417" s="10" t="str">
        <f>naks(P[[#This Row],[Moon]])</f>
        <v>Chitra</v>
      </c>
      <c r="L417" s="15">
        <f>(C418-P[[#This Row],[SunRise]])/(MOD(360+V418-P[[#This Row],[Moon]],360))*(13.3333333333333-MOD(P[[#This Row],[Moon]],13.333333333333))+P[[#This Row],[SunRise]]</f>
        <v>45760.882559517951</v>
      </c>
      <c r="M417" s="4" t="str">
        <f>IF(Panchanga!$R417&gt;15,"K","S")&amp;ROUNDUP(MOD(Panchanga!$R417,15),0)&amp;" ("&amp;ROUND(Panchanga!$R417,2)&amp;")"</f>
        <v>K1 (15)</v>
      </c>
      <c r="N417" s="4">
        <f>IF(AND(Panchanga!$R417&lt;28.5,Panchanga!$R417&gt;0.49999),MOD((Panchanga!$R417-0.5)*2,7),MOD((Panchanga!$R417+30-28.5),30)*2+7)</f>
        <v>1.0083999999999982</v>
      </c>
      <c r="O417" s="4" t="str">
        <f>CHOOSE(ROUNDUP(Panchanga!$N417,0),"Bhava","Baalava","Kaulava","Taitula","Garija","Vanija","Vishti","Shakuni","Chatushapda","Naaga","Kimstugna")</f>
        <v>Baalava</v>
      </c>
      <c r="P417" s="11" t="str">
        <f>CHOOSE(ROUNDUP(Panchanga!$S417,0),"viṣkambha","prīti","āyuṣmāna","saubhāgya","śobhana","atigaṇḍa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("&amp;Panchanga!$S417&amp;")"</f>
        <v>harṣaṇa (13.38)</v>
      </c>
      <c r="Q417" s="4">
        <f>IF(AND(Panchanga!$R417&lt;28.5,Panchanga!$R417&gt;0.49999),MOD((Panchanga!$R417-0.5)*2,7),MOD((Panchanga!$R417+30-28.5),30)*2+7)</f>
        <v>1.0083999999999982</v>
      </c>
      <c r="R417" s="4">
        <f>ROUNDUP(MOD(360+P[[#This Row],[Moon]]-P[[#This Row],[Sun]],360)/12,4)</f>
        <v>15.004199999999999</v>
      </c>
      <c r="S417" s="4">
        <f>ROUNDUP(MOD(P[[#This Row],[Sun]]+P[[#This Row],[Moon]],360)/13.333333333,2)</f>
        <v>13.379999999999999</v>
      </c>
      <c r="T417" s="4" t="str">
        <f>SIGN(W418-Panchanga!$W417)*INT(Panchanga!$W417/30+1)&amp;"Ma,"&amp;SIGN(X418-Panchanga!$X417)*INT(Panchanga!$X417/30+1)&amp;"Me,"&amp;SIGN(Y418-Panchanga!$Y417)*INT(Panchanga!$Y417/30+1)&amp;"J, "&amp;SIGN(Z418-Panchanga!$Z417)*INT(Panchanga!$Z417/30+1)&amp;"V,"&amp;SIGN(AA418-Panchanga!$AA417)*INT(Panchanga!$AA417/30+1)&amp;"S,"&amp;INT(Panchanga!$AB417/30+1)&amp;"R"</f>
        <v>4Ma,12Me,2J, 12V,12S,12R</v>
      </c>
      <c r="U417" s="4">
        <f t="shared" si="52"/>
        <v>359.1273964580659</v>
      </c>
      <c r="V417" s="4">
        <f t="shared" si="53"/>
        <v>179.17710329665499</v>
      </c>
      <c r="W417" s="4">
        <f>Planet(Panchanga!$G417,4)</f>
        <v>93.7184637836192</v>
      </c>
      <c r="X417" s="4">
        <f>Planet(Panchanga!$G417,2)</f>
        <v>333.93368879097153</v>
      </c>
      <c r="Y417" s="4">
        <f>Planet(Panchanga!$G417,5)</f>
        <v>53.76169997500913</v>
      </c>
      <c r="Z417" s="4">
        <f>Planet(Panchanga!$G417,3)</f>
        <v>330.41460135112226</v>
      </c>
      <c r="AA417" s="4">
        <f>Planet(Panchanga!$G417,6)</f>
        <v>331.69031534342662</v>
      </c>
      <c r="AB417" s="4">
        <f>Planet(Panchanga!$G417,10)</f>
        <v>331.88473775810388</v>
      </c>
      <c r="AC417" s="4" t="str">
        <f>TEXT(Panchanga!$C417+($C418-Panchanga!$C417)/ABS(IF($R418&lt;1,$R418+30,$R418)-Panchanga!$R417)*(ROUNDUP(Panchanga!$R417,0)-Panchanga!$R417),"hh:mm AM/PM")</f>
        <v>08:25 AM</v>
      </c>
      <c r="AD417" s="4"/>
    </row>
    <row r="418" spans="1:30" x14ac:dyDescent="0.2">
      <c r="A418" s="3">
        <f t="shared" si="55"/>
        <v>45761</v>
      </c>
      <c r="B418" s="3">
        <f t="shared" si="50"/>
        <v>45761.229166666664</v>
      </c>
      <c r="C418" s="6">
        <f t="shared" si="51"/>
        <v>45761.248772129569</v>
      </c>
      <c r="D418" s="6">
        <f>sunset(Lat,Long,B418)+TimeZone/24-0.000277777777777778</f>
        <v>45760.764987356073</v>
      </c>
      <c r="E418" s="6">
        <f>PlanetRiseSet(Lat,Long,B418,1,1)+TimeZone/24+0.00103009259259259</f>
        <v>45760.779802570272</v>
      </c>
      <c r="F418" s="6">
        <f>PlanetRiseSet(Lat,Long,B418+1,1,2)+TimeZone/24+0.00103009259259259</f>
        <v>45762.299354836032</v>
      </c>
      <c r="G418" s="17">
        <f>Panchanga!$C418-TimeZone/24</f>
        <v>45761.019605462905</v>
      </c>
      <c r="H418" s="13" t="str">
        <f>INT(P[[#This Row],[Sun]]/30)&amp;"s"&amp;ROUNDUP(MOD(P[[#This Row],[Sun]],30),2)</f>
        <v>0s0.11</v>
      </c>
      <c r="I418" s="13" t="str">
        <f>INT(P[[#This Row],[Moon]]/30)&amp;"s"&amp;ROUNDUP(MOD(P[[#This Row],[Moon]],30),2)</f>
        <v>6s11</v>
      </c>
      <c r="J418" s="14">
        <f t="shared" si="54"/>
        <v>45761.019605462905</v>
      </c>
      <c r="K418" s="10" t="str">
        <f>naks(P[[#This Row],[Moon]])</f>
        <v>Swati</v>
      </c>
      <c r="L418" s="15">
        <f>(C419-P[[#This Row],[SunRise]])/(MOD(360+V419-P[[#This Row],[Moon]],360))*(13.3333333333333-MOD(P[[#This Row],[Moon]],13.333333333333))+P[[#This Row],[SunRise]]</f>
        <v>45762.009257419202</v>
      </c>
      <c r="M418" s="4" t="str">
        <f>IF(Panchanga!$R418&gt;15,"K","S")&amp;ROUNDUP(MOD(Panchanga!$R418,15),0)&amp;" ("&amp;ROUND(Panchanga!$R418,2)&amp;")"</f>
        <v>K1 (15.91)</v>
      </c>
      <c r="N418" s="4">
        <f>IF(AND(Panchanga!$R418&lt;28.5,Panchanga!$R418&gt;0.49999),MOD((Panchanga!$R418-0.5)*2,7),MOD((Panchanga!$R418+30-28.5),30)*2+7)</f>
        <v>2.8152000000000008</v>
      </c>
      <c r="O418" s="4" t="str">
        <f>CHOOSE(ROUNDUP(Panchanga!$N418,0),"Bhava","Baalava","Kaulava","Taitula","Garija","Vanija","Vishti","Shakuni","Chatushapda","Naaga","Kimstugna")</f>
        <v>Kaulava</v>
      </c>
      <c r="P418" s="11" t="str">
        <f>CHOOSE(ROUNDUP(Panchanga!$S418,0),"viṣkambha","prīti","āyuṣmāna","saubhāgya","śobhana","atigaṇḍa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("&amp;Panchanga!$S418&amp;")"</f>
        <v>vajra (14.34)</v>
      </c>
      <c r="Q418" s="4">
        <f>IF(AND(Panchanga!$R418&lt;28.5,Panchanga!$R418&gt;0.49999),MOD((Panchanga!$R418-0.5)*2,7),MOD((Panchanga!$R418+30-28.5),30)*2+7)</f>
        <v>2.8152000000000008</v>
      </c>
      <c r="R418" s="4">
        <f>ROUNDUP(MOD(360+P[[#This Row],[Moon]]-P[[#This Row],[Sun]],360)/12,4)</f>
        <v>15.9076</v>
      </c>
      <c r="S418" s="4">
        <f>ROUNDUP(MOD(P[[#This Row],[Sun]]+P[[#This Row],[Moon]],360)/13.333333333,2)</f>
        <v>14.34</v>
      </c>
      <c r="T418" s="4" t="str">
        <f>SIGN(W419-Panchanga!$W418)*INT(Panchanga!$W418/30+1)&amp;"Ma,"&amp;SIGN(X419-Panchanga!$X418)*INT(Panchanga!$X418/30+1)&amp;"Me,"&amp;SIGN(Y419-Panchanga!$Y418)*INT(Panchanga!$Y418/30+1)&amp;"J, "&amp;SIGN(Z419-Panchanga!$Z418)*INT(Panchanga!$Z418/30+1)&amp;"V,"&amp;SIGN(AA419-Panchanga!$AA418)*INT(Panchanga!$AA418/30+1)&amp;"S,"&amp;INT(Panchanga!$AB418/30+1)&amp;"R"</f>
        <v>4Ma,12Me,2J, 12V,12S,12R</v>
      </c>
      <c r="U418" s="4">
        <f t="shared" si="52"/>
        <v>0.10665878512229307</v>
      </c>
      <c r="V418" s="4">
        <f t="shared" si="53"/>
        <v>190.99715805175359</v>
      </c>
      <c r="W418" s="4">
        <f>Planet(Panchanga!$G418,4)</f>
        <v>94.110567286869099</v>
      </c>
      <c r="X418" s="4">
        <f>Planet(Panchanga!$G418,2)</f>
        <v>334.42781688380046</v>
      </c>
      <c r="Y418" s="4">
        <f>Planet(Panchanga!$G418,5)</f>
        <v>53.938484917266109</v>
      </c>
      <c r="Z418" s="4">
        <f>Planet(Panchanga!$G418,3)</f>
        <v>330.43343799792143</v>
      </c>
      <c r="AA418" s="4">
        <f>Planet(Panchanga!$G418,6)</f>
        <v>331.80430836159155</v>
      </c>
      <c r="AB418" s="4">
        <f>Planet(Panchanga!$G418,10)</f>
        <v>331.83176826643574</v>
      </c>
      <c r="AC418" s="4" t="str">
        <f>TEXT(Panchanga!$C418+($C419-Panchanga!$C418)/ABS(IF($R419&lt;1,$R419+30,$R419)-Panchanga!$R418)*(ROUNDUP(Panchanga!$R418,0)-Panchanga!$R418),"hh:mm AM/PM")</f>
        <v>08:25 AM</v>
      </c>
      <c r="AD418" s="4"/>
    </row>
    <row r="419" spans="1:30" x14ac:dyDescent="0.2">
      <c r="A419" s="3">
        <f t="shared" si="55"/>
        <v>45762</v>
      </c>
      <c r="B419" s="3">
        <f t="shared" si="50"/>
        <v>45762.229166666664</v>
      </c>
      <c r="C419" s="6">
        <f t="shared" si="51"/>
        <v>45762.248352734525</v>
      </c>
      <c r="D419" s="6">
        <f>sunset(Lat,Long,B419)+TimeZone/24-0.000277777777777778</f>
        <v>45761.765063838611</v>
      </c>
      <c r="E419" s="6">
        <f>PlanetRiseSet(Lat,Long,B419,1,1)+TimeZone/24+0.00103009259259259</f>
        <v>45761.813009737212</v>
      </c>
      <c r="F419" s="6">
        <f>PlanetRiseSet(Lat,Long,B419+1,1,2)+TimeZone/24+0.00103009259259259</f>
        <v>45763.328718140408</v>
      </c>
      <c r="G419" s="17">
        <f>Panchanga!$C419-TimeZone/24</f>
        <v>45762.019186067861</v>
      </c>
      <c r="H419" s="13" t="str">
        <f>INT(P[[#This Row],[Sun]]/30)&amp;"s"&amp;ROUNDUP(MOD(P[[#This Row],[Sun]],30),2)</f>
        <v>0s1.09</v>
      </c>
      <c r="I419" s="13" t="str">
        <f>INT(P[[#This Row],[Moon]]/30)&amp;"s"&amp;ROUNDUP(MOD(P[[#This Row],[Moon]],30),2)</f>
        <v>6s22.84</v>
      </c>
      <c r="J419" s="14">
        <f t="shared" si="54"/>
        <v>45762.019186067861</v>
      </c>
      <c r="K419" s="10" t="str">
        <f>naks(P[[#This Row],[Moon]])</f>
        <v>Visakha</v>
      </c>
      <c r="L419" s="15">
        <f>(C420-P[[#This Row],[SunRise]])/(MOD(360+V420-P[[#This Row],[Moon]],360))*(13.3333333333333-MOD(P[[#This Row],[Moon]],13.333333333333))+P[[#This Row],[SunRise]]</f>
        <v>45763.132020505356</v>
      </c>
      <c r="M419" s="4" t="str">
        <f>IF(Panchanga!$R419&gt;15,"K","S")&amp;ROUNDUP(MOD(Panchanga!$R419,15),0)&amp;" ("&amp;ROUND(Panchanga!$R419,2)&amp;")"</f>
        <v>K2 (16.81)</v>
      </c>
      <c r="N419" s="4">
        <f>IF(AND(Panchanga!$R419&lt;28.5,Panchanga!$R419&gt;0.49999),MOD((Panchanga!$R419-0.5)*2,7),MOD((Panchanga!$R419+30-28.5),30)*2+7)</f>
        <v>4.6242000000000019</v>
      </c>
      <c r="O419" s="4" t="str">
        <f>CHOOSE(ROUNDUP(Panchanga!$N419,0),"Bhava","Baalava","Kaulava","Taitula","Garija","Vanija","Vishti","Shakuni","Chatushapda","Naaga","Kimstugna")</f>
        <v>Garija</v>
      </c>
      <c r="P419" s="11" t="str">
        <f>CHOOSE(ROUNDUP(Panchanga!$S419,0),"viṣkambha","prīti","āyuṣmāna","saubhāgya","śobhana","atigaṇḍa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("&amp;Panchanga!$S419&amp;")"</f>
        <v>siddhi (15.3)</v>
      </c>
      <c r="Q419" s="4">
        <f>IF(AND(Panchanga!$R419&lt;28.5,Panchanga!$R419&gt;0.49999),MOD((Panchanga!$R419-0.5)*2,7),MOD((Panchanga!$R419+30-28.5),30)*2+7)</f>
        <v>4.6242000000000019</v>
      </c>
      <c r="R419" s="4">
        <f>ROUNDUP(MOD(360+P[[#This Row],[Moon]]-P[[#This Row],[Sun]],360)/12,4)</f>
        <v>16.812100000000001</v>
      </c>
      <c r="S419" s="4">
        <f>ROUNDUP(MOD(P[[#This Row],[Sun]]+P[[#This Row],[Moon]],360)/13.333333333,2)</f>
        <v>15.299999999999999</v>
      </c>
      <c r="T419" s="4" t="str">
        <f>SIGN(W420-Panchanga!$W419)*INT(Panchanga!$W419/30+1)&amp;"Ma,"&amp;SIGN(X420-Panchanga!$X419)*INT(Panchanga!$X419/30+1)&amp;"Me,"&amp;SIGN(Y420-Panchanga!$Y419)*INT(Panchanga!$Y419/30+1)&amp;"J, "&amp;SIGN(Z420-Panchanga!$Z419)*INT(Panchanga!$Z419/30+1)&amp;"V,"&amp;SIGN(AA420-Panchanga!$AA419)*INT(Panchanga!$AA419/30+1)&amp;"S,"&amp;INT(Panchanga!$AB419/30+1)&amp;"R"</f>
        <v>4Ma,12Me,2J, 12V,12S,12R</v>
      </c>
      <c r="U419" s="4">
        <f t="shared" si="52"/>
        <v>1.0853908995142896</v>
      </c>
      <c r="V419" s="4">
        <f t="shared" si="53"/>
        <v>202.83047859543365</v>
      </c>
      <c r="W419" s="4">
        <f>Planet(Panchanga!$G419,4)</f>
        <v>94.507094289632249</v>
      </c>
      <c r="X419" s="4">
        <f>Planet(Panchanga!$G419,2)</f>
        <v>334.99191428532907</v>
      </c>
      <c r="Y419" s="4">
        <f>Planet(Panchanga!$G419,5)</f>
        <v>54.116825539833172</v>
      </c>
      <c r="Z419" s="4">
        <f>Planet(Panchanga!$G419,3)</f>
        <v>330.4913632734573</v>
      </c>
      <c r="AA419" s="4">
        <f>Planet(Panchanga!$G419,6)</f>
        <v>331.91771762847429</v>
      </c>
      <c r="AB419" s="4">
        <f>Planet(Panchanga!$G419,10)</f>
        <v>331.77879850453314</v>
      </c>
      <c r="AC419" s="4" t="str">
        <f>TEXT(Panchanga!$C419+($C420-Panchanga!$C419)/ABS(IF($R420&lt;1,$R420+30,$R420)-Panchanga!$R419)*(ROUNDUP(Panchanga!$R419,0)-Panchanga!$R419),"hh:mm AM/PM")</f>
        <v>10:55 AM</v>
      </c>
      <c r="AD419" s="4"/>
    </row>
    <row r="420" spans="1:30" x14ac:dyDescent="0.2">
      <c r="A420" s="3">
        <f t="shared" si="55"/>
        <v>45763</v>
      </c>
      <c r="B420" s="3">
        <f t="shared" si="50"/>
        <v>45763.229166666664</v>
      </c>
      <c r="C420" s="6">
        <f t="shared" si="51"/>
        <v>45763.24793870157</v>
      </c>
      <c r="D420" s="6">
        <f>sunset(Lat,Long,B420)+TimeZone/24-0.000277777777777778</f>
        <v>45762.765143187295</v>
      </c>
      <c r="E420" s="6">
        <f>PlanetRiseSet(Lat,Long,B420,1,1)+TimeZone/24+0.00103009259259259</f>
        <v>45762.847721379403</v>
      </c>
      <c r="F420" s="6">
        <f>PlanetRiseSet(Lat,Long,B420+1,1,2)+TimeZone/24+0.00103009259259259</f>
        <v>45764.360966154527</v>
      </c>
      <c r="G420" s="17">
        <f>Panchanga!$C420-TimeZone/24</f>
        <v>45763.018772034906</v>
      </c>
      <c r="H420" s="13" t="str">
        <f>INT(P[[#This Row],[Sun]]/30)&amp;"s"&amp;ROUNDUP(MOD(P[[#This Row],[Sun]],30),2)</f>
        <v>0s2.07</v>
      </c>
      <c r="I420" s="13" t="str">
        <f>INT(P[[#This Row],[Moon]]/30)&amp;"s"&amp;ROUNDUP(MOD(P[[#This Row],[Moon]],30),2)</f>
        <v>7s4.72</v>
      </c>
      <c r="J420" s="14">
        <f t="shared" si="54"/>
        <v>45763.018772034906</v>
      </c>
      <c r="K420" s="10" t="str">
        <f>naks(P[[#This Row],[Moon]])</f>
        <v>Anuradha</v>
      </c>
      <c r="L420" s="15">
        <f>(C421-P[[#This Row],[SunRise]])/(MOD(360+V421-P[[#This Row],[Moon]],360))*(13.3333333333333-MOD(P[[#This Row],[Moon]],13.333333333333))+P[[#This Row],[SunRise]]</f>
        <v>45764.24669272593</v>
      </c>
      <c r="M420" s="4" t="str">
        <f>IF(Panchanga!$R420&gt;15,"K","S")&amp;ROUNDUP(MOD(Panchanga!$R420,15),0)&amp;" ("&amp;ROUND(Panchanga!$R420,2)&amp;")"</f>
        <v>K3 (17.72)</v>
      </c>
      <c r="N420" s="4">
        <f>IF(AND(Panchanga!$R420&lt;28.5,Panchanga!$R420&gt;0.49999),MOD((Panchanga!$R420-0.5)*2,7),MOD((Panchanga!$R420+30-28.5),30)*2+7)</f>
        <v>6.4414000000000016</v>
      </c>
      <c r="O420" s="4" t="str">
        <f>CHOOSE(ROUNDUP(Panchanga!$N420,0),"Bhava","Baalava","Kaulava","Taitula","Garija","Vanija","Vishti","Shakuni","Chatushapda","Naaga","Kimstugna")</f>
        <v>Vishti</v>
      </c>
      <c r="P420" s="11" t="str">
        <f>CHOOSE(ROUNDUP(Panchanga!$S420,0),"viṣkambha","prīti","āyuṣmāna","saubhāgya","śobhana","atigaṇḍa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("&amp;Panchanga!$S420&amp;")"</f>
        <v>vyatipāta (16.26)</v>
      </c>
      <c r="Q420" s="4">
        <f>IF(AND(Panchanga!$R420&lt;28.5,Panchanga!$R420&gt;0.49999),MOD((Panchanga!$R420-0.5)*2,7),MOD((Panchanga!$R420+30-28.5),30)*2+7)</f>
        <v>6.4414000000000016</v>
      </c>
      <c r="R420" s="4">
        <f>ROUNDUP(MOD(360+P[[#This Row],[Moon]]-P[[#This Row],[Sun]],360)/12,4)</f>
        <v>17.720700000000001</v>
      </c>
      <c r="S420" s="4">
        <f>ROUNDUP(MOD(P[[#This Row],[Sun]]+P[[#This Row],[Moon]],360)/13.333333333,2)</f>
        <v>16.260000000000002</v>
      </c>
      <c r="T420" s="4" t="str">
        <f>SIGN(W421-Panchanga!$W420)*INT(Panchanga!$W420/30+1)&amp;"Ma,"&amp;SIGN(X421-Panchanga!$X420)*INT(Panchanga!$X420/30+1)&amp;"Me,"&amp;SIGN(Y421-Panchanga!$Y420)*INT(Panchanga!$Y420/30+1)&amp;"J, "&amp;SIGN(Z421-Panchanga!$Z420)*INT(Panchanga!$Z420/30+1)&amp;"V,"&amp;SIGN(AA421-Panchanga!$AA420)*INT(Panchanga!$AA420/30+1)&amp;"S,"&amp;INT(Panchanga!$AB420/30+1)&amp;"R"</f>
        <v>4Ma,12Me,2J, 12V,12S,12R</v>
      </c>
      <c r="U420" s="4">
        <f t="shared" si="52"/>
        <v>2.063608645217434</v>
      </c>
      <c r="V420" s="4">
        <f t="shared" si="53"/>
        <v>214.71108186790741</v>
      </c>
      <c r="W420" s="4">
        <f>Planet(Panchanga!$G420,4)</f>
        <v>94.907951219178344</v>
      </c>
      <c r="X420" s="4">
        <f>Planet(Panchanga!$G420,2)</f>
        <v>335.62269077727643</v>
      </c>
      <c r="Y420" s="4">
        <f>Planet(Panchanga!$G420,5)</f>
        <v>54.296695885899055</v>
      </c>
      <c r="Z420" s="4">
        <f>Planet(Panchanga!$G420,3)</f>
        <v>330.58761536660757</v>
      </c>
      <c r="AA420" s="4">
        <f>Planet(Panchanga!$G420,6)</f>
        <v>332.03052688741832</v>
      </c>
      <c r="AB420" s="4">
        <f>Planet(Panchanga!$G420,10)</f>
        <v>331.7258284585281</v>
      </c>
      <c r="AC420" s="4" t="str">
        <f>TEXT(Panchanga!$C420+($C421-Panchanga!$C420)/ABS(IF($R421&lt;1,$R421+30,$R421)-Panchanga!$R420)*(ROUNDUP(Panchanga!$R420,0)-Panchanga!$R420),"hh:mm AM/PM")</f>
        <v>01:16 PM</v>
      </c>
      <c r="AD420" s="4"/>
    </row>
    <row r="421" spans="1:30" x14ac:dyDescent="0.2">
      <c r="A421" s="3">
        <f t="shared" si="55"/>
        <v>45764</v>
      </c>
      <c r="B421" s="3">
        <f t="shared" si="50"/>
        <v>45764.229166666664</v>
      </c>
      <c r="C421" s="6">
        <f t="shared" si="51"/>
        <v>45764.247530289613</v>
      </c>
      <c r="D421" s="6">
        <f>sunset(Lat,Long,B421)+TimeZone/24-0.000277777777777778</f>
        <v>45763.765225557654</v>
      </c>
      <c r="E421" s="6">
        <f>PlanetRiseSet(Lat,Long,B421,1,1)+TimeZone/24+0.00103009259259259</f>
        <v>45763.883920938395</v>
      </c>
      <c r="F421" s="6">
        <f>PlanetRiseSet(Lat,Long,B421+1,1,2)+TimeZone/24+0.00103009259259259</f>
        <v>45765.396095552635</v>
      </c>
      <c r="G421" s="17">
        <f>Panchanga!$C421-TimeZone/24</f>
        <v>45764.018363622949</v>
      </c>
      <c r="H421" s="13" t="str">
        <f>INT(P[[#This Row],[Sun]]/30)&amp;"s"&amp;ROUNDUP(MOD(P[[#This Row],[Sun]],30),2)</f>
        <v>0s3.05</v>
      </c>
      <c r="I421" s="13" t="str">
        <f>INT(P[[#This Row],[Moon]]/30)&amp;"s"&amp;ROUNDUP(MOD(P[[#This Row],[Moon]],30),2)</f>
        <v>7s16.68</v>
      </c>
      <c r="J421" s="14">
        <f t="shared" si="54"/>
        <v>45764.018363622949</v>
      </c>
      <c r="K421" s="10" t="str">
        <f>naks(P[[#This Row],[Moon]])</f>
        <v>Jyestha</v>
      </c>
      <c r="L421" s="15">
        <f>(C422-P[[#This Row],[SunRise]])/(MOD(360+V422-P[[#This Row],[Moon]],360))*(13.3333333333333-MOD(P[[#This Row],[Moon]],13.333333333333))+P[[#This Row],[SunRise]]</f>
        <v>45765.348732507955</v>
      </c>
      <c r="M421" s="4" t="str">
        <f>IF(Panchanga!$R421&gt;15,"K","S")&amp;ROUNDUP(MOD(Panchanga!$R421,15),0)&amp;" ("&amp;ROUND(Panchanga!$R421,2)&amp;")"</f>
        <v>K4 (18.64)</v>
      </c>
      <c r="N421" s="4">
        <f>IF(AND(Panchanga!$R421&lt;28.5,Panchanga!$R421&gt;0.49999),MOD((Panchanga!$R421-0.5)*2,7),MOD((Panchanga!$R421+30-28.5),30)*2+7)</f>
        <v>1.2725999999999971</v>
      </c>
      <c r="O421" s="4" t="str">
        <f>CHOOSE(ROUNDUP(Panchanga!$N421,0),"Bhava","Baalava","Kaulava","Taitula","Garija","Vanija","Vishti","Shakuni","Chatushapda","Naaga","Kimstugna")</f>
        <v>Baalava</v>
      </c>
      <c r="P421" s="11" t="str">
        <f>CHOOSE(ROUNDUP(Panchanga!$S421,0),"viṣkambha","prīti","āyuṣmāna","saubhāgya","śobhana","atigaṇḍa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("&amp;Panchanga!$S421&amp;")"</f>
        <v>varīyas (17.23)</v>
      </c>
      <c r="Q421" s="4">
        <f>IF(AND(Panchanga!$R421&lt;28.5,Panchanga!$R421&gt;0.49999),MOD((Panchanga!$R421-0.5)*2,7),MOD((Panchanga!$R421+30-28.5),30)*2+7)</f>
        <v>1.2725999999999971</v>
      </c>
      <c r="R421" s="4">
        <f>ROUNDUP(MOD(360+P[[#This Row],[Moon]]-P[[#This Row],[Sun]],360)/12,4)</f>
        <v>18.636299999999999</v>
      </c>
      <c r="S421" s="4">
        <f>ROUNDUP(MOD(P[[#This Row],[Sun]]+P[[#This Row],[Moon]],360)/13.333333333,2)</f>
        <v>17.23</v>
      </c>
      <c r="T421" s="4" t="str">
        <f>SIGN(W422-Panchanga!$W421)*INT(Panchanga!$W421/30+1)&amp;"Ma,"&amp;SIGN(X422-Panchanga!$X421)*INT(Panchanga!$X421/30+1)&amp;"Me,"&amp;SIGN(Y422-Panchanga!$Y421)*INT(Panchanga!$Y421/30+1)&amp;"J, "&amp;SIGN(Z422-Panchanga!$Z421)*INT(Panchanga!$Z421/30+1)&amp;"V,"&amp;SIGN(AA422-Panchanga!$AA421)*INT(Panchanga!$AA421/30+1)&amp;"S,"&amp;INT(Panchanga!$AB421/30+1)&amp;"R"</f>
        <v>4Ma,12Me,2J, 12V,12S,12R</v>
      </c>
      <c r="U421" s="4">
        <f t="shared" si="52"/>
        <v>3.0413273315111491</v>
      </c>
      <c r="V421" s="4">
        <f t="shared" si="53"/>
        <v>226.67669272250401</v>
      </c>
      <c r="W421" s="4">
        <f>Planet(Panchanga!$G421,4)</f>
        <v>95.313049040633942</v>
      </c>
      <c r="X421" s="4">
        <f>Planet(Panchanga!$G421,2)</f>
        <v>336.31697432874915</v>
      </c>
      <c r="Y421" s="4">
        <f>Planet(Panchanga!$G421,5)</f>
        <v>54.478070497189876</v>
      </c>
      <c r="Z421" s="4">
        <f>Planet(Panchanga!$G421,3)</f>
        <v>330.7213431547944</v>
      </c>
      <c r="AA421" s="4">
        <f>Planet(Panchanga!$G421,6)</f>
        <v>332.14271970682103</v>
      </c>
      <c r="AB421" s="4">
        <f>Planet(Panchanga!$G421,10)</f>
        <v>331.67285811463535</v>
      </c>
      <c r="AC421" s="4" t="str">
        <f>TEXT(Panchanga!$C421+($C422-Panchanga!$C421)/ABS(IF($R422&lt;1,$R422+30,$R422)-Panchanga!$R421)*(ROUNDUP(Panchanga!$R421,0)-Panchanga!$R421),"hh:mm AM/PM")</f>
        <v>03:21 PM</v>
      </c>
      <c r="AD421" s="4"/>
    </row>
    <row r="422" spans="1:30" x14ac:dyDescent="0.2">
      <c r="A422" s="3">
        <f t="shared" si="55"/>
        <v>45765</v>
      </c>
      <c r="B422" s="3">
        <f t="shared" si="50"/>
        <v>45765.229166666664</v>
      </c>
      <c r="C422" s="6">
        <f t="shared" si="51"/>
        <v>45765.247127752438</v>
      </c>
      <c r="D422" s="6">
        <f>sunset(Lat,Long,B422)+TimeZone/24-0.000277777777777778</f>
        <v>45764.765311097304</v>
      </c>
      <c r="E422" s="6">
        <f>PlanetRiseSet(Lat,Long,B422,1,1)+TimeZone/24+0.00103009259259259</f>
        <v>45764.921167388246</v>
      </c>
      <c r="F422" s="6">
        <f>PlanetRiseSet(Lat,Long,B422+1,1,2)+TimeZone/24+0.00103009259259259</f>
        <v>45766.433618194576</v>
      </c>
      <c r="G422" s="17">
        <f>Panchanga!$C422-TimeZone/24</f>
        <v>45765.017961085774</v>
      </c>
      <c r="H422" s="13" t="str">
        <f>INT(P[[#This Row],[Sun]]/30)&amp;"s"&amp;ROUNDUP(MOD(P[[#This Row],[Sun]],30),2)</f>
        <v>0s4.02</v>
      </c>
      <c r="I422" s="13" t="str">
        <f>INT(P[[#This Row],[Moon]]/30)&amp;"s"&amp;ROUNDUP(MOD(P[[#This Row],[Moon]],30),2)</f>
        <v>7s28.78</v>
      </c>
      <c r="J422" s="14">
        <f t="shared" si="54"/>
        <v>45765.017961085774</v>
      </c>
      <c r="K422" s="10" t="str">
        <f>naks(P[[#This Row],[Moon]])</f>
        <v>Jyestha</v>
      </c>
      <c r="L422" s="15">
        <f>(C423-P[[#This Row],[SunRise]])/(MOD(360+V423-P[[#This Row],[Moon]],360))*(13.3333333333333-MOD(P[[#This Row],[Moon]],13.333333333333))+P[[#This Row],[SunRise]]</f>
        <v>45765.347255535613</v>
      </c>
      <c r="M422" s="4" t="str">
        <f>IF(Panchanga!$R422&gt;15,"K","S")&amp;ROUNDUP(MOD(Panchanga!$R422,15),0)&amp;" ("&amp;ROUND(Panchanga!$R422,2)&amp;")"</f>
        <v>K5 (19.56)</v>
      </c>
      <c r="N422" s="4">
        <f>IF(AND(Panchanga!$R422&lt;28.5,Panchanga!$R422&gt;0.49999),MOD((Panchanga!$R422-0.5)*2,7),MOD((Panchanga!$R422+30-28.5),30)*2+7)</f>
        <v>3.1253999999999991</v>
      </c>
      <c r="O422" s="4" t="str">
        <f>CHOOSE(ROUNDUP(Panchanga!$N422,0),"Bhava","Baalava","Kaulava","Taitula","Garija","Vanija","Vishti","Shakuni","Chatushapda","Naaga","Kimstugna")</f>
        <v>Taitula</v>
      </c>
      <c r="P422" s="11" t="str">
        <f>CHOOSE(ROUNDUP(Panchanga!$S422,0),"viṣkambha","prīti","āyuṣmāna","saubhāgya","śobhana","atigaṇḍa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("&amp;Panchanga!$S422&amp;")"</f>
        <v>parigha (18.21)</v>
      </c>
      <c r="Q422" s="4">
        <f>IF(AND(Panchanga!$R422&lt;28.5,Panchanga!$R422&gt;0.49999),MOD((Panchanga!$R422-0.5)*2,7),MOD((Panchanga!$R422+30-28.5),30)*2+7)</f>
        <v>3.1253999999999991</v>
      </c>
      <c r="R422" s="4">
        <f>ROUNDUP(MOD(360+P[[#This Row],[Moon]]-P[[#This Row],[Sun]],360)/12,4)</f>
        <v>19.5627</v>
      </c>
      <c r="S422" s="4">
        <f>ROUNDUP(MOD(P[[#This Row],[Sun]]+P[[#This Row],[Moon]],360)/13.333333333,2)</f>
        <v>18.21</v>
      </c>
      <c r="T422" s="4" t="str">
        <f>SIGN(W423-Panchanga!$W422)*INT(Panchanga!$W422/30+1)&amp;"Ma,"&amp;SIGN(X423-Panchanga!$X422)*INT(Panchanga!$X422/30+1)&amp;"Me,"&amp;SIGN(Y423-Panchanga!$Y422)*INT(Panchanga!$Y422/30+1)&amp;"J, "&amp;SIGN(Z423-Panchanga!$Z422)*INT(Panchanga!$Z422/30+1)&amp;"V,"&amp;SIGN(AA423-Panchanga!$AA422)*INT(Panchanga!$AA422/30+1)&amp;"S,"&amp;INT(Panchanga!$AB422/30+1)&amp;"R"</f>
        <v>4Ma,12Me,2J, 12V,12S,12R</v>
      </c>
      <c r="U422" s="4">
        <f t="shared" si="52"/>
        <v>4.0185613828188114</v>
      </c>
      <c r="V422" s="4">
        <f t="shared" si="53"/>
        <v>238.77069682928965</v>
      </c>
      <c r="W422" s="4">
        <f>Planet(Panchanga!$G422,4)</f>
        <v>95.722303078786325</v>
      </c>
      <c r="X422" s="4">
        <f>Planet(Panchanga!$G422,2)</f>
        <v>337.07173725278608</v>
      </c>
      <c r="Y422" s="4">
        <f>Planet(Panchanga!$G422,5)</f>
        <v>54.660924343051185</v>
      </c>
      <c r="Z422" s="4">
        <f>Planet(Panchanga!$G422,3)</f>
        <v>330.8916224929967</v>
      </c>
      <c r="AA422" s="4">
        <f>Planet(Panchanga!$G422,6)</f>
        <v>332.25427943894363</v>
      </c>
      <c r="AB422" s="4">
        <f>Planet(Panchanga!$G422,10)</f>
        <v>331.61988745945064</v>
      </c>
      <c r="AC422" s="4" t="str">
        <f>TEXT(Panchanga!$C422+($C423-Panchanga!$C422)/ABS(IF($R423&lt;1,$R423+30,$R423)-Panchanga!$R422)*(ROUNDUP(Panchanga!$R422,0)-Panchanga!$R422),"hh:mm AM/PM")</f>
        <v>05:04 PM</v>
      </c>
      <c r="AD422" s="4"/>
    </row>
    <row r="423" spans="1:30" x14ac:dyDescent="0.2">
      <c r="A423" s="3">
        <f t="shared" si="55"/>
        <v>45766</v>
      </c>
      <c r="B423" s="3">
        <f t="shared" si="50"/>
        <v>45766.229166666664</v>
      </c>
      <c r="C423" s="6">
        <f t="shared" si="51"/>
        <v>45766.24673133871</v>
      </c>
      <c r="D423" s="6">
        <f>sunset(Lat,Long,B423)+TimeZone/24-0.000277777777777778</f>
        <v>45765.765399943615</v>
      </c>
      <c r="E423" s="6">
        <f>PlanetRiseSet(Lat,Long,B423,1,1)+TimeZone/24+0.00103009259259259</f>
        <v>45765.958617749311</v>
      </c>
      <c r="F423" s="6">
        <f>PlanetRiseSet(Lat,Long,B423+1,1,2)+TimeZone/24+0.00103009259259259</f>
        <v>45767.472644126196</v>
      </c>
      <c r="G423" s="17">
        <f>Panchanga!$C423-TimeZone/24</f>
        <v>45766.017564672045</v>
      </c>
      <c r="H423" s="13" t="str">
        <f>INT(P[[#This Row],[Sun]]/30)&amp;"s"&amp;ROUNDUP(MOD(P[[#This Row],[Sun]],30),2)</f>
        <v>0s5</v>
      </c>
      <c r="I423" s="13" t="str">
        <f>INT(P[[#This Row],[Moon]]/30)&amp;"s"&amp;ROUNDUP(MOD(P[[#This Row],[Moon]],30),2)</f>
        <v>8s11.05</v>
      </c>
      <c r="J423" s="14">
        <f t="shared" si="54"/>
        <v>45766.017564672045</v>
      </c>
      <c r="K423" s="10" t="str">
        <f>naks(P[[#This Row],[Moon]])</f>
        <v>Moola</v>
      </c>
      <c r="L423" s="15">
        <f>(C424-P[[#This Row],[SunRise]])/(MOD(360+V424-P[[#This Row],[Moon]],360))*(13.3333333333333-MOD(P[[#This Row],[Moon]],13.333333333333))+P[[#This Row],[SunRise]]</f>
        <v>45766.429765906832</v>
      </c>
      <c r="M423" s="4" t="str">
        <f>IF(Panchanga!$R423&gt;15,"K","S")&amp;ROUNDUP(MOD(Panchanga!$R423,15),0)&amp;" ("&amp;ROUND(Panchanga!$R423,2)&amp;")"</f>
        <v>K6 (20.5)</v>
      </c>
      <c r="N423" s="4">
        <f>IF(AND(Panchanga!$R423&lt;28.5,Panchanga!$R423&gt;0.49999),MOD((Panchanga!$R423-0.5)*2,7),MOD((Panchanga!$R423+30-28.5),30)*2+7)</f>
        <v>5.0080000000000027</v>
      </c>
      <c r="O423" s="4" t="str">
        <f>CHOOSE(ROUNDUP(Panchanga!$N423,0),"Bhava","Baalava","Kaulava","Taitula","Garija","Vanija","Vishti","Shakuni","Chatushapda","Naaga","Kimstugna")</f>
        <v>Vanija</v>
      </c>
      <c r="P423" s="11" t="str">
        <f>CHOOSE(ROUNDUP(Panchanga!$S423,0),"viṣkambha","prīti","āyuṣmāna","saubhāgya","śobhana","atigaṇḍa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("&amp;Panchanga!$S423&amp;")"</f>
        <v>śiva (19.21)</v>
      </c>
      <c r="Q423" s="4">
        <f>IF(AND(Panchanga!$R423&lt;28.5,Panchanga!$R423&gt;0.49999),MOD((Panchanga!$R423-0.5)*2,7),MOD((Panchanga!$R423+30-28.5),30)*2+7)</f>
        <v>5.0080000000000027</v>
      </c>
      <c r="R423" s="4">
        <f>ROUNDUP(MOD(360+P[[#This Row],[Moon]]-P[[#This Row],[Sun]],360)/12,4)</f>
        <v>20.504000000000001</v>
      </c>
      <c r="S423" s="4">
        <f>ROUNDUP(MOD(P[[#This Row],[Sun]]+P[[#This Row],[Moon]],360)/13.333333333,2)</f>
        <v>19.21</v>
      </c>
      <c r="T423" s="4" t="str">
        <f>SIGN(W424-Panchanga!$W423)*INT(Panchanga!$W423/30+1)&amp;"Ma,"&amp;SIGN(X424-Panchanga!$X423)*INT(Panchanga!$X423/30+1)&amp;"Me,"&amp;SIGN(Y424-Panchanga!$Y423)*INT(Panchanga!$Y423/30+1)&amp;"J, "&amp;SIGN(Z424-Panchanga!$Z423)*INT(Panchanga!$Z423/30+1)&amp;"V,"&amp;SIGN(AA424-Panchanga!$AA423)*INT(Panchanga!$AA423/30+1)&amp;"S,"&amp;INT(Panchanga!$AB423/30+1)&amp;"R"</f>
        <v>4Ma,12Me,2J, 12V,12S,12R</v>
      </c>
      <c r="U423" s="4">
        <f t="shared" si="52"/>
        <v>4.9953240042096487</v>
      </c>
      <c r="V423" s="4">
        <f t="shared" si="53"/>
        <v>251.04317324995094</v>
      </c>
      <c r="W423" s="4">
        <f>Planet(Panchanga!$G423,4)</f>
        <v>96.135632803506056</v>
      </c>
      <c r="X423" s="4">
        <f>Planet(Panchanga!$G423,2)</f>
        <v>337.88411373048359</v>
      </c>
      <c r="Y423" s="4">
        <f>Planet(Panchanga!$G423,5)</f>
        <v>54.845232742502716</v>
      </c>
      <c r="Z423" s="4">
        <f>Planet(Panchanga!$G423,3)</f>
        <v>331.09747107371675</v>
      </c>
      <c r="AA423" s="4">
        <f>Planet(Panchanga!$G423,6)</f>
        <v>332.36518918451674</v>
      </c>
      <c r="AB423" s="4">
        <f>Planet(Panchanga!$G423,10)</f>
        <v>331.56691647976879</v>
      </c>
      <c r="AC423" s="4" t="str">
        <f>TEXT(Panchanga!$C423+($C424-Panchanga!$C423)/ABS(IF($R424&lt;1,$R424+30,$R424)-Panchanga!$R423)*(ROUNDUP(Panchanga!$R423,0)-Panchanga!$R423),"hh:mm AM/PM")</f>
        <v>06:18 PM</v>
      </c>
      <c r="AD423" s="4"/>
    </row>
    <row r="424" spans="1:30" x14ac:dyDescent="0.2">
      <c r="A424" s="3">
        <f t="shared" si="55"/>
        <v>45767</v>
      </c>
      <c r="B424" s="3">
        <f t="shared" si="50"/>
        <v>45767.229166666664</v>
      </c>
      <c r="C424" s="6">
        <f t="shared" si="51"/>
        <v>45767.246341291037</v>
      </c>
      <c r="D424" s="6">
        <f>sunset(Lat,Long,B424)+TimeZone/24-0.000277777777777778</f>
        <v>45766.765492223712</v>
      </c>
      <c r="E424" s="6">
        <f>PlanetRiseSet(Lat,Long,B424,1,1)+TimeZone/24+0.00103009259259259</f>
        <v>45766.995251806606</v>
      </c>
      <c r="F424" s="6">
        <f>PlanetRiseSet(Lat,Long,B424+1,1,2)+TimeZone/24+0.00103009259259259</f>
        <v>45767.472644169502</v>
      </c>
      <c r="G424" s="17">
        <f>Panchanga!$C424-TimeZone/24</f>
        <v>45767.017174624372</v>
      </c>
      <c r="H424" s="13" t="str">
        <f>INT(P[[#This Row],[Sun]]/30)&amp;"s"&amp;ROUNDUP(MOD(P[[#This Row],[Sun]],30),2)</f>
        <v>0s5.98</v>
      </c>
      <c r="I424" s="13" t="str">
        <f>INT(P[[#This Row],[Moon]]/30)&amp;"s"&amp;ROUNDUP(MOD(P[[#This Row],[Moon]],30),2)</f>
        <v>8s23.56</v>
      </c>
      <c r="J424" s="14">
        <f t="shared" si="54"/>
        <v>45767.017174624372</v>
      </c>
      <c r="K424" s="10" t="str">
        <f>naks(P[[#This Row],[Moon]])</f>
        <v>Purva Asadha</v>
      </c>
      <c r="L424" s="15">
        <f>(C425-P[[#This Row],[SunRise]])/(MOD(360+V425-P[[#This Row],[Moon]],360))*(13.3333333333333-MOD(P[[#This Row],[Moon]],13.333333333333))+P[[#This Row],[SunRise]]</f>
        <v>45767.489659418447</v>
      </c>
      <c r="M424" s="4" t="str">
        <f>IF(Panchanga!$R424&gt;15,"K","S")&amp;ROUNDUP(MOD(Panchanga!$R424,15),0)&amp;" ("&amp;ROUND(Panchanga!$R424,2)&amp;")"</f>
        <v>K7 (21.47)</v>
      </c>
      <c r="N424" s="4">
        <f>IF(AND(Panchanga!$R424&lt;28.5,Panchanga!$R424&gt;0.49999),MOD((Panchanga!$R424-0.5)*2,7),MOD((Panchanga!$R424+30-28.5),30)*2+7)</f>
        <v>6.93</v>
      </c>
      <c r="O424" s="4" t="str">
        <f>CHOOSE(ROUNDUP(Panchanga!$N424,0),"Bhava","Baalava","Kaulava","Taitula","Garija","Vanija","Vishti","Shakuni","Chatushapda","Naaga","Kimstugna")</f>
        <v>Vishti</v>
      </c>
      <c r="P424" s="11" t="str">
        <f>CHOOSE(ROUNDUP(Panchanga!$S424,0),"viṣkambha","prīti","āyuṣmāna","saubhāgya","śobhana","atigaṇḍa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("&amp;Panchanga!$S424&amp;")"</f>
        <v>siddha (20.22)</v>
      </c>
      <c r="Q424" s="4">
        <f>IF(AND(Panchanga!$R424&lt;28.5,Panchanga!$R424&gt;0.49999),MOD((Panchanga!$R424-0.5)*2,7),MOD((Panchanga!$R424+30-28.5),30)*2+7)</f>
        <v>6.93</v>
      </c>
      <c r="R424" s="4">
        <f>ROUNDUP(MOD(360+P[[#This Row],[Moon]]-P[[#This Row],[Sun]],360)/12,4)</f>
        <v>21.465</v>
      </c>
      <c r="S424" s="4">
        <f>ROUNDUP(MOD(P[[#This Row],[Sun]]+P[[#This Row],[Moon]],360)/13.333333333,2)</f>
        <v>20.220000000000002</v>
      </c>
      <c r="T424" s="4" t="str">
        <f>SIGN(W425-Panchanga!$W424)*INT(Panchanga!$W424/30+1)&amp;"Ma,"&amp;SIGN(X425-Panchanga!$X424)*INT(Panchanga!$X424/30+1)&amp;"Me,"&amp;SIGN(Y425-Panchanga!$Y424)*INT(Panchanga!$Y424/30+1)&amp;"J, "&amp;SIGN(Z425-Panchanga!$Z424)*INT(Panchanga!$Z424/30+1)&amp;"V,"&amp;SIGN(AA425-Panchanga!$AA424)*INT(Panchanga!$AA424/30+1)&amp;"S,"&amp;INT(Panchanga!$AB424/30+1)&amp;"R"</f>
        <v>4Ma,12Me,2J, 12V,12S,12R</v>
      </c>
      <c r="U424" s="4">
        <f t="shared" si="52"/>
        <v>5.9716268821931227</v>
      </c>
      <c r="V424" s="4">
        <f t="shared" si="53"/>
        <v>263.55046537118096</v>
      </c>
      <c r="W424" s="4">
        <f>Planet(Panchanga!$G424,4)</f>
        <v>96.552961604436135</v>
      </c>
      <c r="X424" s="4">
        <f>Planet(Panchanga!$G424,2)</f>
        <v>338.75141054193176</v>
      </c>
      <c r="Y424" s="4">
        <f>Planet(Panchanga!$G424,5)</f>
        <v>55.030971287878337</v>
      </c>
      <c r="Z424" s="4">
        <f>Planet(Panchanga!$G424,3)</f>
        <v>331.33786183905193</v>
      </c>
      <c r="AA424" s="4">
        <f>Planet(Panchanga!$G424,6)</f>
        <v>332.4754317639651</v>
      </c>
      <c r="AB424" s="4">
        <f>Planet(Panchanga!$G424,10)</f>
        <v>331.51394516274877</v>
      </c>
      <c r="AC424" s="4" t="str">
        <f>TEXT(Panchanga!$C424+($C425-Panchanga!$C424)/ABS(IF($R425&lt;1,$R425+30,$R425)-Panchanga!$R424)*(ROUNDUP(Panchanga!$R424,0)-Panchanga!$R424),"hh:mm AM/PM")</f>
        <v>06:56 PM</v>
      </c>
      <c r="AD424" s="4"/>
    </row>
    <row r="425" spans="1:30" x14ac:dyDescent="0.2">
      <c r="A425" s="3">
        <f t="shared" si="55"/>
        <v>45768</v>
      </c>
      <c r="B425" s="3">
        <f t="shared" si="50"/>
        <v>45768.229166666664</v>
      </c>
      <c r="C425" s="6">
        <f t="shared" si="51"/>
        <v>45768.245957845509</v>
      </c>
      <c r="D425" s="6">
        <f>sunset(Lat,Long,B425)+TimeZone/24-0.000277777777777778</f>
        <v>45767.76558805308</v>
      </c>
      <c r="E425" s="6">
        <f>PlanetRiseSet(Lat,Long,B425,1,1)+TimeZone/24+0.00103009259259259</f>
        <v>45768.030228542782</v>
      </c>
      <c r="F425" s="6">
        <f>PlanetRiseSet(Lat,Long,B425+1,1,2)+TimeZone/24+0.00103009259259259</f>
        <v>45768.512188676897</v>
      </c>
      <c r="G425" s="17">
        <f>Panchanga!$C425-TimeZone/24</f>
        <v>45768.016791178845</v>
      </c>
      <c r="H425" s="13" t="str">
        <f>INT(P[[#This Row],[Sun]]/30)&amp;"s"&amp;ROUNDUP(MOD(P[[#This Row],[Sun]],30),2)</f>
        <v>0s6.95</v>
      </c>
      <c r="I425" s="13" t="str">
        <f>INT(P[[#This Row],[Moon]]/30)&amp;"s"&amp;ROUNDUP(MOD(P[[#This Row],[Moon]],30),2)</f>
        <v>9s6.36</v>
      </c>
      <c r="J425" s="14">
        <f t="shared" si="54"/>
        <v>45768.016791178845</v>
      </c>
      <c r="K425" s="10" t="str">
        <f>naks(P[[#This Row],[Moon]])</f>
        <v>Uttara Asadha</v>
      </c>
      <c r="L425" s="15">
        <f>(C426-P[[#This Row],[SunRise]])/(MOD(360+V426-P[[#This Row],[Moon]],360))*(13.3333333333333-MOD(P[[#This Row],[Moon]],13.333333333333))+P[[#This Row],[SunRise]]</f>
        <v>45768.523093705298</v>
      </c>
      <c r="M425" s="4" t="str">
        <f>IF(Panchanga!$R425&gt;15,"K","S")&amp;ROUNDUP(MOD(Panchanga!$R425,15),0)&amp;" ("&amp;ROUND(Panchanga!$R425,2)&amp;")"</f>
        <v>K8 (22.45)</v>
      </c>
      <c r="N425" s="4">
        <f>IF(AND(Panchanga!$R425&lt;28.5,Panchanga!$R425&gt;0.49999),MOD((Panchanga!$R425-0.5)*2,7),MOD((Panchanga!$R425+30-28.5),30)*2+7)</f>
        <v>1.9009999999999962</v>
      </c>
      <c r="O425" s="4" t="str">
        <f>CHOOSE(ROUNDUP(Panchanga!$N425,0),"Bhava","Baalava","Kaulava","Taitula","Garija","Vanija","Vishti","Shakuni","Chatushapda","Naaga","Kimstugna")</f>
        <v>Baalava</v>
      </c>
      <c r="P425" s="11" t="str">
        <f>CHOOSE(ROUNDUP(Panchanga!$S425,0),"viṣkambha","prīti","āyuṣmāna","saubhāgya","śobhana","atigaṇḍa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("&amp;Panchanga!$S425&amp;")"</f>
        <v>sādhya (21.25)</v>
      </c>
      <c r="Q425" s="4">
        <f>IF(AND(Panchanga!$R425&lt;28.5,Panchanga!$R425&gt;0.49999),MOD((Panchanga!$R425-0.5)*2,7),MOD((Panchanga!$R425+30-28.5),30)*2+7)</f>
        <v>1.9009999999999962</v>
      </c>
      <c r="R425" s="4">
        <f>ROUNDUP(MOD(360+P[[#This Row],[Moon]]-P[[#This Row],[Sun]],360)/12,4)</f>
        <v>22.450499999999998</v>
      </c>
      <c r="S425" s="4">
        <f>ROUNDUP(MOD(P[[#This Row],[Sun]]+P[[#This Row],[Moon]],360)/13.333333333,2)</f>
        <v>21.25</v>
      </c>
      <c r="T425" s="4" t="str">
        <f>SIGN(W426-Panchanga!$W425)*INT(Panchanga!$W425/30+1)&amp;"Ma,"&amp;SIGN(X426-Panchanga!$X425)*INT(Panchanga!$X425/30+1)&amp;"Me,"&amp;SIGN(Y426-Panchanga!$Y425)*INT(Panchanga!$Y425/30+1)&amp;"J, "&amp;SIGN(Z426-Panchanga!$Z425)*INT(Panchanga!$Z425/30+1)&amp;"V,"&amp;SIGN(AA426-Panchanga!$AA425)*INT(Panchanga!$AA425/30+1)&amp;"S,"&amp;INT(Panchanga!$AB425/30+1)&amp;"R"</f>
        <v>4Ma,12Me,2J, 12V,12S,12R</v>
      </c>
      <c r="U425" s="4">
        <f t="shared" si="52"/>
        <v>6.9474798756169847</v>
      </c>
      <c r="V425" s="4">
        <f t="shared" si="53"/>
        <v>276.352661554365</v>
      </c>
      <c r="W425" s="4">
        <f>Planet(Panchanga!$G425,4)</f>
        <v>96.974216579392106</v>
      </c>
      <c r="X425" s="4">
        <f>Planet(Panchanga!$G425,2)</f>
        <v>339.67111245607333</v>
      </c>
      <c r="Y425" s="4">
        <f>Planet(Panchanga!$G425,5)</f>
        <v>55.218115768137018</v>
      </c>
      <c r="Z425" s="4">
        <f>Planet(Panchanga!$G425,3)</f>
        <v>331.61173483463051</v>
      </c>
      <c r="AA425" s="4">
        <f>Planet(Panchanga!$G425,6)</f>
        <v>332.58498968581267</v>
      </c>
      <c r="AB425" s="4">
        <f>Planet(Panchanga!$G425,10)</f>
        <v>331.46097349581521</v>
      </c>
      <c r="AC425" s="4" t="str">
        <f>TEXT(Panchanga!$C425+($C426-Panchanga!$C425)/ABS(IF($R426&lt;1,$R426+30,$R426)-Panchanga!$R425)*(ROUNDUP(Panchanga!$R425,0)-Panchanga!$R425),"hh:mm AM/PM")</f>
        <v>06:53 PM</v>
      </c>
      <c r="AD425" s="4"/>
    </row>
    <row r="426" spans="1:30" x14ac:dyDescent="0.2">
      <c r="A426" s="3">
        <f t="shared" si="55"/>
        <v>45769</v>
      </c>
      <c r="B426" s="3">
        <f t="shared" si="50"/>
        <v>45769.229166666664</v>
      </c>
      <c r="C426" s="6">
        <f t="shared" si="51"/>
        <v>45769.245581230767</v>
      </c>
      <c r="D426" s="6">
        <f>sunset(Lat,Long,B426)+TimeZone/24-0.000277777777777778</f>
        <v>45768.765687536492</v>
      </c>
      <c r="E426" s="6">
        <f>PlanetRiseSet(Lat,Long,B426,1,1)+TimeZone/24+0.00103009259259259</f>
        <v>45769.063165226638</v>
      </c>
      <c r="F426" s="6">
        <f>PlanetRiseSet(Lat,Long,B426+1,1,2)+TimeZone/24+0.00103009259259259</f>
        <v>45769.551538543463</v>
      </c>
      <c r="G426" s="17">
        <f>Panchanga!$C426-TimeZone/24</f>
        <v>45769.016414564103</v>
      </c>
      <c r="H426" s="13" t="str">
        <f>INT(P[[#This Row],[Sun]]/30)&amp;"s"&amp;ROUNDUP(MOD(P[[#This Row],[Sun]],30),2)</f>
        <v>0s7.93</v>
      </c>
      <c r="I426" s="13" t="str">
        <f>INT(P[[#This Row],[Moon]]/30)&amp;"s"&amp;ROUNDUP(MOD(P[[#This Row],[Moon]],30),2)</f>
        <v>9s19.51</v>
      </c>
      <c r="J426" s="14">
        <f t="shared" si="54"/>
        <v>45769.016414564103</v>
      </c>
      <c r="K426" s="10" t="str">
        <f>naks(P[[#This Row],[Moon]])</f>
        <v>Sravana</v>
      </c>
      <c r="L426" s="15">
        <f>(C427-P[[#This Row],[SunRise]])/(MOD(360+V427-P[[#This Row],[Moon]],360))*(13.3333333333333-MOD(P[[#This Row],[Moon]],13.333333333333))+P[[#This Row],[SunRise]]</f>
        <v>45769.52755753776</v>
      </c>
      <c r="M426" s="4" t="str">
        <f>IF(Panchanga!$R426&gt;15,"K","S")&amp;ROUNDUP(MOD(Panchanga!$R426,15),0)&amp;" ("&amp;ROUND(Panchanga!$R426,2)&amp;")"</f>
        <v>K9 (23.47)</v>
      </c>
      <c r="N426" s="4">
        <f>IF(AND(Panchanga!$R426&lt;28.5,Panchanga!$R426&gt;0.49999),MOD((Panchanga!$R426-0.5)*2,7),MOD((Panchanga!$R426+30-28.5),30)*2+7)</f>
        <v>3.9309999999999974</v>
      </c>
      <c r="O426" s="4" t="str">
        <f>CHOOSE(ROUNDUP(Panchanga!$N426,0),"Bhava","Baalava","Kaulava","Taitula","Garija","Vanija","Vishti","Shakuni","Chatushapda","Naaga","Kimstugna")</f>
        <v>Taitula</v>
      </c>
      <c r="P426" s="11" t="str">
        <f>CHOOSE(ROUNDUP(Panchanga!$S426,0),"viṣkambha","prīti","āyuṣmāna","saubhāgya","śobhana","atigaṇḍa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("&amp;Panchanga!$S426&amp;")"</f>
        <v>śubha (22.31)</v>
      </c>
      <c r="Q426" s="4">
        <f>IF(AND(Panchanga!$R426&lt;28.5,Panchanga!$R426&gt;0.49999),MOD((Panchanga!$R426-0.5)*2,7),MOD((Panchanga!$R426+30-28.5),30)*2+7)</f>
        <v>3.9309999999999974</v>
      </c>
      <c r="R426" s="4">
        <f>ROUNDUP(MOD(360+P[[#This Row],[Moon]]-P[[#This Row],[Sun]],360)/12,4)</f>
        <v>23.465499999999999</v>
      </c>
      <c r="S426" s="4">
        <f>ROUNDUP(MOD(P[[#This Row],[Sun]]+P[[#This Row],[Moon]],360)/13.333333333,2)</f>
        <v>22.310000000000002</v>
      </c>
      <c r="T426" s="4" t="str">
        <f>SIGN(W427-Panchanga!$W426)*INT(Panchanga!$W426/30+1)&amp;"Ma,"&amp;SIGN(X427-Panchanga!$X426)*INT(Panchanga!$X426/30+1)&amp;"Me,"&amp;SIGN(Y427-Panchanga!$Y426)*INT(Panchanga!$Y426/30+1)&amp;"J, "&amp;SIGN(Z427-Panchanga!$Z426)*INT(Panchanga!$Z426/30+1)&amp;"V,"&amp;SIGN(AA427-Panchanga!$AA426)*INT(Panchanga!$AA426/30+1)&amp;"S,"&amp;INT(Panchanga!$AB426/30+1)&amp;"R"</f>
        <v>4Ma,12Me,2J, 12V,12S,12R</v>
      </c>
      <c r="U426" s="4">
        <f t="shared" si="52"/>
        <v>7.9228906011366522</v>
      </c>
      <c r="V426" s="4">
        <f t="shared" si="53"/>
        <v>289.5085368244018</v>
      </c>
      <c r="W426" s="4">
        <f>Planet(Panchanga!$G426,4)</f>
        <v>97.399328329482259</v>
      </c>
      <c r="X426" s="4">
        <f>Planet(Panchanga!$G426,2)</f>
        <v>340.64088346311081</v>
      </c>
      <c r="Y426" s="4">
        <f>Planet(Panchanga!$G426,5)</f>
        <v>55.406642082448457</v>
      </c>
      <c r="Z426" s="4">
        <f>Planet(Panchanga!$G426,3)</f>
        <v>331.91800738189914</v>
      </c>
      <c r="AA426" s="4">
        <f>Planet(Panchanga!$G426,6)</f>
        <v>332.69384511349892</v>
      </c>
      <c r="AB426" s="4">
        <f>Planet(Panchanga!$G426,10)</f>
        <v>331.40800146697183</v>
      </c>
      <c r="AC426" s="4" t="str">
        <f>TEXT(Panchanga!$C426+($C427-Panchanga!$C426)/ABS(IF($R427&lt;1,$R427+30,$R427)-Panchanga!$R426)*(ROUNDUP(Panchanga!$R426,0)-Panchanga!$R426),"hh:mm AM/PM")</f>
        <v>06:07 PM</v>
      </c>
      <c r="AD426" s="4"/>
    </row>
    <row r="427" spans="1:30" x14ac:dyDescent="0.2">
      <c r="A427" s="3">
        <f t="shared" si="55"/>
        <v>45770</v>
      </c>
      <c r="B427" s="3">
        <f t="shared" si="50"/>
        <v>45770.229166666664</v>
      </c>
      <c r="C427" s="6">
        <f t="shared" si="51"/>
        <v>45770.245211665206</v>
      </c>
      <c r="D427" s="6">
        <f>sunset(Lat,Long,B427)+TimeZone/24-0.000277777777777778</f>
        <v>45769.765790761958</v>
      </c>
      <c r="E427" s="6">
        <f>PlanetRiseSet(Lat,Long,B427,1,1)+TimeZone/24+0.00103009259259259</f>
        <v>45770.094200140949</v>
      </c>
      <c r="F427" s="6">
        <f>PlanetRiseSet(Lat,Long,B427+1,1,2)+TimeZone/24+0.00103009259259259</f>
        <v>45770.590465492256</v>
      </c>
      <c r="G427" s="17">
        <f>Panchanga!$C427-TimeZone/24</f>
        <v>45770.016044998541</v>
      </c>
      <c r="H427" s="13" t="str">
        <f>INT(P[[#This Row],[Sun]]/30)&amp;"s"&amp;ROUNDUP(MOD(P[[#This Row],[Sun]],30),2)</f>
        <v>0s8.9</v>
      </c>
      <c r="I427" s="13" t="str">
        <f>INT(P[[#This Row],[Moon]]/30)&amp;"s"&amp;ROUNDUP(MOD(P[[#This Row],[Moon]],30),2)</f>
        <v>10s3.07</v>
      </c>
      <c r="J427" s="14">
        <f t="shared" si="54"/>
        <v>45770.016044998541</v>
      </c>
      <c r="K427" s="10" t="str">
        <f>naks(P[[#This Row],[Moon]])</f>
        <v>Dhanistha</v>
      </c>
      <c r="L427" s="15">
        <f>(C428-P[[#This Row],[SunRise]])/(MOD(360+V428-P[[#This Row],[Moon]],360))*(13.3333333333333-MOD(P[[#This Row],[Moon]],13.333333333333))+P[[#This Row],[SunRise]]</f>
        <v>45770.502316220147</v>
      </c>
      <c r="M427" s="4" t="str">
        <f>IF(Panchanga!$R427&gt;15,"K","S")&amp;ROUNDUP(MOD(Panchanga!$R427,15),0)&amp;" ("&amp;ROUND(Panchanga!$R427,2)&amp;")"</f>
        <v>K10 (24.51)</v>
      </c>
      <c r="N427" s="4">
        <f>IF(AND(Panchanga!$R427&lt;28.5,Panchanga!$R427&gt;0.49999),MOD((Panchanga!$R427-0.5)*2,7),MOD((Panchanga!$R427+30-28.5),30)*2+7)</f>
        <v>6.0283999999999978</v>
      </c>
      <c r="O427" s="4" t="str">
        <f>CHOOSE(ROUNDUP(Panchanga!$N427,0),"Bhava","Baalava","Kaulava","Taitula","Garija","Vanija","Vishti","Shakuni","Chatushapda","Naaga","Kimstugna")</f>
        <v>Vishti</v>
      </c>
      <c r="P427" s="11" t="str">
        <f>CHOOSE(ROUNDUP(Panchanga!$S427,0),"viṣkambha","prīti","āyuṣmāna","saubhāgya","śobhana","atigaṇḍa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("&amp;Panchanga!$S427&amp;")"</f>
        <v>śukla (23.4)</v>
      </c>
      <c r="Q427" s="4">
        <f>IF(AND(Panchanga!$R427&lt;28.5,Panchanga!$R427&gt;0.49999),MOD((Panchanga!$R427-0.5)*2,7),MOD((Panchanga!$R427+30-28.5),30)*2+7)</f>
        <v>6.0283999999999978</v>
      </c>
      <c r="R427" s="4">
        <f>ROUNDUP(MOD(360+P[[#This Row],[Moon]]-P[[#This Row],[Sun]],360)/12,4)</f>
        <v>24.514199999999999</v>
      </c>
      <c r="S427" s="4">
        <f>ROUNDUP(MOD(P[[#This Row],[Sun]]+P[[#This Row],[Moon]],360)/13.333333333,2)</f>
        <v>23.400000000000002</v>
      </c>
      <c r="T427" s="4" t="str">
        <f>SIGN(W428-Panchanga!$W427)*INT(Panchanga!$W427/30+1)&amp;"Ma,"&amp;SIGN(X428-Panchanga!$X427)*INT(Panchanga!$X427/30+1)&amp;"Me,"&amp;SIGN(Y428-Panchanga!$Y427)*INT(Panchanga!$Y427/30+1)&amp;"J, "&amp;SIGN(Z428-Panchanga!$Z427)*INT(Panchanga!$Z427/30+1)&amp;"V,"&amp;SIGN(AA428-Panchanga!$AA427)*INT(Panchanga!$AA427/30+1)&amp;"S,"&amp;INT(Panchanga!$AB427/30+1)&amp;"R"</f>
        <v>4Ma,12Me,2J, 12V,12S,12R</v>
      </c>
      <c r="U427" s="4">
        <f t="shared" si="52"/>
        <v>8.8978637988564557</v>
      </c>
      <c r="V427" s="4">
        <f t="shared" si="53"/>
        <v>303.06777177078692</v>
      </c>
      <c r="W427" s="4">
        <f>Planet(Panchanga!$G427,4)</f>
        <v>97.828230661786066</v>
      </c>
      <c r="X427" s="4">
        <f>Planet(Panchanga!$G427,2)</f>
        <v>341.65856487047421</v>
      </c>
      <c r="Y427" s="4">
        <f>Planet(Panchanga!$G427,5)</f>
        <v>55.596526108949256</v>
      </c>
      <c r="Z427" s="4">
        <f>Planet(Panchanga!$G427,3)</f>
        <v>332.25558264300872</v>
      </c>
      <c r="AA427" s="4">
        <f>Planet(Panchanga!$G427,6)</f>
        <v>332.80197982036049</v>
      </c>
      <c r="AB427" s="4">
        <f>Planet(Panchanga!$G427,10)</f>
        <v>331.35502906457123</v>
      </c>
      <c r="AC427" s="4" t="str">
        <f>TEXT(Panchanga!$C427+($C428-Panchanga!$C427)/ABS(IF($R428&lt;1,$R428+30,$R428)-Panchanga!$R427)*(ROUNDUP(Panchanga!$R427,0)-Panchanga!$R427),"hh:mm AM/PM")</f>
        <v>04:37 PM</v>
      </c>
      <c r="AD427" s="4"/>
    </row>
    <row r="428" spans="1:30" x14ac:dyDescent="0.2">
      <c r="A428" s="3">
        <f t="shared" si="55"/>
        <v>45771</v>
      </c>
      <c r="B428" s="3">
        <f t="shared" si="50"/>
        <v>45771.229166666664</v>
      </c>
      <c r="C428" s="6">
        <f t="shared" si="51"/>
        <v>45771.244849354647</v>
      </c>
      <c r="D428" s="6">
        <f>sunset(Lat,Long,B428)+TimeZone/24-0.000277777777777778</f>
        <v>45770.765897804449</v>
      </c>
      <c r="E428" s="6">
        <f>PlanetRiseSet(Lat,Long,B428,1,1)+TimeZone/24+0.00103009259259259</f>
        <v>45771.123889238261</v>
      </c>
      <c r="F428" s="6">
        <f>PlanetRiseSet(Lat,Long,B428+1,1,2)+TimeZone/24+0.00103009259259259</f>
        <v>45771.629230729457</v>
      </c>
      <c r="G428" s="17">
        <f>Panchanga!$C428-TimeZone/24</f>
        <v>45771.015682687983</v>
      </c>
      <c r="H428" s="13" t="str">
        <f>INT(P[[#This Row],[Sun]]/30)&amp;"s"&amp;ROUNDUP(MOD(P[[#This Row],[Sun]],30),2)</f>
        <v>0s9.88</v>
      </c>
      <c r="I428" s="13" t="str">
        <f>INT(P[[#This Row],[Moon]]/30)&amp;"s"&amp;ROUNDUP(MOD(P[[#This Row],[Moon]],30),2)</f>
        <v>10s17.07</v>
      </c>
      <c r="J428" s="14">
        <f t="shared" si="54"/>
        <v>45771.015682687983</v>
      </c>
      <c r="K428" s="10" t="str">
        <f>naks(P[[#This Row],[Moon]])</f>
        <v>Satabhisaj</v>
      </c>
      <c r="L428" s="15">
        <f>(C429-P[[#This Row],[SunRise]])/(MOD(360+V429-P[[#This Row],[Moon]],360))*(13.3333333333333-MOD(P[[#This Row],[Moon]],13.333333333333))+P[[#This Row],[SunRise]]</f>
        <v>45771.448565859449</v>
      </c>
      <c r="M428" s="4" t="str">
        <f>IF(Panchanga!$R428&gt;15,"K","S")&amp;ROUNDUP(MOD(Panchanga!$R428,15),0)&amp;" ("&amp;ROUND(Panchanga!$R428,2)&amp;")"</f>
        <v>K11 (25.6)</v>
      </c>
      <c r="N428" s="4">
        <f>IF(AND(Panchanga!$R428&lt;28.5,Panchanga!$R428&gt;0.49999),MOD((Panchanga!$R428-0.5)*2,7),MOD((Panchanga!$R428+30-28.5),30)*2+7)</f>
        <v>1.1981999999999999</v>
      </c>
      <c r="O428" s="4" t="str">
        <f>CHOOSE(ROUNDUP(Panchanga!$N428,0),"Bhava","Baalava","Kaulava","Taitula","Garija","Vanija","Vishti","Shakuni","Chatushapda","Naaga","Kimstugna")</f>
        <v>Baalava</v>
      </c>
      <c r="P428" s="11" t="str">
        <f>CHOOSE(ROUNDUP(Panchanga!$S428,0),"viṣkambha","prīti","āyuṣmāna","saubhāgya","śobhana","atigaṇḍa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("&amp;Panchanga!$S428&amp;")"</f>
        <v>brahma (24.52)</v>
      </c>
      <c r="Q428" s="4">
        <f>IF(AND(Panchanga!$R428&lt;28.5,Panchanga!$R428&gt;0.49999),MOD((Panchanga!$R428-0.5)*2,7),MOD((Panchanga!$R428+30-28.5),30)*2+7)</f>
        <v>1.1981999999999999</v>
      </c>
      <c r="R428" s="4">
        <f>ROUNDUP(MOD(360+P[[#This Row],[Moon]]-P[[#This Row],[Sun]],360)/12,4)</f>
        <v>25.5991</v>
      </c>
      <c r="S428" s="4">
        <f>ROUNDUP(MOD(P[[#This Row],[Sun]]+P[[#This Row],[Moon]],360)/13.333333333,2)</f>
        <v>24.520000000000003</v>
      </c>
      <c r="T428" s="4" t="str">
        <f>SIGN(W429-Panchanga!$W428)*INT(Panchanga!$W428/30+1)&amp;"Ma,"&amp;SIGN(X429-Panchanga!$X428)*INT(Panchanga!$X428/30+1)&amp;"Me,"&amp;SIGN(Y429-Panchanga!$Y428)*INT(Panchanga!$Y428/30+1)&amp;"J, "&amp;SIGN(Z429-Panchanga!$Z428)*INT(Panchanga!$Z428/30+1)&amp;"V,"&amp;SIGN(AA429-Panchanga!$AA428)*INT(Panchanga!$AA428/30+1)&amp;"S,"&amp;INT(Panchanga!$AB428/30+1)&amp;"R"</f>
        <v>4Ma,12Me,2J, 12V,12S,12R</v>
      </c>
      <c r="U428" s="4">
        <f t="shared" si="52"/>
        <v>9.8724004614513703</v>
      </c>
      <c r="V428" s="4">
        <f t="shared" si="53"/>
        <v>317.06048760978501</v>
      </c>
      <c r="W428" s="4">
        <f>Planet(Panchanga!$G428,4)</f>
        <v>98.260860025843201</v>
      </c>
      <c r="X428" s="4">
        <f>Planet(Panchanga!$G428,2)</f>
        <v>342.72217125007944</v>
      </c>
      <c r="Y428" s="4">
        <f>Planet(Panchanga!$G428,5)</f>
        <v>55.787743502586039</v>
      </c>
      <c r="Z428" s="4">
        <f>Planet(Panchanga!$G428,3)</f>
        <v>332.62335705179396</v>
      </c>
      <c r="AA428" s="4">
        <f>Planet(Panchanga!$G428,6)</f>
        <v>332.9093751477177</v>
      </c>
      <c r="AB428" s="4">
        <f>Planet(Panchanga!$G428,10)</f>
        <v>331.30205627771073</v>
      </c>
      <c r="AC428" s="4" t="str">
        <f>TEXT(Panchanga!$C428+($C429-Panchanga!$C428)/ABS(IF($R429&lt;1,$R429+30,$R429)-Panchanga!$R428)*(ROUNDUP(Panchanga!$R428,0)-Panchanga!$R428),"hh:mm AM/PM")</f>
        <v>02:27 PM</v>
      </c>
      <c r="AD428" s="4"/>
    </row>
    <row r="429" spans="1:30" x14ac:dyDescent="0.2">
      <c r="A429" s="3">
        <f t="shared" si="55"/>
        <v>45772</v>
      </c>
      <c r="B429" s="3">
        <f t="shared" si="50"/>
        <v>45772.229166666664</v>
      </c>
      <c r="C429" s="6">
        <f t="shared" si="51"/>
        <v>45772.244494490478</v>
      </c>
      <c r="D429" s="6">
        <f>sunset(Lat,Long,B429)+TimeZone/24-0.000277777777777778</f>
        <v>45771.766008718449</v>
      </c>
      <c r="E429" s="6">
        <f>PlanetRiseSet(Lat,Long,B429,1,1)+TimeZone/24+0.00103009259259259</f>
        <v>45772.153066008039</v>
      </c>
      <c r="F429" s="6">
        <f>PlanetRiseSet(Lat,Long,B429+1,1,2)+TimeZone/24+0.00103009259259259</f>
        <v>45772.668461115252</v>
      </c>
      <c r="G429" s="17">
        <f>Panchanga!$C429-TimeZone/24</f>
        <v>45772.015327823814</v>
      </c>
      <c r="H429" s="13" t="str">
        <f>INT(P[[#This Row],[Sun]]/30)&amp;"s"&amp;ROUNDUP(MOD(P[[#This Row],[Sun]],30),2)</f>
        <v>0s10.85</v>
      </c>
      <c r="I429" s="13" t="str">
        <f>INT(P[[#This Row],[Moon]]/30)&amp;"s"&amp;ROUNDUP(MOD(P[[#This Row],[Moon]],30),2)</f>
        <v>11s1.49</v>
      </c>
      <c r="J429" s="14">
        <f t="shared" si="54"/>
        <v>45772.015327823814</v>
      </c>
      <c r="K429" s="10" t="str">
        <f>naks(P[[#This Row],[Moon]])</f>
        <v>Purva Bhadrapada</v>
      </c>
      <c r="L429" s="15">
        <f>(C430-P[[#This Row],[SunRise]])/(MOD(360+V430-P[[#This Row],[Moon]],360))*(13.3333333333333-MOD(P[[#This Row],[Moon]],13.333333333333))+P[[#This Row],[SunRise]]</f>
        <v>45772.369268068906</v>
      </c>
      <c r="M429" s="4" t="str">
        <f>IF(Panchanga!$R429&gt;15,"K","S")&amp;ROUNDUP(MOD(Panchanga!$R429,15),0)&amp;" ("&amp;ROUND(Panchanga!$R429,2)&amp;")"</f>
        <v>K12 (26.72)</v>
      </c>
      <c r="N429" s="4">
        <f>IF(AND(Panchanga!$R429&lt;28.5,Panchanga!$R429&gt;0.49999),MOD((Panchanga!$R429-0.5)*2,7),MOD((Panchanga!$R429+30-28.5),30)*2+7)</f>
        <v>3.4397999999999982</v>
      </c>
      <c r="O429" s="4" t="str">
        <f>CHOOSE(ROUNDUP(Panchanga!$N429,0),"Bhava","Baalava","Kaulava","Taitula","Garija","Vanija","Vishti","Shakuni","Chatushapda","Naaga","Kimstugna")</f>
        <v>Taitula</v>
      </c>
      <c r="P429" s="11" t="str">
        <f>CHOOSE(ROUNDUP(Panchanga!$S429,0),"viṣkambha","prīti","āyuṣmāna","saubhāgya","śobhana","atigaṇḍa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("&amp;Panchanga!$S429&amp;")"</f>
        <v>mahendra (25.68)</v>
      </c>
      <c r="Q429" s="4">
        <f>IF(AND(Panchanga!$R429&lt;28.5,Panchanga!$R429&gt;0.49999),MOD((Panchanga!$R429-0.5)*2,7),MOD((Panchanga!$R429+30-28.5),30)*2+7)</f>
        <v>3.4397999999999982</v>
      </c>
      <c r="R429" s="4">
        <f>ROUNDUP(MOD(360+P[[#This Row],[Moon]]-P[[#This Row],[Sun]],360)/12,4)</f>
        <v>26.719899999999999</v>
      </c>
      <c r="S429" s="4">
        <f>ROUNDUP(MOD(P[[#This Row],[Sun]]+P[[#This Row],[Moon]],360)/13.333333333,2)</f>
        <v>25.680000000000003</v>
      </c>
      <c r="T429" s="4" t="str">
        <f>SIGN(W430-Panchanga!$W429)*INT(Panchanga!$W429/30+1)&amp;"Ma,"&amp;SIGN(X430-Panchanga!$X429)*INT(Panchanga!$X429/30+1)&amp;"Me,"&amp;SIGN(Y430-Panchanga!$Y429)*INT(Panchanga!$Y429/30+1)&amp;"J, "&amp;SIGN(Z430-Panchanga!$Z429)*INT(Panchanga!$Z429/30+1)&amp;"V,"&amp;SIGN(AA430-Panchanga!$AA429)*INT(Panchanga!$AA429/30+1)&amp;"S,"&amp;INT(Panchanga!$AB429/30+1)&amp;"R"</f>
        <v>4Ma,12Me,2J, 12V,12S,12R</v>
      </c>
      <c r="U429" s="4">
        <f t="shared" si="52"/>
        <v>10.846496917738175</v>
      </c>
      <c r="V429" s="4">
        <f t="shared" si="53"/>
        <v>331.48479390446641</v>
      </c>
      <c r="W429" s="4">
        <f>Planet(Panchanga!$G429,4)</f>
        <v>98.697154513447757</v>
      </c>
      <c r="X429" s="4">
        <f>Planet(Panchanga!$G429,2)</f>
        <v>343.82988522665426</v>
      </c>
      <c r="Y429" s="4">
        <f>Planet(Panchanga!$G429,5)</f>
        <v>55.98026941320429</v>
      </c>
      <c r="Z429" s="4">
        <f>Planet(Panchanga!$G429,3)</f>
        <v>333.02022749032142</v>
      </c>
      <c r="AA429" s="4">
        <f>Planet(Panchanga!$G429,6)</f>
        <v>333.01601200479411</v>
      </c>
      <c r="AB429" s="4">
        <f>Planet(Panchanga!$G429,10)</f>
        <v>331.24908309623402</v>
      </c>
      <c r="AC429" s="4" t="str">
        <f>TEXT(Panchanga!$C429+($C430-Panchanga!$C429)/ABS(IF($R430&lt;1,$R430+30,$R430)-Panchanga!$R429)*(ROUNDUP(Panchanga!$R429,0)-Panchanga!$R429),"hh:mm AM/PM")</f>
        <v>11:41 AM</v>
      </c>
      <c r="AD429" s="4"/>
    </row>
    <row r="430" spans="1:30" x14ac:dyDescent="0.2">
      <c r="A430" s="3">
        <f t="shared" si="55"/>
        <v>45773</v>
      </c>
      <c r="B430" s="3">
        <f t="shared" si="50"/>
        <v>45773.229166666664</v>
      </c>
      <c r="C430" s="6">
        <f t="shared" si="51"/>
        <v>45773.244147242665</v>
      </c>
      <c r="D430" s="6">
        <f>sunset(Lat,Long,B430)+TimeZone/24-0.000277777777777778</f>
        <v>45772.766123538415</v>
      </c>
      <c r="E430" s="6">
        <f>PlanetRiseSet(Lat,Long,B430,1,1)+TimeZone/24+0.00103009259259259</f>
        <v>45773.182738126408</v>
      </c>
      <c r="F430" s="6">
        <f>PlanetRiseSet(Lat,Long,B430+1,1,2)+TimeZone/24+0.00103009259259259</f>
        <v>45773.708970095184</v>
      </c>
      <c r="G430" s="17">
        <f>Panchanga!$C430-TimeZone/24</f>
        <v>45773.014980576001</v>
      </c>
      <c r="H430" s="13" t="str">
        <f>INT(P[[#This Row],[Sun]]/30)&amp;"s"&amp;ROUNDUP(MOD(P[[#This Row],[Sun]],30),2)</f>
        <v>0s11.83</v>
      </c>
      <c r="I430" s="13" t="str">
        <f>INT(P[[#This Row],[Moon]]/30)&amp;"s"&amp;ROUNDUP(MOD(P[[#This Row],[Moon]],30),2)</f>
        <v>11s16.3</v>
      </c>
      <c r="J430" s="14">
        <f t="shared" si="54"/>
        <v>45773.014980576001</v>
      </c>
      <c r="K430" s="10" t="str">
        <f>naks(P[[#This Row],[Moon]])</f>
        <v>Uttara Bhadrapada</v>
      </c>
      <c r="L430" s="15">
        <f>(C431-P[[#This Row],[SunRise]])/(MOD(360+V431-P[[#This Row],[Moon]],360))*(13.3333333333333-MOD(P[[#This Row],[Moon]],13.333333333333))+P[[#This Row],[SunRise]]</f>
        <v>45773.268767237321</v>
      </c>
      <c r="M430" s="4" t="str">
        <f>IF(Panchanga!$R430&gt;15,"K","S")&amp;ROUNDUP(MOD(Panchanga!$R430,15),0)&amp;" ("&amp;ROUND(Panchanga!$R430,2)&amp;")"</f>
        <v>K13 (27.87)</v>
      </c>
      <c r="N430" s="4">
        <f>IF(AND(Panchanga!$R430&lt;28.5,Panchanga!$R430&gt;0.49999),MOD((Panchanga!$R430-0.5)*2,7),MOD((Panchanga!$R430+30-28.5),30)*2+7)</f>
        <v>5.7458000000000027</v>
      </c>
      <c r="O430" s="4" t="str">
        <f>CHOOSE(ROUNDUP(Panchanga!$N430,0),"Bhava","Baalava","Kaulava","Taitula","Garija","Vanija","Vishti","Shakuni","Chatushapda","Naaga","Kimstugna")</f>
        <v>Vanija</v>
      </c>
      <c r="P430" s="11" t="str">
        <f>CHOOSE(ROUNDUP(Panchanga!$S430,0),"viṣkambha","prīti","āyuṣmāna","saubhāgya","śobhana","atigaṇḍa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("&amp;Panchanga!$S430&amp;")"</f>
        <v>vaidhṛti (26.86)</v>
      </c>
      <c r="Q430" s="4">
        <f>IF(AND(Panchanga!$R430&lt;28.5,Panchanga!$R430&gt;0.49999),MOD((Panchanga!$R430-0.5)*2,7),MOD((Panchanga!$R430+30-28.5),30)*2+7)</f>
        <v>5.7458000000000027</v>
      </c>
      <c r="R430" s="4">
        <f>ROUNDUP(MOD(360+P[[#This Row],[Moon]]-P[[#This Row],[Sun]],360)/12,4)</f>
        <v>27.872900000000001</v>
      </c>
      <c r="S430" s="4">
        <f>ROUNDUP(MOD(P[[#This Row],[Sun]]+P[[#This Row],[Moon]],360)/13.333333333,2)</f>
        <v>26.860000000000003</v>
      </c>
      <c r="T430" s="4" t="str">
        <f>SIGN(W431-Panchanga!$W430)*INT(Panchanga!$W430/30+1)&amp;"Ma,"&amp;SIGN(X431-Panchanga!$X430)*INT(Panchanga!$X430/30+1)&amp;"Me,"&amp;SIGN(Y431-Panchanga!$Y430)*INT(Panchanga!$Y430/30+1)&amp;"J, "&amp;SIGN(Z431-Panchanga!$Z430)*INT(Panchanga!$Z430/30+1)&amp;"V,"&amp;SIGN(AA431-Panchanga!$AA430)*INT(Panchanga!$AA430/30+1)&amp;"S,"&amp;INT(Panchanga!$AB430/30+1)&amp;"R"</f>
        <v>4Ma,12Me,2J, 12V,12S,12R</v>
      </c>
      <c r="U430" s="4">
        <f t="shared" si="52"/>
        <v>11.820144267955056</v>
      </c>
      <c r="V430" s="4">
        <f t="shared" si="53"/>
        <v>346.29480056482066</v>
      </c>
      <c r="W430" s="4">
        <f>Planet(Panchanga!$G430,4)</f>
        <v>99.137052398539439</v>
      </c>
      <c r="X430" s="4">
        <f>Planet(Panchanga!$G430,2)</f>
        <v>344.98005198457378</v>
      </c>
      <c r="Y430" s="4">
        <f>Planet(Panchanga!$G430,5)</f>
        <v>56.174078171063101</v>
      </c>
      <c r="Z430" s="4">
        <f>Planet(Panchanga!$G430,3)</f>
        <v>333.44509913613882</v>
      </c>
      <c r="AA430" s="4">
        <f>Planet(Panchanga!$G430,6)</f>
        <v>333.12187094356693</v>
      </c>
      <c r="AB430" s="4">
        <f>Planet(Panchanga!$G430,10)</f>
        <v>331.19610951117721</v>
      </c>
      <c r="AC430" s="4" t="str">
        <f>TEXT(Panchanga!$C430+($C431-Panchanga!$C430)/ABS(IF($R431&lt;1,$R431+30,$R431)-Panchanga!$R430)*(ROUNDUP(Panchanga!$R430,0)-Panchanga!$R430),"hh:mm AM/PM")</f>
        <v>08:27 AM</v>
      </c>
      <c r="AD430" s="4"/>
    </row>
    <row r="431" spans="1:30" x14ac:dyDescent="0.2">
      <c r="A431" s="3">
        <f t="shared" si="55"/>
        <v>45774</v>
      </c>
      <c r="B431" s="3">
        <f t="shared" si="50"/>
        <v>45774.229166666664</v>
      </c>
      <c r="C431" s="6">
        <f t="shared" si="51"/>
        <v>45774.243807762548</v>
      </c>
      <c r="D431" s="6">
        <f>sunset(Lat,Long,B431)+TimeZone/24-0.000277777777777778</f>
        <v>45773.766242275989</v>
      </c>
      <c r="E431" s="6">
        <f>PlanetRiseSet(Lat,Long,B431,1,1)+TimeZone/24+0.00103009259259259</f>
        <v>45774.214012128454</v>
      </c>
      <c r="F431" s="6">
        <f>PlanetRiseSet(Lat,Long,B431+1,1,2)+TimeZone/24+0.00103009259259259</f>
        <v>45774.751515384916</v>
      </c>
      <c r="G431" s="17">
        <f>Panchanga!$C431-TimeZone/24</f>
        <v>45774.014641095884</v>
      </c>
      <c r="H431" s="13" t="str">
        <f>INT(P[[#This Row],[Sun]]/30)&amp;"s"&amp;ROUNDUP(MOD(P[[#This Row],[Sun]],30),2)</f>
        <v>0s12.8</v>
      </c>
      <c r="I431" s="13" t="str">
        <f>INT(P[[#This Row],[Moon]]/30)&amp;"s"&amp;ROUNDUP(MOD(P[[#This Row],[Moon]],30),2)</f>
        <v>0s1.4</v>
      </c>
      <c r="J431" s="14">
        <f t="shared" si="54"/>
        <v>45774.014641095884</v>
      </c>
      <c r="K431" s="10" t="str">
        <f>naks(P[[#This Row],[Moon]])</f>
        <v>Aswini</v>
      </c>
      <c r="L431" s="15">
        <f>(C432-P[[#This Row],[SunRise]])/(MOD(360+V432-P[[#This Row],[Moon]],360))*(13.3333333333333-MOD(P[[#This Row],[Moon]],13.333333333333))+P[[#This Row],[SunRise]]</f>
        <v>45775.026715878499</v>
      </c>
      <c r="M431" s="4" t="str">
        <f>IF(Panchanga!$R431&gt;15,"K","S")&amp;ROUNDUP(MOD(Panchanga!$R431,15),0)&amp;" ("&amp;ROUND(Panchanga!$R431,2)&amp;")"</f>
        <v>K15 (29.05)</v>
      </c>
      <c r="N431" s="4">
        <f>IF(AND(Panchanga!$R431&lt;28.5,Panchanga!$R431&gt;0.49999),MOD((Panchanga!$R431-0.5)*2,7),MOD((Panchanga!$R431+30-28.5),30)*2+7)</f>
        <v>8.100200000000001</v>
      </c>
      <c r="O431" s="4" t="str">
        <f>CHOOSE(ROUNDUP(Panchanga!$N431,0),"Bhava","Baalava","Kaulava","Taitula","Garija","Vanija","Vishti","Shakuni","Chatushapda","Naaga","Kimstugna")</f>
        <v>Chatushapda</v>
      </c>
      <c r="P431" s="11" t="str">
        <f>CHOOSE(ROUNDUP(Panchanga!$S431,0),"viṣkambha","prīti","āyuṣmāna","saubhāgya","śobhana","atigaṇḍa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("&amp;Panchanga!$S431&amp;")"</f>
        <v>prīti (1.07)</v>
      </c>
      <c r="Q431" s="4">
        <f>IF(AND(Panchanga!$R431&lt;28.5,Panchanga!$R431&gt;0.49999),MOD((Panchanga!$R431-0.5)*2,7),MOD((Panchanga!$R431+30-28.5),30)*2+7)</f>
        <v>8.100200000000001</v>
      </c>
      <c r="R431" s="4">
        <f>ROUNDUP(MOD(360+P[[#This Row],[Moon]]-P[[#This Row],[Sun]],360)/12,4)</f>
        <v>29.0501</v>
      </c>
      <c r="S431" s="4">
        <f>ROUNDUP(MOD(P[[#This Row],[Sun]]+P[[#This Row],[Moon]],360)/13.333333333,2)</f>
        <v>1.07</v>
      </c>
      <c r="T431" s="4" t="str">
        <f>SIGN(W432-Panchanga!$W431)*INT(Panchanga!$W431/30+1)&amp;"Ma,"&amp;SIGN(X432-Panchanga!$X431)*INT(Panchanga!$X431/30+1)&amp;"Me,"&amp;SIGN(Y432-Panchanga!$Y431)*INT(Panchanga!$Y431/30+1)&amp;"J, "&amp;SIGN(Z432-Panchanga!$Z431)*INT(Panchanga!$Z431/30+1)&amp;"V,"&amp;SIGN(AA432-Panchanga!$AA431)*INT(Panchanga!$AA431/30+1)&amp;"S,"&amp;INT(Panchanga!$AB431/30+1)&amp;"R"</f>
        <v>4Ma,12Me,2J, 12V,12S,12R</v>
      </c>
      <c r="U431" s="4">
        <f t="shared" si="52"/>
        <v>12.793328626840628</v>
      </c>
      <c r="V431" s="4">
        <f t="shared" si="53"/>
        <v>1.3939045996285593</v>
      </c>
      <c r="W431" s="4">
        <f>Planet(Panchanga!$G431,4)</f>
        <v>99.580490449350322</v>
      </c>
      <c r="X431" s="4">
        <f>Planet(Panchanga!$G431,2)</f>
        <v>346.17117406700123</v>
      </c>
      <c r="Y431" s="4">
        <f>Planet(Panchanga!$G431,5)</f>
        <v>56.369143039095832</v>
      </c>
      <c r="Z431" s="4">
        <f>Planet(Panchanga!$G431,3)</f>
        <v>333.89689438153908</v>
      </c>
      <c r="AA431" s="4">
        <f>Planet(Panchanga!$G431,6)</f>
        <v>333.2269323374295</v>
      </c>
      <c r="AB431" s="4">
        <f>Planet(Panchanga!$G431,10)</f>
        <v>331.14313551447128</v>
      </c>
      <c r="AC431" s="4" t="str">
        <f>TEXT(Panchanga!$C431+($C432-Panchanga!$C431)/ABS(IF($R432&lt;1,$R432+30,$R432)-Panchanga!$R431)*(ROUNDUP(Panchanga!$R431,0)-Panchanga!$R431),"hh:mm AM/PM")</f>
        <v>01:00 AM</v>
      </c>
      <c r="AD431" s="4"/>
    </row>
    <row r="432" spans="1:30" x14ac:dyDescent="0.2">
      <c r="A432" s="3">
        <f t="shared" si="55"/>
        <v>45775</v>
      </c>
      <c r="B432" s="3">
        <f t="shared" si="50"/>
        <v>45775.229166666664</v>
      </c>
      <c r="C432" s="6">
        <f t="shared" si="51"/>
        <v>45775.24347618191</v>
      </c>
      <c r="D432" s="6">
        <f>sunset(Lat,Long,B432)+TimeZone/24-0.000277777777777778</f>
        <v>45774.766364922325</v>
      </c>
      <c r="E432" s="6">
        <f>PlanetRiseSet(Lat,Long,B432,1,1)+TimeZone/24+0.00103009259259259</f>
        <v>45775.247978086736</v>
      </c>
      <c r="F432" s="6">
        <f>PlanetRiseSet(Lat,Long,B432+1,1,2)+TimeZone/24+0.00103009259259259</f>
        <v>45775.796432838462</v>
      </c>
      <c r="G432" s="17">
        <f>Panchanga!$C432-TimeZone/24</f>
        <v>45775.014309515245</v>
      </c>
      <c r="H432" s="13" t="str">
        <f>INT(P[[#This Row],[Sun]]/30)&amp;"s"&amp;ROUNDUP(MOD(P[[#This Row],[Sun]],30),2)</f>
        <v>0s13.77</v>
      </c>
      <c r="I432" s="13" t="str">
        <f>INT(P[[#This Row],[Moon]]/30)&amp;"s"&amp;ROUNDUP(MOD(P[[#This Row],[Moon]],30),2)</f>
        <v>0s16.64</v>
      </c>
      <c r="J432" s="14">
        <f t="shared" si="54"/>
        <v>45775.014309515245</v>
      </c>
      <c r="K432" s="10" t="str">
        <f>naks(P[[#This Row],[Moon]])</f>
        <v>Bharani</v>
      </c>
      <c r="L432" s="15">
        <f>(C433-P[[#This Row],[SunRise]])/(MOD(360+V433-P[[#This Row],[Moon]],360))*(13.3333333333333-MOD(P[[#This Row],[Moon]],13.333333333333))+P[[#This Row],[SunRise]]</f>
        <v>45775.902158252342</v>
      </c>
      <c r="M432" s="4" t="str">
        <f>IF(Panchanga!$R432&gt;15,"K","S")&amp;ROUNDUP(MOD(Panchanga!$R432,15),0)&amp;" ("&amp;ROUND(Panchanga!$R432,2)&amp;")"</f>
        <v>S1 (0.24)</v>
      </c>
      <c r="N432" s="4">
        <f>IF(AND(Panchanga!$R432&lt;28.5,Panchanga!$R432&gt;0.49999),MOD((Panchanga!$R432-0.5)*2,7),MOD((Panchanga!$R432+30-28.5),30)*2+7)</f>
        <v>10.478999999999999</v>
      </c>
      <c r="O432" s="4" t="str">
        <f>CHOOSE(ROUNDUP(Panchanga!$N432,0),"Bhava","Baalava","Kaulava","Taitula","Garija","Vanija","Vishti","Shakuni","Chatushapda","Naaga","Kimstugna")</f>
        <v>Kimstugna</v>
      </c>
      <c r="P432" s="11" t="str">
        <f>CHOOSE(ROUNDUP(Panchanga!$S432,0),"viṣkambha","prīti","āyuṣmāna","saubhāgya","śobhana","atigaṇḍa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("&amp;Panchanga!$S432&amp;")"</f>
        <v>āyuṣmāna (2.29)</v>
      </c>
      <c r="Q432" s="4">
        <f>IF(AND(Panchanga!$R432&lt;28.5,Panchanga!$R432&gt;0.49999),MOD((Panchanga!$R432-0.5)*2,7),MOD((Panchanga!$R432+30-28.5),30)*2+7)</f>
        <v>10.478999999999999</v>
      </c>
      <c r="R432" s="4">
        <f>ROUNDUP(MOD(360+P[[#This Row],[Moon]]-P[[#This Row],[Sun]],360)/12,4)</f>
        <v>0.23949999999999999</v>
      </c>
      <c r="S432" s="4">
        <f>ROUNDUP(MOD(P[[#This Row],[Sun]]+P[[#This Row],[Moon]],360)/13.333333333,2)</f>
        <v>2.2899999999999996</v>
      </c>
      <c r="T432" s="4" t="str">
        <f>SIGN(W433-Panchanga!$W432)*INT(Panchanga!$W432/30+1)&amp;"Ma,"&amp;SIGN(X433-Panchanga!$X432)*INT(Panchanga!$X432/30+1)&amp;"Me,"&amp;SIGN(Y433-Panchanga!$Y432)*INT(Panchanga!$Y432/30+1)&amp;"J, "&amp;SIGN(Z433-Panchanga!$Z432)*INT(Panchanga!$Z432/30+1)&amp;"V,"&amp;SIGN(AA433-Panchanga!$AA432)*INT(Panchanga!$AA432/30+1)&amp;"S,"&amp;INT(Panchanga!$AB432/30+1)&amp;"R"</f>
        <v>4Ma,12Me,2J, 12V,12S,12R</v>
      </c>
      <c r="U432" s="4">
        <f t="shared" si="52"/>
        <v>13.766032399858773</v>
      </c>
      <c r="V432" s="4">
        <f t="shared" si="53"/>
        <v>16.638950099981759</v>
      </c>
      <c r="W432" s="4">
        <f>Planet(Panchanga!$G432,4)</f>
        <v>100.02740245615037</v>
      </c>
      <c r="X432" s="4">
        <f>Planet(Panchanga!$G432,2)</f>
        <v>347.40190654255724</v>
      </c>
      <c r="Y432" s="4">
        <f>Planet(Panchanga!$G432,5)</f>
        <v>56.565436133134988</v>
      </c>
      <c r="Z432" s="4">
        <f>Planet(Panchanga!$G432,3)</f>
        <v>334.37456227063677</v>
      </c>
      <c r="AA432" s="4">
        <f>Planet(Panchanga!$G432,6)</f>
        <v>333.33117664519057</v>
      </c>
      <c r="AB432" s="4">
        <f>Planet(Panchanga!$G432,10)</f>
        <v>331.09016109917388</v>
      </c>
      <c r="AC432" s="4" t="str">
        <f>TEXT(Panchanga!$C432+($C433-Panchanga!$C432)/ABS(IF($R433&lt;1,$R433+30,$R433)-Panchanga!$R432)*(ROUNDUP(Panchanga!$R432,0)-Panchanga!$R432),"hh:mm AM/PM")</f>
        <v>09:12 PM</v>
      </c>
      <c r="AD432" s="4"/>
    </row>
    <row r="433" spans="1:30" x14ac:dyDescent="0.2">
      <c r="A433" s="3">
        <f t="shared" si="55"/>
        <v>45776</v>
      </c>
      <c r="B433" s="3">
        <f t="shared" si="50"/>
        <v>45776.229166666664</v>
      </c>
      <c r="C433" s="6">
        <f t="shared" si="51"/>
        <v>45776.243152621355</v>
      </c>
      <c r="D433" s="6">
        <f>sunset(Lat,Long,B433)+TimeZone/24-0.000277777777777778</f>
        <v>45775.76649144855</v>
      </c>
      <c r="E433" s="6">
        <f>PlanetRiseSet(Lat,Long,B433,1,1)+TimeZone/24+0.00103009259259259</f>
        <v>45776.285451998621</v>
      </c>
      <c r="F433" s="6">
        <f>PlanetRiseSet(Lat,Long,B433+1,1,2)+TimeZone/24+0.00103009259259259</f>
        <v>45776.843167293038</v>
      </c>
      <c r="G433" s="17">
        <f>Panchanga!$C433-TimeZone/24</f>
        <v>45776.013985954691</v>
      </c>
      <c r="H433" s="13" t="str">
        <f>INT(P[[#This Row],[Sun]]/30)&amp;"s"&amp;ROUNDUP(MOD(P[[#This Row],[Sun]],30),2)</f>
        <v>0s14.74</v>
      </c>
      <c r="I433" s="13" t="str">
        <f>INT(P[[#This Row],[Moon]]/30)&amp;"s"&amp;ROUNDUP(MOD(P[[#This Row],[Moon]],30),2)</f>
        <v>1s1.86</v>
      </c>
      <c r="J433" s="14">
        <f t="shared" si="54"/>
        <v>45776.013985954691</v>
      </c>
      <c r="K433" s="10" t="str">
        <f>naks(P[[#This Row],[Moon]])</f>
        <v>Krittika</v>
      </c>
      <c r="L433" s="15">
        <f>(C434-P[[#This Row],[SunRise]])/(MOD(360+V434-P[[#This Row],[Moon]],360))*(13.3333333333333-MOD(P[[#This Row],[Moon]],13.333333333333))+P[[#This Row],[SunRise]]</f>
        <v>45776.78506650855</v>
      </c>
      <c r="M433" s="4" t="str">
        <f>IF(Panchanga!$R433&gt;15,"K","S")&amp;ROUNDUP(MOD(Panchanga!$R433,15),0)&amp;" ("&amp;ROUND(Panchanga!$R433,2)&amp;")"</f>
        <v>S2 (1.43)</v>
      </c>
      <c r="N433" s="4">
        <f>IF(AND(Panchanga!$R433&lt;28.5,Panchanga!$R433&gt;0.49999),MOD((Panchanga!$R433-0.5)*2,7),MOD((Panchanga!$R433+30-28.5),30)*2+7)</f>
        <v>1.8534000000000002</v>
      </c>
      <c r="O433" s="4" t="str">
        <f>CHOOSE(ROUNDUP(Panchanga!$N433,0),"Bhava","Baalava","Kaulava","Taitula","Garija","Vanija","Vishti","Shakuni","Chatushapda","Naaga","Kimstugna")</f>
        <v>Baalava</v>
      </c>
      <c r="P433" s="11" t="str">
        <f>CHOOSE(ROUNDUP(Panchanga!$S433,0),"viṣkambha","prīti","āyuṣmāna","saubhāgya","śobhana","atigaṇḍa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("&amp;Panchanga!$S433&amp;")"</f>
        <v>saubhāgya (3.5)</v>
      </c>
      <c r="Q433" s="4">
        <f>IF(AND(Panchanga!$R433&lt;28.5,Panchanga!$R433&gt;0.49999),MOD((Panchanga!$R433-0.5)*2,7),MOD((Panchanga!$R433+30-28.5),30)*2+7)</f>
        <v>1.8534000000000002</v>
      </c>
      <c r="R433" s="4">
        <f>ROUNDUP(MOD(360+P[[#This Row],[Moon]]-P[[#This Row],[Sun]],360)/12,4)</f>
        <v>1.4267000000000001</v>
      </c>
      <c r="S433" s="4">
        <f>ROUNDUP(MOD(P[[#This Row],[Sun]]+P[[#This Row],[Moon]],360)/13.333333333,2)</f>
        <v>3.5</v>
      </c>
      <c r="T433" s="4" t="str">
        <f>SIGN(W434-Panchanga!$W433)*INT(Panchanga!$W433/30+1)&amp;"Ma,"&amp;SIGN(X434-Panchanga!$X433)*INT(Panchanga!$X433/30+1)&amp;"Me,"&amp;SIGN(Y434-Panchanga!$Y433)*INT(Panchanga!$Y433/30+1)&amp;"J, "&amp;SIGN(Z434-Panchanga!$Z433)*INT(Panchanga!$Z433/30+1)&amp;"V,"&amp;SIGN(AA434-Panchanga!$AA433)*INT(Panchanga!$AA433/30+1)&amp;"S,"&amp;INT(Panchanga!$AB433/30+1)&amp;"R"</f>
        <v>4Ma,12Me,2J, 12V,12S,12R</v>
      </c>
      <c r="U433" s="4">
        <f t="shared" si="52"/>
        <v>14.738236453254437</v>
      </c>
      <c r="V433" s="4">
        <f t="shared" si="53"/>
        <v>31.857934255000533</v>
      </c>
      <c r="W433" s="4">
        <f>Planet(Panchanga!$G433,4)</f>
        <v>100.47771845832609</v>
      </c>
      <c r="X433" s="4">
        <f>Planet(Panchanga!$G433,2)</f>
        <v>348.67105221796544</v>
      </c>
      <c r="Y433" s="4">
        <f>Planet(Panchanga!$G433,5)</f>
        <v>56.762928581595631</v>
      </c>
      <c r="Z433" s="4">
        <f>Planet(Panchanga!$G433,3)</f>
        <v>334.87708708388175</v>
      </c>
      <c r="AA433" s="4">
        <f>Planet(Panchanga!$G433,6)</f>
        <v>333.43458470946842</v>
      </c>
      <c r="AB433" s="4">
        <f>Planet(Panchanga!$G433,10)</f>
        <v>331.03718625888956</v>
      </c>
      <c r="AC433" s="4" t="str">
        <f>TEXT(Panchanga!$C433+($C434-Panchanga!$C433)/ABS(IF($R434&lt;1,$R434+30,$R434)-Panchanga!$R433)*(ROUNDUP(Panchanga!$R433,0)-Panchanga!$R433),"hh:mm AM/PM")</f>
        <v>05:35 PM</v>
      </c>
      <c r="AD433" s="4"/>
    </row>
    <row r="434" spans="1:30" x14ac:dyDescent="0.2">
      <c r="A434" s="3">
        <f t="shared" si="55"/>
        <v>45777</v>
      </c>
      <c r="B434" s="3">
        <f t="shared" si="50"/>
        <v>45777.229166666664</v>
      </c>
      <c r="C434" s="6">
        <f t="shared" si="51"/>
        <v>45777.242837196369</v>
      </c>
      <c r="D434" s="6">
        <f>sunset(Lat,Long,B434)+TimeZone/24-0.000277777777777778</f>
        <v>45776.766621814153</v>
      </c>
      <c r="E434" s="6">
        <f>PlanetRiseSet(Lat,Long,B434,1,1)+TimeZone/24+0.00103009259259259</f>
        <v>45777.326527441539</v>
      </c>
      <c r="F434" s="6">
        <f>PlanetRiseSet(Lat,Long,B434+1,1,2)+TimeZone/24+0.00103009259259259</f>
        <v>45777.890020625819</v>
      </c>
      <c r="G434" s="17">
        <f>Panchanga!$C434-TimeZone/24</f>
        <v>45777.013670529705</v>
      </c>
      <c r="H434" s="13" t="str">
        <f>INT(P[[#This Row],[Sun]]/30)&amp;"s"&amp;ROUNDUP(MOD(P[[#This Row],[Sun]],30),2)</f>
        <v>0s15.71</v>
      </c>
      <c r="I434" s="13" t="str">
        <f>INT(P[[#This Row],[Moon]]/30)&amp;"s"&amp;ROUNDUP(MOD(P[[#This Row],[Moon]],30),2)</f>
        <v>1s16.88</v>
      </c>
      <c r="J434" s="14">
        <f t="shared" si="54"/>
        <v>45777.013670529705</v>
      </c>
      <c r="K434" s="10" t="str">
        <f>naks(P[[#This Row],[Moon]])</f>
        <v>Rohini</v>
      </c>
      <c r="L434" s="15">
        <f>(C435-P[[#This Row],[SunRise]])/(MOD(360+V435-P[[#This Row],[Moon]],360))*(13.3333333333333-MOD(P[[#This Row],[Moon]],13.333333333333))+P[[#This Row],[SunRise]]</f>
        <v>45777.682573046062</v>
      </c>
      <c r="M434" s="4" t="str">
        <f>IF(Panchanga!$R434&gt;15,"K","S")&amp;ROUNDUP(MOD(Panchanga!$R434,15),0)&amp;" ("&amp;ROUND(Panchanga!$R434,2)&amp;")"</f>
        <v>S3 (2.6)</v>
      </c>
      <c r="N434" s="4">
        <f>IF(AND(Panchanga!$R434&lt;28.5,Panchanga!$R434&gt;0.49999),MOD((Panchanga!$R434-0.5)*2,7),MOD((Panchanga!$R434+30-28.5),30)*2+7)</f>
        <v>4.1948000000000008</v>
      </c>
      <c r="O434" s="4" t="str">
        <f>CHOOSE(ROUNDUP(Panchanga!$N434,0),"Bhava","Baalava","Kaulava","Taitula","Garija","Vanija","Vishti","Shakuni","Chatushapda","Naaga","Kimstugna")</f>
        <v>Garija</v>
      </c>
      <c r="P434" s="11" t="str">
        <f>CHOOSE(ROUNDUP(Panchanga!$S434,0),"viṣkambha","prīti","āyuṣmāna","saubhāgya","śobhana","atigaṇḍa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("&amp;Panchanga!$S434&amp;")"</f>
        <v>śobhana (4.7)</v>
      </c>
      <c r="Q434" s="4">
        <f>IF(AND(Panchanga!$R434&lt;28.5,Panchanga!$R434&gt;0.49999),MOD((Panchanga!$R434-0.5)*2,7),MOD((Panchanga!$R434+30-28.5),30)*2+7)</f>
        <v>4.1948000000000008</v>
      </c>
      <c r="R434" s="4">
        <f>ROUNDUP(MOD(360+P[[#This Row],[Moon]]-P[[#This Row],[Sun]],360)/12,4)</f>
        <v>2.5974000000000004</v>
      </c>
      <c r="S434" s="4">
        <f>ROUNDUP(MOD(P[[#This Row],[Sun]]+P[[#This Row],[Moon]],360)/13.333333333,2)</f>
        <v>4.7</v>
      </c>
      <c r="T434" s="4" t="str">
        <f>SIGN(W435-Panchanga!$W434)*INT(Panchanga!$W434/30+1)&amp;"Ma,"&amp;SIGN(X435-Panchanga!$X434)*INT(Panchanga!$X434/30+1)&amp;"Me,"&amp;SIGN(Y435-Panchanga!$Y434)*INT(Panchanga!$Y434/30+1)&amp;"J, "&amp;SIGN(Z435-Panchanga!$Z434)*INT(Panchanga!$Z434/30+1)&amp;"V,"&amp;SIGN(AA435-Panchanga!$AA434)*INT(Panchanga!$AA434/30+1)&amp;"S,"&amp;INT(Panchanga!$AB434/30+1)&amp;"R"</f>
        <v>4Ma,12Me,2J, 12V,12S,12R</v>
      </c>
      <c r="U434" s="4">
        <f t="shared" si="52"/>
        <v>15.709922615838996</v>
      </c>
      <c r="V434" s="4">
        <f t="shared" si="53"/>
        <v>46.877843739402579</v>
      </c>
      <c r="W434" s="4">
        <f>Planet(Panchanga!$G434,4)</f>
        <v>100.93136491849255</v>
      </c>
      <c r="X434" s="4">
        <f>Planet(Panchanga!$G434,2)</f>
        <v>349.97755633226825</v>
      </c>
      <c r="Y434" s="4">
        <f>Planet(Panchanga!$G434,5)</f>
        <v>56.961590891102148</v>
      </c>
      <c r="Z434" s="4">
        <f>Planet(Panchanga!$G434,3)</f>
        <v>335.40349451128981</v>
      </c>
      <c r="AA434" s="4">
        <f>Planet(Panchanga!$G434,6)</f>
        <v>333.53713800349669</v>
      </c>
      <c r="AB434" s="4">
        <f>Planet(Panchanga!$G434,10)</f>
        <v>330.98421098747133</v>
      </c>
      <c r="AC434" s="4" t="str">
        <f>TEXT(Panchanga!$C434+($C435-Panchanga!$C434)/ABS(IF($R435&lt;1,$R435+30,$R435)-Panchanga!$R434)*(ROUNDUP(Panchanga!$R434,0)-Panchanga!$R434),"hh:mm AM/PM")</f>
        <v>02:17 PM</v>
      </c>
      <c r="AD434" s="4"/>
    </row>
    <row r="435" spans="1:30" x14ac:dyDescent="0.2">
      <c r="A435" s="3">
        <f t="shared" si="55"/>
        <v>45778</v>
      </c>
      <c r="B435" s="3">
        <f t="shared" si="50"/>
        <v>45778.229166666664</v>
      </c>
      <c r="C435" s="6">
        <f t="shared" si="51"/>
        <v>45778.242530023832</v>
      </c>
      <c r="D435" s="6">
        <f>sunset(Lat,Long,B435)+TimeZone/24-0.000277777777777778</f>
        <v>45777.766755973033</v>
      </c>
      <c r="E435" s="6">
        <f>PlanetRiseSet(Lat,Long,B435,1,1)+TimeZone/24+0.00103009259259259</f>
        <v>45778.370163454827</v>
      </c>
      <c r="F435" s="6">
        <f>PlanetRiseSet(Lat,Long,B435+1,1,2)+TimeZone/24+0.00103009259259259</f>
        <v>45778.93463542188</v>
      </c>
      <c r="G435" s="17">
        <f>Panchanga!$C435-TimeZone/24</f>
        <v>45778.013363357168</v>
      </c>
      <c r="H435" s="13" t="str">
        <f>INT(P[[#This Row],[Sun]]/30)&amp;"s"&amp;ROUNDUP(MOD(P[[#This Row],[Sun]],30),2)</f>
        <v>0s16.69</v>
      </c>
      <c r="I435" s="13" t="str">
        <f>INT(P[[#This Row],[Moon]]/30)&amp;"s"&amp;ROUNDUP(MOD(P[[#This Row],[Moon]],30),2)</f>
        <v>2s1.56</v>
      </c>
      <c r="J435" s="14">
        <f t="shared" si="54"/>
        <v>45778.013363357168</v>
      </c>
      <c r="K435" s="10" t="str">
        <f>naks(P[[#This Row],[Moon]])</f>
        <v>Mrigashira</v>
      </c>
      <c r="L435" s="15">
        <f>(C436-P[[#This Row],[SunRise]])/(MOD(360+V436-P[[#This Row],[Moon]],360))*(13.3333333333333-MOD(P[[#This Row],[Moon]],13.333333333333))+P[[#This Row],[SunRise]]</f>
        <v>45778.601592769155</v>
      </c>
      <c r="M435" s="4" t="str">
        <f>IF(Panchanga!$R435&gt;15,"K","S")&amp;ROUNDUP(MOD(Panchanga!$R435,15),0)&amp;" ("&amp;ROUND(Panchanga!$R435,2)&amp;")"</f>
        <v>S4 (3.74)</v>
      </c>
      <c r="N435" s="4">
        <f>IF(AND(Panchanga!$R435&lt;28.5,Panchanga!$R435&gt;0.49999),MOD((Panchanga!$R435-0.5)*2,7),MOD((Panchanga!$R435+30-28.5),30)*2+7)</f>
        <v>6.4788000000000006</v>
      </c>
      <c r="O435" s="4" t="str">
        <f>CHOOSE(ROUNDUP(Panchanga!$N435,0),"Bhava","Baalava","Kaulava","Taitula","Garija","Vanija","Vishti","Shakuni","Chatushapda","Naaga","Kimstugna")</f>
        <v>Vishti</v>
      </c>
      <c r="P435" s="11" t="str">
        <f>CHOOSE(ROUNDUP(Panchanga!$S435,0),"viṣkambha","prīti","āyuṣmāna","saubhāgya","śobhana","atigaṇḍa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("&amp;Panchanga!$S435&amp;")"</f>
        <v>atigaṇḍa  (5.87)</v>
      </c>
      <c r="Q435" s="4">
        <f>IF(AND(Panchanga!$R435&lt;28.5,Panchanga!$R435&gt;0.49999),MOD((Panchanga!$R435-0.5)*2,7),MOD((Panchanga!$R435+30-28.5),30)*2+7)</f>
        <v>6.4788000000000006</v>
      </c>
      <c r="R435" s="4">
        <f>ROUNDUP(MOD(360+P[[#This Row],[Moon]]-P[[#This Row],[Sun]],360)/12,4)</f>
        <v>3.7394000000000003</v>
      </c>
      <c r="S435" s="4">
        <f>ROUNDUP(MOD(P[[#This Row],[Sun]]+P[[#This Row],[Moon]],360)/13.333333333,2)</f>
        <v>5.87</v>
      </c>
      <c r="T435" s="4" t="str">
        <f>SIGN(W436-Panchanga!$W435)*INT(Panchanga!$W435/30+1)&amp;"Ma,"&amp;SIGN(X436-Panchanga!$X435)*INT(Panchanga!$X435/30+1)&amp;"Me,"&amp;SIGN(Y436-Panchanga!$Y435)*INT(Panchanga!$Y435/30+1)&amp;"J, "&amp;SIGN(Z436-Panchanga!$Z435)*INT(Panchanga!$Z435/30+1)&amp;"V,"&amp;SIGN(AA436-Panchanga!$AA435)*INT(Panchanga!$AA435/30+1)&amp;"S,"&amp;INT(Panchanga!$AB435/30+1)&amp;"R"</f>
        <v>4Ma,12Me,2J, 12V,12S,12R</v>
      </c>
      <c r="U435" s="4">
        <f t="shared" si="52"/>
        <v>16.681075868055132</v>
      </c>
      <c r="V435" s="4">
        <f t="shared" si="53"/>
        <v>61.553714831844339</v>
      </c>
      <c r="W435" s="4">
        <f>Planet(Panchanga!$G435,4)</f>
        <v>101.38826575548356</v>
      </c>
      <c r="X435" s="4">
        <f>Planet(Panchanga!$G435,2)</f>
        <v>351.32050035845856</v>
      </c>
      <c r="Y435" s="4">
        <f>Planet(Panchanga!$G435,5)</f>
        <v>57.161393421573663</v>
      </c>
      <c r="Z435" s="4">
        <f>Planet(Panchanga!$G435,3)</f>
        <v>335.95285451504986</v>
      </c>
      <c r="AA435" s="4">
        <f>Planet(Panchanga!$G435,6)</f>
        <v>333.63881877085578</v>
      </c>
      <c r="AB435" s="4">
        <f>Planet(Panchanga!$G435,10)</f>
        <v>330.93123527877196</v>
      </c>
      <c r="AC435" s="4" t="str">
        <f>TEXT(Panchanga!$C435+($C436-Panchanga!$C435)/ABS(IF($R436&lt;1,$R436+30,$R436)-Panchanga!$R435)*(ROUNDUP(Panchanga!$R435,0)-Panchanga!$R435),"hh:mm AM/PM")</f>
        <v>11:28 AM</v>
      </c>
      <c r="AD435" s="4"/>
    </row>
    <row r="436" spans="1:30" x14ac:dyDescent="0.2">
      <c r="A436" s="3">
        <f t="shared" si="55"/>
        <v>45779</v>
      </c>
      <c r="B436" s="3">
        <f t="shared" si="50"/>
        <v>45779.229166666664</v>
      </c>
      <c r="C436" s="6">
        <f t="shared" si="51"/>
        <v>45779.242231226679</v>
      </c>
      <c r="D436" s="6">
        <f>sunset(Lat,Long,B436)+TimeZone/24-0.000277777777777778</f>
        <v>45778.766893879554</v>
      </c>
      <c r="E436" s="6">
        <f>PlanetRiseSet(Lat,Long,B436,1,1)+TimeZone/24+0.00103009259259259</f>
        <v>45779.414351262305</v>
      </c>
      <c r="F436" s="6">
        <f>PlanetRiseSet(Lat,Long,B436+1,1,2)+TimeZone/24+0.00103009259259259</f>
        <v>45779.975106713049</v>
      </c>
      <c r="G436" s="17">
        <f>Panchanga!$C436-TimeZone/24</f>
        <v>45779.013064560015</v>
      </c>
      <c r="H436" s="13" t="str">
        <f>INT(P[[#This Row],[Sun]]/30)&amp;"s"&amp;ROUNDUP(MOD(P[[#This Row],[Sun]],30),2)</f>
        <v>0s17.66</v>
      </c>
      <c r="I436" s="13" t="str">
        <f>INT(P[[#This Row],[Moon]]/30)&amp;"s"&amp;ROUNDUP(MOD(P[[#This Row],[Moon]],30),2)</f>
        <v>2s15.79</v>
      </c>
      <c r="J436" s="14">
        <f t="shared" si="54"/>
        <v>45779.013064560015</v>
      </c>
      <c r="K436" s="10" t="str">
        <f>naks(P[[#This Row],[Moon]])</f>
        <v>Ardra</v>
      </c>
      <c r="L436" s="15">
        <f>(C437-P[[#This Row],[SunRise]])/(MOD(360+V437-P[[#This Row],[Moon]],360))*(13.3333333333333-MOD(P[[#This Row],[Moon]],13.333333333333))+P[[#This Row],[SunRise]]</f>
        <v>45779.548293668187</v>
      </c>
      <c r="M436" s="4" t="str">
        <f>IF(Panchanga!$R436&gt;15,"K","S")&amp;ROUNDUP(MOD(Panchanga!$R436,15),0)&amp;" ("&amp;ROUND(Panchanga!$R436,2)&amp;")"</f>
        <v>S5 (4.84)</v>
      </c>
      <c r="N436" s="4">
        <f>IF(AND(Panchanga!$R436&lt;28.5,Panchanga!$R436&gt;0.49999),MOD((Panchanga!$R436-0.5)*2,7),MOD((Panchanga!$R436+30-28.5),30)*2+7)</f>
        <v>1.6895999999999987</v>
      </c>
      <c r="O436" s="4" t="str">
        <f>CHOOSE(ROUNDUP(Panchanga!$N436,0),"Bhava","Baalava","Kaulava","Taitula","Garija","Vanija","Vishti","Shakuni","Chatushapda","Naaga","Kimstugna")</f>
        <v>Baalava</v>
      </c>
      <c r="P436" s="11" t="str">
        <f>CHOOSE(ROUNDUP(Panchanga!$S436,0),"viṣkambha","prīti","āyuṣmāna","saubhāgya","śobhana","atigaṇḍa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("&amp;Panchanga!$S436&amp;")"</f>
        <v>dhṛti  (7.01)</v>
      </c>
      <c r="Q436" s="4">
        <f>IF(AND(Panchanga!$R436&lt;28.5,Panchanga!$R436&gt;0.49999),MOD((Panchanga!$R436-0.5)*2,7),MOD((Panchanga!$R436+30-28.5),30)*2+7)</f>
        <v>1.6895999999999987</v>
      </c>
      <c r="R436" s="4">
        <f>ROUNDUP(MOD(360+P[[#This Row],[Moon]]-P[[#This Row],[Sun]],360)/12,4)</f>
        <v>4.8447999999999993</v>
      </c>
      <c r="S436" s="4">
        <f>ROUNDUP(MOD(P[[#This Row],[Sun]]+P[[#This Row],[Moon]],360)/13.333333333,2)</f>
        <v>7.01</v>
      </c>
      <c r="T436" s="4" t="str">
        <f>SIGN(W437-Panchanga!$W436)*INT(Panchanga!$W436/30+1)&amp;"Ma,"&amp;SIGN(X437-Panchanga!$X436)*INT(Panchanga!$X436/30+1)&amp;"Me,"&amp;SIGN(Y437-Panchanga!$Y436)*INT(Panchanga!$Y436/30+1)&amp;"J, "&amp;SIGN(Z437-Panchanga!$Z436)*INT(Panchanga!$Z436/30+1)&amp;"V,"&amp;SIGN(AA437-Panchanga!$AA436)*INT(Panchanga!$AA436/30+1)&amp;"S,"&amp;INT(Panchanga!$AB436/30+1)&amp;"R"</f>
        <v>4Ma,12Me,2J, 12V,12S,12R</v>
      </c>
      <c r="U436" s="4">
        <f t="shared" si="52"/>
        <v>17.651685742066469</v>
      </c>
      <c r="V436" s="4">
        <f t="shared" si="53"/>
        <v>75.789176922936591</v>
      </c>
      <c r="W436" s="4">
        <f>Planet(Panchanga!$G436,4)</f>
        <v>101.84834386305945</v>
      </c>
      <c r="X436" s="4">
        <f>Planet(Panchanga!$G436,2)</f>
        <v>352.69909485680802</v>
      </c>
      <c r="Y436" s="4">
        <f>Planet(Panchanga!$G436,5)</f>
        <v>57.362306844247598</v>
      </c>
      <c r="Z436" s="4">
        <f>Planet(Panchanga!$G436,3)</f>
        <v>336.52428102012885</v>
      </c>
      <c r="AA436" s="4">
        <f>Planet(Panchanga!$G436,6)</f>
        <v>333.73961003736662</v>
      </c>
      <c r="AB436" s="4">
        <f>Planet(Panchanga!$G436,10)</f>
        <v>330.87825912621383</v>
      </c>
      <c r="AC436" s="4" t="str">
        <f>TEXT(Panchanga!$C436+($C437-Panchanga!$C436)/ABS(IF($R437&lt;1,$R437+30,$R437)-Panchanga!$R436)*(ROUNDUP(Panchanga!$R436,0)-Panchanga!$R436),"hh:mm AM/PM")</f>
        <v>09:18 AM</v>
      </c>
      <c r="AD436" s="4"/>
    </row>
    <row r="437" spans="1:30" x14ac:dyDescent="0.2">
      <c r="A437" s="3">
        <f t="shared" si="55"/>
        <v>45780</v>
      </c>
      <c r="B437" s="3">
        <f t="shared" si="50"/>
        <v>45780.229166666664</v>
      </c>
      <c r="C437" s="6">
        <f t="shared" si="51"/>
        <v>45780.241940934829</v>
      </c>
      <c r="D437" s="6">
        <f>sunset(Lat,Long,B437)+TimeZone/24-0.000277777777777778</f>
        <v>45779.767035494602</v>
      </c>
      <c r="E437" s="6">
        <f>PlanetRiseSet(Lat,Long,B437,1,1)+TimeZone/24+0.00103009259259259</f>
        <v>45780.457016462147</v>
      </c>
      <c r="F437" s="6">
        <f>PlanetRiseSet(Lat,Long,B437+1,1,2)+TimeZone/24+0.00103009259259259</f>
        <v>45781.010738419522</v>
      </c>
      <c r="G437" s="17">
        <f>Panchanga!$C437-TimeZone/24</f>
        <v>45780.012774268165</v>
      </c>
      <c r="H437" s="13" t="str">
        <f>INT(P[[#This Row],[Sun]]/30)&amp;"s"&amp;ROUNDUP(MOD(P[[#This Row],[Sun]],30),2)</f>
        <v>0s18.63</v>
      </c>
      <c r="I437" s="13" t="str">
        <f>INT(P[[#This Row],[Moon]]/30)&amp;"s"&amp;ROUNDUP(MOD(P[[#This Row],[Moon]],30),2)</f>
        <v>2s29.55</v>
      </c>
      <c r="J437" s="14">
        <f t="shared" si="54"/>
        <v>45780.012774268165</v>
      </c>
      <c r="K437" s="10" t="str">
        <f>naks(P[[#This Row],[Moon]])</f>
        <v>Punarvasu</v>
      </c>
      <c r="L437" s="15">
        <f>(C438-P[[#This Row],[SunRise]])/(MOD(360+V438-P[[#This Row],[Moon]],360))*(13.3333333333333-MOD(P[[#This Row],[Moon]],13.333333333333))+P[[#This Row],[SunRise]]</f>
        <v>45780.527231757413</v>
      </c>
      <c r="M437" s="4" t="str">
        <f>IF(Panchanga!$R437&gt;15,"K","S")&amp;ROUNDUP(MOD(Panchanga!$R437,15),0)&amp;" ("&amp;ROUND(Panchanga!$R437,2)&amp;")"</f>
        <v>S6 (5.91)</v>
      </c>
      <c r="N437" s="4">
        <f>IF(AND(Panchanga!$R437&lt;28.5,Panchanga!$R437&gt;0.49999),MOD((Panchanga!$R437-0.5)*2,7),MOD((Panchanga!$R437+30-28.5),30)*2+7)</f>
        <v>3.8203999999999994</v>
      </c>
      <c r="O437" s="4" t="str">
        <f>CHOOSE(ROUNDUP(Panchanga!$N437,0),"Bhava","Baalava","Kaulava","Taitula","Garija","Vanija","Vishti","Shakuni","Chatushapda","Naaga","Kimstugna")</f>
        <v>Taitula</v>
      </c>
      <c r="P437" s="11" t="str">
        <f>CHOOSE(ROUNDUP(Panchanga!$S437,0),"viṣkambha","prīti","āyuṣmāna","saubhāgya","śobhana","atigaṇḍa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("&amp;Panchanga!$S437&amp;")"</f>
        <v>śūla  (8.12)</v>
      </c>
      <c r="Q437" s="4">
        <f>IF(AND(Panchanga!$R437&lt;28.5,Panchanga!$R437&gt;0.49999),MOD((Panchanga!$R437-0.5)*2,7),MOD((Panchanga!$R437+30-28.5),30)*2+7)</f>
        <v>3.8203999999999994</v>
      </c>
      <c r="R437" s="4">
        <f>ROUNDUP(MOD(360+P[[#This Row],[Moon]]-P[[#This Row],[Sun]],360)/12,4)</f>
        <v>5.9101999999999997</v>
      </c>
      <c r="S437" s="4">
        <f>ROUNDUP(MOD(P[[#This Row],[Sun]]+P[[#This Row],[Moon]],360)/13.333333333,2)</f>
        <v>8.1199999999999992</v>
      </c>
      <c r="T437" s="4" t="str">
        <f>SIGN(W438-Panchanga!$W437)*INT(Panchanga!$W437/30+1)&amp;"Ma,"&amp;SIGN(X438-Panchanga!$X437)*INT(Panchanga!$X437/30+1)&amp;"Me,"&amp;SIGN(Y438-Panchanga!$Y437)*INT(Panchanga!$Y437/30+1)&amp;"J, "&amp;SIGN(Z438-Panchanga!$Z437)*INT(Panchanga!$Z437/30+1)&amp;"V,"&amp;SIGN(AA438-Panchanga!$AA437)*INT(Panchanga!$AA437/30+1)&amp;"S,"&amp;INT(Panchanga!$AB437/30+1)&amp;"R"</f>
        <v>4Ma,12Me,2J, 12V,12S,12R</v>
      </c>
      <c r="U437" s="4">
        <f t="shared" si="52"/>
        <v>18.621746828119715</v>
      </c>
      <c r="V437" s="4">
        <f t="shared" si="53"/>
        <v>89.543235371640819</v>
      </c>
      <c r="W437" s="4">
        <f>Planet(Panchanga!$G437,4)</f>
        <v>102.31152267267402</v>
      </c>
      <c r="X437" s="4">
        <f>Planet(Panchanga!$G437,2)</f>
        <v>354.11267164279241</v>
      </c>
      <c r="Y437" s="4">
        <f>Planet(Panchanga!$G437,5)</f>
        <v>57.564302490127872</v>
      </c>
      <c r="Z437" s="4">
        <f>Planet(Panchanga!$G437,3)</f>
        <v>337.11692942162767</v>
      </c>
      <c r="AA437" s="4">
        <f>Planet(Panchanga!$G437,6)</f>
        <v>333.83949553093328</v>
      </c>
      <c r="AB437" s="4">
        <f>Planet(Panchanga!$G437,10)</f>
        <v>330.82528252297044</v>
      </c>
      <c r="AC437" s="4" t="str">
        <f>TEXT(Panchanga!$C437+($C438-Panchanga!$C437)/ABS(IF($R438&lt;1,$R438+30,$R438)-Panchanga!$R437)*(ROUNDUP(Panchanga!$R437,0)-Panchanga!$R437),"hh:mm AM/PM")</f>
        <v>07:54 AM</v>
      </c>
      <c r="AD437" s="4"/>
    </row>
    <row r="438" spans="1:30" x14ac:dyDescent="0.2">
      <c r="A438" s="3">
        <f t="shared" si="55"/>
        <v>45781</v>
      </c>
      <c r="B438" s="3">
        <f t="shared" si="50"/>
        <v>45781.229166666664</v>
      </c>
      <c r="C438" s="6">
        <f t="shared" si="51"/>
        <v>45781.241659283325</v>
      </c>
      <c r="D438" s="6">
        <f>sunset(Lat,Long,B438)+TimeZone/24-0.000277777777777778</f>
        <v>45780.767180784649</v>
      </c>
      <c r="E438" s="6">
        <f>PlanetRiseSet(Lat,Long,B438,1,1)+TimeZone/24+0.00103009259259259</f>
        <v>45781.496902721621</v>
      </c>
      <c r="F438" s="6">
        <f>PlanetRiseSet(Lat,Long,B438+1,1,2)+TimeZone/24+0.00103009259259259</f>
        <v>45782.041916559603</v>
      </c>
      <c r="G438" s="17">
        <f>Panchanga!$C438-TimeZone/24</f>
        <v>45781.012492616661</v>
      </c>
      <c r="H438" s="13" t="str">
        <f>INT(P[[#This Row],[Sun]]/30)&amp;"s"&amp;ROUNDUP(MOD(P[[#This Row],[Sun]],30),2)</f>
        <v>0s19.6</v>
      </c>
      <c r="I438" s="13" t="str">
        <f>INT(P[[#This Row],[Moon]]/30)&amp;"s"&amp;ROUNDUP(MOD(P[[#This Row],[Moon]],30),2)</f>
        <v>3s12.83</v>
      </c>
      <c r="J438" s="14">
        <f t="shared" si="54"/>
        <v>45781.012492616661</v>
      </c>
      <c r="K438" s="10" t="str">
        <f>naks(P[[#This Row],[Moon]])</f>
        <v>Pushya</v>
      </c>
      <c r="L438" s="15">
        <f>(C439-P[[#This Row],[SunRise]])/(MOD(360+V439-P[[#This Row],[Moon]],360))*(13.3333333333333-MOD(P[[#This Row],[Moon]],13.333333333333))+P[[#This Row],[SunRise]]</f>
        <v>45781.540485349113</v>
      </c>
      <c r="M438" s="4" t="str">
        <f>IF(Panchanga!$R438&gt;15,"K","S")&amp;ROUNDUP(MOD(Panchanga!$R438,15),0)&amp;" ("&amp;ROUND(Panchanga!$R438,2)&amp;")"</f>
        <v>S7 (6.94)</v>
      </c>
      <c r="N438" s="4">
        <f>IF(AND(Panchanga!$R438&lt;28.5,Panchanga!$R438&gt;0.49999),MOD((Panchanga!$R438-0.5)*2,7),MOD((Panchanga!$R438+30-28.5),30)*2+7)</f>
        <v>5.872399999999999</v>
      </c>
      <c r="O438" s="4" t="str">
        <f>CHOOSE(ROUNDUP(Panchanga!$N438,0),"Bhava","Baalava","Kaulava","Taitula","Garija","Vanija","Vishti","Shakuni","Chatushapda","Naaga","Kimstugna")</f>
        <v>Vanija</v>
      </c>
      <c r="P438" s="11" t="str">
        <f>CHOOSE(ROUNDUP(Panchanga!$S438,0),"viṣkambha","prīti","āyuṣmāna","saubhāgya","śobhana","atigaṇḍa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("&amp;Panchanga!$S438&amp;")"</f>
        <v>gaṇḍa  (9.19)</v>
      </c>
      <c r="Q438" s="4">
        <f>IF(AND(Panchanga!$R438&lt;28.5,Panchanga!$R438&gt;0.49999),MOD((Panchanga!$R438-0.5)*2,7),MOD((Panchanga!$R438+30-28.5),30)*2+7)</f>
        <v>5.872399999999999</v>
      </c>
      <c r="R438" s="4">
        <f>ROUNDUP(MOD(360+P[[#This Row],[Moon]]-P[[#This Row],[Sun]],360)/12,4)</f>
        <v>6.9361999999999995</v>
      </c>
      <c r="S438" s="4">
        <f>ROUNDUP(MOD(P[[#This Row],[Sun]]+P[[#This Row],[Moon]],360)/13.333333333,2)</f>
        <v>9.19</v>
      </c>
      <c r="T438" s="4" t="str">
        <f>SIGN(W439-Panchanga!$W438)*INT(Panchanga!$W438/30+1)&amp;"Ma,"&amp;SIGN(X439-Panchanga!$X438)*INT(Panchanga!$X438/30+1)&amp;"Me,"&amp;SIGN(Y439-Panchanga!$Y438)*INT(Panchanga!$Y438/30+1)&amp;"J, "&amp;SIGN(Z439-Panchanga!$Z438)*INT(Panchanga!$Z438/30+1)&amp;"V,"&amp;SIGN(AA439-Panchanga!$AA438)*INT(Panchanga!$AA438/30+1)&amp;"S,"&amp;INT(Panchanga!$AB438/30+1)&amp;"R"</f>
        <v>4Ma,12Me,2J, 12V,12S,12R</v>
      </c>
      <c r="U438" s="4">
        <f t="shared" si="52"/>
        <v>19.591258575455786</v>
      </c>
      <c r="V438" s="4">
        <f t="shared" si="53"/>
        <v>102.82452651361912</v>
      </c>
      <c r="W438" s="4">
        <f>Planet(Panchanga!$G438,4)</f>
        <v>102.77772743760283</v>
      </c>
      <c r="X438" s="4">
        <f>Planet(Panchanga!$G438,2)</f>
        <v>355.56067561673029</v>
      </c>
      <c r="Y438" s="4">
        <f>Planet(Panchanga!$G438,5)</f>
        <v>57.767352557759352</v>
      </c>
      <c r="Z438" s="4">
        <f>Planet(Panchanga!$G438,3)</f>
        <v>337.72999314562702</v>
      </c>
      <c r="AA438" s="4">
        <f>Planet(Panchanga!$G438,6)</f>
        <v>333.93845954287769</v>
      </c>
      <c r="AB438" s="4">
        <f>Planet(Panchanga!$G438,10)</f>
        <v>330.77230546180147</v>
      </c>
      <c r="AC438" s="4" t="str">
        <f>TEXT(Panchanga!$C438+($C439-Panchanga!$C438)/ABS(IF($R439&lt;1,$R439+30,$R439)-Panchanga!$R438)*(ROUNDUP(Panchanga!$R438,0)-Panchanga!$R438),"hh:mm AM/PM")</f>
        <v>07:20 AM</v>
      </c>
      <c r="AD438" s="4"/>
    </row>
    <row r="439" spans="1:30" x14ac:dyDescent="0.2">
      <c r="A439" s="3">
        <f t="shared" si="55"/>
        <v>45782</v>
      </c>
      <c r="B439" s="3">
        <f t="shared" si="50"/>
        <v>45782.229166666664</v>
      </c>
      <c r="C439" s="6">
        <f t="shared" si="51"/>
        <v>45782.241386410933</v>
      </c>
      <c r="D439" s="6">
        <f>sunset(Lat,Long,B439)+TimeZone/24-0.000277777777777778</f>
        <v>45781.767329722687</v>
      </c>
      <c r="E439" s="6">
        <f>PlanetRiseSet(Lat,Long,B439,1,1)+TimeZone/24+0.00103009259259259</f>
        <v>45781.496902774241</v>
      </c>
      <c r="F439" s="6">
        <f>PlanetRiseSet(Lat,Long,B439+1,1,2)+TimeZone/24+0.00103009259259259</f>
        <v>45783.069571762499</v>
      </c>
      <c r="G439" s="17">
        <f>Panchanga!$C439-TimeZone/24</f>
        <v>45782.012219744269</v>
      </c>
      <c r="H439" s="13" t="str">
        <f>INT(P[[#This Row],[Sun]]/30)&amp;"s"&amp;ROUNDUP(MOD(P[[#This Row],[Sun]],30),2)</f>
        <v>0s20.57</v>
      </c>
      <c r="I439" s="13" t="str">
        <f>INT(P[[#This Row],[Moon]]/30)&amp;"s"&amp;ROUNDUP(MOD(P[[#This Row],[Moon]],30),2)</f>
        <v>3s25.68</v>
      </c>
      <c r="J439" s="14">
        <f t="shared" si="54"/>
        <v>45782.012219744269</v>
      </c>
      <c r="K439" s="10" t="str">
        <f>naks(P[[#This Row],[Moon]])</f>
        <v>Aslesha</v>
      </c>
      <c r="L439" s="15">
        <f>(C440-P[[#This Row],[SunRise]])/(MOD(360+V440-P[[#This Row],[Moon]],360))*(13.3333333333333-MOD(P[[#This Row],[Moon]],13.333333333333))+P[[#This Row],[SunRise]]</f>
        <v>45782.587171064755</v>
      </c>
      <c r="M439" s="4" t="str">
        <f>IF(Panchanga!$R439&gt;15,"K","S")&amp;ROUNDUP(MOD(Panchanga!$R439,15),0)&amp;" ("&amp;ROUND(Panchanga!$R439,2)&amp;")"</f>
        <v>S8 (7.93)</v>
      </c>
      <c r="N439" s="4">
        <f>IF(AND(Panchanga!$R439&lt;28.5,Panchanga!$R439&gt;0.49999),MOD((Panchanga!$R439-0.5)*2,7),MOD((Panchanga!$R439+30-28.5),30)*2+7)</f>
        <v>0.85319999999999929</v>
      </c>
      <c r="O439" s="4" t="str">
        <f>CHOOSE(ROUNDUP(Panchanga!$N439,0),"Bhava","Baalava","Kaulava","Taitula","Garija","Vanija","Vishti","Shakuni","Chatushapda","Naaga","Kimstugna")</f>
        <v>Bhava</v>
      </c>
      <c r="P439" s="11" t="str">
        <f>CHOOSE(ROUNDUP(Panchanga!$S439,0),"viṣkambha","prīti","āyuṣmāna","saubhāgya","śobhana","atigaṇḍa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("&amp;Panchanga!$S439&amp;")"</f>
        <v>vṛddhi  (10.22)</v>
      </c>
      <c r="Q439" s="4">
        <f>IF(AND(Panchanga!$R439&lt;28.5,Panchanga!$R439&gt;0.49999),MOD((Panchanga!$R439-0.5)*2,7),MOD((Panchanga!$R439+30-28.5),30)*2+7)</f>
        <v>0.85319999999999929</v>
      </c>
      <c r="R439" s="4">
        <f>ROUNDUP(MOD(360+P[[#This Row],[Moon]]-P[[#This Row],[Sun]],360)/12,4)</f>
        <v>7.9265999999999996</v>
      </c>
      <c r="S439" s="4">
        <f>ROUNDUP(MOD(P[[#This Row],[Sun]]+P[[#This Row],[Moon]],360)/13.333333333,2)</f>
        <v>10.220000000000001</v>
      </c>
      <c r="T439" s="4" t="str">
        <f>SIGN(W440-Panchanga!$W439)*INT(Panchanga!$W439/30+1)&amp;"Ma,"&amp;SIGN(X440-Panchanga!$X439)*INT(Panchanga!$X439/30+1)&amp;"Me,"&amp;SIGN(Y440-Panchanga!$Y439)*INT(Panchanga!$Y439/30+1)&amp;"J, "&amp;SIGN(Z440-Panchanga!$Z439)*INT(Panchanga!$Z439/30+1)&amp;"V,"&amp;SIGN(AA440-Panchanga!$AA439)*INT(Panchanga!$AA439/30+1)&amp;"S,"&amp;INT(Panchanga!$AB439/30+1)&amp;"R"</f>
        <v>4Ma,12Me,2J, 12V,12S,12R</v>
      </c>
      <c r="U439" s="4">
        <f t="shared" si="52"/>
        <v>20.560224711697987</v>
      </c>
      <c r="V439" s="4">
        <f t="shared" si="53"/>
        <v>115.6784645692976</v>
      </c>
      <c r="W439" s="4">
        <f>Planet(Panchanga!$G439,4)</f>
        <v>103.24688611956411</v>
      </c>
      <c r="X439" s="4">
        <f>Planet(Panchanga!$G439,2)</f>
        <v>357.04265651453613</v>
      </c>
      <c r="Y439" s="4">
        <f>Planet(Panchanga!$G439,5)</f>
        <v>57.971430197995524</v>
      </c>
      <c r="Z439" s="4">
        <f>Planet(Panchanga!$G439,3)</f>
        <v>338.36270023424692</v>
      </c>
      <c r="AA439" s="4">
        <f>Planet(Panchanga!$G439,6)</f>
        <v>334.03648678558733</v>
      </c>
      <c r="AB439" s="4">
        <f>Planet(Panchanga!$G439,10)</f>
        <v>330.71932793549911</v>
      </c>
      <c r="AC439" s="4" t="str">
        <f>TEXT(Panchanga!$C439+($C440-Panchanga!$C439)/ABS(IF($R440&lt;1,$R440+30,$R440)-Panchanga!$R439)*(ROUNDUP(Panchanga!$R439,0)-Panchanga!$R439),"hh:mm AM/PM")</f>
        <v>07:37 AM</v>
      </c>
      <c r="AD439" s="4"/>
    </row>
    <row r="440" spans="1:30" x14ac:dyDescent="0.2">
      <c r="A440" s="3">
        <f t="shared" si="55"/>
        <v>45783</v>
      </c>
      <c r="B440" s="3">
        <f t="shared" si="50"/>
        <v>45783.229166666664</v>
      </c>
      <c r="C440" s="6">
        <f t="shared" si="51"/>
        <v>45783.24112245642</v>
      </c>
      <c r="D440" s="6">
        <f>sunset(Lat,Long,B440)+TimeZone/24-0.000277777777777778</f>
        <v>45782.767482284966</v>
      </c>
      <c r="E440" s="6">
        <f>PlanetRiseSet(Lat,Long,B440,1,1)+TimeZone/24+0.00103009259259259</f>
        <v>45782.533758781072</v>
      </c>
      <c r="F440" s="6">
        <f>PlanetRiseSet(Lat,Long,B440+1,1,2)+TimeZone/24+0.00103009259259259</f>
        <v>45784.094761311229</v>
      </c>
      <c r="G440" s="17">
        <f>Panchanga!$C440-TimeZone/24</f>
        <v>45783.011955789756</v>
      </c>
      <c r="H440" s="13" t="str">
        <f>INT(P[[#This Row],[Sun]]/30)&amp;"s"&amp;ROUNDUP(MOD(P[[#This Row],[Sun]],30),2)</f>
        <v>0s21.53</v>
      </c>
      <c r="I440" s="13" t="str">
        <f>INT(P[[#This Row],[Moon]]/30)&amp;"s"&amp;ROUNDUP(MOD(P[[#This Row],[Moon]],30),2)</f>
        <v>4s8.18</v>
      </c>
      <c r="J440" s="14">
        <f t="shared" si="54"/>
        <v>45783.011955789756</v>
      </c>
      <c r="K440" s="10" t="str">
        <f>naks(P[[#This Row],[Moon]])</f>
        <v>Makha</v>
      </c>
      <c r="L440" s="15">
        <f>(C441-P[[#This Row],[SunRise]])/(MOD(360+V441-P[[#This Row],[Moon]],360))*(13.3333333333333-MOD(P[[#This Row],[Moon]],13.333333333333))+P[[#This Row],[SunRise]]</f>
        <v>45783.663548474135</v>
      </c>
      <c r="M440" s="4" t="str">
        <f>IF(Panchanga!$R440&gt;15,"K","S")&amp;ROUNDUP(MOD(Panchanga!$R440,15),0)&amp;" ("&amp;ROUND(Panchanga!$R440,2)&amp;")"</f>
        <v>S9 (8.89)</v>
      </c>
      <c r="N440" s="4">
        <f>IF(AND(Panchanga!$R440&lt;28.5,Panchanga!$R440&gt;0.49999),MOD((Panchanga!$R440-0.5)*2,7),MOD((Panchanga!$R440+30-28.5),30)*2+7)</f>
        <v>2.7742000000000004</v>
      </c>
      <c r="O440" s="4" t="str">
        <f>CHOOSE(ROUNDUP(Panchanga!$N440,0),"Bhava","Baalava","Kaulava","Taitula","Garija","Vanija","Vishti","Shakuni","Chatushapda","Naaga","Kimstugna")</f>
        <v>Kaulava</v>
      </c>
      <c r="P440" s="11" t="str">
        <f>CHOOSE(ROUNDUP(Panchanga!$S440,0),"viṣkambha","prīti","āyuṣmāna","saubhāgya","śobhana","atigaṇḍa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("&amp;Panchanga!$S440&amp;")"</f>
        <v>dhruva  (11.23)</v>
      </c>
      <c r="Q440" s="4">
        <f>IF(AND(Panchanga!$R440&lt;28.5,Panchanga!$R440&gt;0.49999),MOD((Panchanga!$R440-0.5)*2,7),MOD((Panchanga!$R440+30-28.5),30)*2+7)</f>
        <v>2.7742000000000004</v>
      </c>
      <c r="R440" s="4">
        <f>ROUNDUP(MOD(360+P[[#This Row],[Moon]]-P[[#This Row],[Sun]],360)/12,4)</f>
        <v>8.8871000000000002</v>
      </c>
      <c r="S440" s="4">
        <f>ROUNDUP(MOD(P[[#This Row],[Sun]]+P[[#This Row],[Moon]],360)/13.333333333,2)</f>
        <v>11.23</v>
      </c>
      <c r="T440" s="4" t="str">
        <f>SIGN(W441-Panchanga!$W440)*INT(Panchanga!$W440/30+1)&amp;"Ma,"&amp;SIGN(X441-Panchanga!$X440)*INT(Panchanga!$X440/30+1)&amp;"Me,"&amp;SIGN(Y441-Panchanga!$Y440)*INT(Panchanga!$Y440/30+1)&amp;"J, "&amp;SIGN(Z441-Panchanga!$Z440)*INT(Panchanga!$Z440/30+1)&amp;"V,"&amp;SIGN(AA441-Panchanga!$AA440)*INT(Panchanga!$AA440/30+1)&amp;"S,"&amp;INT(Panchanga!$AB440/30+1)&amp;"R"</f>
        <v>4Ma,-12Me,2J, 12V,12S,12R</v>
      </c>
      <c r="U440" s="4">
        <f t="shared" si="52"/>
        <v>21.528652548877265</v>
      </c>
      <c r="V440" s="4">
        <f t="shared" si="53"/>
        <v>128.17293097829329</v>
      </c>
      <c r="W440" s="4">
        <f>Planet(Panchanga!$G440,4)</f>
        <v>103.71892990373063</v>
      </c>
      <c r="X440" s="4">
        <f>Planet(Panchanga!$G440,2)</f>
        <v>358.55826064730689</v>
      </c>
      <c r="Y440" s="4">
        <f>Planet(Panchanga!$G440,5)</f>
        <v>58.17650951989615</v>
      </c>
      <c r="Z440" s="4">
        <f>Planet(Panchanga!$G440,3)</f>
        <v>339.01431044433718</v>
      </c>
      <c r="AA440" s="4">
        <f>Planet(Panchanga!$G440,6)</f>
        <v>334.1335622625902</v>
      </c>
      <c r="AB440" s="4">
        <f>Planet(Panchanga!$G440,10)</f>
        <v>330.66634993659125</v>
      </c>
      <c r="AC440" s="4" t="str">
        <f>TEXT(Panchanga!$C440+($C441-Panchanga!$C440)/ABS(IF($R441&lt;1,$R441+30,$R441)-Panchanga!$R440)*(ROUNDUP(Panchanga!$R440,0)-Panchanga!$R440),"hh:mm AM/PM")</f>
        <v>08:40 AM</v>
      </c>
      <c r="AD440" s="4"/>
    </row>
    <row r="441" spans="1:30" x14ac:dyDescent="0.2">
      <c r="A441" s="3">
        <f t="shared" si="55"/>
        <v>45784</v>
      </c>
      <c r="B441" s="3">
        <f t="shared" si="50"/>
        <v>45784.229166666664</v>
      </c>
      <c r="C441" s="6">
        <f t="shared" si="51"/>
        <v>45784.240867558088</v>
      </c>
      <c r="D441" s="6">
        <f>sunset(Lat,Long,B441)+TimeZone/24-0.000277777777777778</f>
        <v>45783.767638449135</v>
      </c>
      <c r="E441" s="6">
        <f>PlanetRiseSet(Lat,Long,B441,1,1)+TimeZone/24+0.00103009259259259</f>
        <v>45783.568016740646</v>
      </c>
      <c r="F441" s="6">
        <f>PlanetRiseSet(Lat,Long,B441+1,1,2)+TimeZone/24+0.00103009259259259</f>
        <v>45785.118484217361</v>
      </c>
      <c r="G441" s="17">
        <f>Panchanga!$C441-TimeZone/24</f>
        <v>45784.011700891424</v>
      </c>
      <c r="H441" s="13" t="str">
        <f>INT(P[[#This Row],[Sun]]/30)&amp;"s"&amp;ROUNDUP(MOD(P[[#This Row],[Sun]],30),2)</f>
        <v>0s22.5</v>
      </c>
      <c r="I441" s="13" t="str">
        <f>INT(P[[#This Row],[Moon]]/30)&amp;"s"&amp;ROUNDUP(MOD(P[[#This Row],[Moon]],30),2)</f>
        <v>4s20.39</v>
      </c>
      <c r="J441" s="14">
        <f t="shared" si="54"/>
        <v>45784.011700891424</v>
      </c>
      <c r="K441" s="10" t="str">
        <f>naks(P[[#This Row],[Moon]])</f>
        <v>Purva Phalguni</v>
      </c>
      <c r="L441" s="15">
        <f>(C442-P[[#This Row],[SunRise]])/(MOD(360+V442-P[[#This Row],[Moon]],360))*(13.3333333333333-MOD(P[[#This Row],[Moon]],13.333333333333))+P[[#This Row],[SunRise]]</f>
        <v>45784.76368157706</v>
      </c>
      <c r="M441" s="4" t="str">
        <f>IF(Panchanga!$R441&gt;15,"K","S")&amp;ROUNDUP(MOD(Panchanga!$R441,15),0)&amp;" ("&amp;ROUND(Panchanga!$R441,2)&amp;")"</f>
        <v>S10 (9.82)</v>
      </c>
      <c r="N441" s="4">
        <f>IF(AND(Panchanga!$R441&lt;28.5,Panchanga!$R441&gt;0.49999),MOD((Panchanga!$R441-0.5)*2,7),MOD((Panchanga!$R441+30-28.5),30)*2+7)</f>
        <v>4.6483999999999988</v>
      </c>
      <c r="O441" s="4" t="str">
        <f>CHOOSE(ROUNDUP(Panchanga!$N441,0),"Bhava","Baalava","Kaulava","Taitula","Garija","Vanija","Vishti","Shakuni","Chatushapda","Naaga","Kimstugna")</f>
        <v>Garija</v>
      </c>
      <c r="P441" s="11" t="str">
        <f>CHOOSE(ROUNDUP(Panchanga!$S441,0),"viṣkambha","prīti","āyuṣmāna","saubhāgya","śobhana","atigaṇḍa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("&amp;Panchanga!$S441&amp;")"</f>
        <v>vyāghāta (12.22)</v>
      </c>
      <c r="Q441" s="4">
        <f>IF(AND(Panchanga!$R441&lt;28.5,Panchanga!$R441&gt;0.49999),MOD((Panchanga!$R441-0.5)*2,7),MOD((Panchanga!$R441+30-28.5),30)*2+7)</f>
        <v>4.6483999999999988</v>
      </c>
      <c r="R441" s="4">
        <f>ROUNDUP(MOD(360+P[[#This Row],[Moon]]-P[[#This Row],[Sun]],360)/12,4)</f>
        <v>9.8241999999999994</v>
      </c>
      <c r="S441" s="4">
        <f>ROUNDUP(MOD(P[[#This Row],[Sun]]+P[[#This Row],[Moon]],360)/13.333333333,2)</f>
        <v>12.22</v>
      </c>
      <c r="T441" s="4" t="str">
        <f>SIGN(W442-Panchanga!$W441)*INT(Panchanga!$W441/30+1)&amp;"Ma,"&amp;SIGN(X442-Panchanga!$X441)*INT(Panchanga!$X441/30+1)&amp;"Me,"&amp;SIGN(Y442-Panchanga!$Y441)*INT(Panchanga!$Y441/30+1)&amp;"J, "&amp;SIGN(Z442-Panchanga!$Z441)*INT(Panchanga!$Z441/30+1)&amp;"V,"&amp;SIGN(AA442-Panchanga!$AA441)*INT(Panchanga!$AA441/30+1)&amp;"S,"&amp;INT(Panchanga!$AB441/30+1)&amp;"R"</f>
        <v>4Ma,1Me,2J, 12V,12S,12R</v>
      </c>
      <c r="U441" s="4">
        <f t="shared" si="52"/>
        <v>22.496552317523381</v>
      </c>
      <c r="V441" s="4">
        <f t="shared" si="53"/>
        <v>140.38592629752767</v>
      </c>
      <c r="W441" s="4">
        <f>Planet(Panchanga!$G441,4)</f>
        <v>104.19379342704617</v>
      </c>
      <c r="X441" s="4">
        <f>Planet(Panchanga!$G441,2)</f>
        <v>0.10722251200401102</v>
      </c>
      <c r="Y441" s="4">
        <f>Planet(Panchanga!$G441,5)</f>
        <v>58.382565545150172</v>
      </c>
      <c r="Z441" s="4">
        <f>Planet(Panchanga!$G441,3)</f>
        <v>339.68411296437324</v>
      </c>
      <c r="AA441" s="4">
        <f>Planet(Panchanga!$G441,6)</f>
        <v>334.22967116879977</v>
      </c>
      <c r="AB441" s="4">
        <f>Planet(Panchanga!$G441,10)</f>
        <v>330.61337145777082</v>
      </c>
      <c r="AC441" s="4" t="str">
        <f>TEXT(Panchanga!$C441+($C442-Panchanga!$C441)/ABS(IF($R442&lt;1,$R442+30,$R442)-Panchanga!$R441)*(ROUNDUP(Panchanga!$R441,0)-Panchanga!$R441),"hh:mm AM/PM")</f>
        <v>10:21 AM</v>
      </c>
      <c r="AD441" s="4"/>
    </row>
    <row r="442" spans="1:30" x14ac:dyDescent="0.2">
      <c r="A442" s="3">
        <f t="shared" si="55"/>
        <v>45785</v>
      </c>
      <c r="B442" s="3">
        <f t="shared" si="50"/>
        <v>45785.229166666664</v>
      </c>
      <c r="C442" s="6">
        <f t="shared" si="51"/>
        <v>45785.240621852376</v>
      </c>
      <c r="D442" s="6">
        <f>sunset(Lat,Long,B442)+TimeZone/24-0.000277777777777778</f>
        <v>45784.767798192377</v>
      </c>
      <c r="E442" s="6">
        <f>PlanetRiseSet(Lat,Long,B442,1,1)+TimeZone/24+0.00103009259259259</f>
        <v>45784.600420716371</v>
      </c>
      <c r="F442" s="6">
        <f>PlanetRiseSet(Lat,Long,B442+1,1,2)+TimeZone/24+0.00103009259259259</f>
        <v>45786.141642788112</v>
      </c>
      <c r="G442" s="17">
        <f>Panchanga!$C442-TimeZone/24</f>
        <v>45785.011455185711</v>
      </c>
      <c r="H442" s="13" t="str">
        <f>INT(P[[#This Row],[Sun]]/30)&amp;"s"&amp;ROUNDUP(MOD(P[[#This Row],[Sun]],30),2)</f>
        <v>0s23.47</v>
      </c>
      <c r="I442" s="13" t="str">
        <f>INT(P[[#This Row],[Moon]]/30)&amp;"s"&amp;ROUNDUP(MOD(P[[#This Row],[Moon]],30),2)</f>
        <v>5s2.4</v>
      </c>
      <c r="J442" s="14">
        <f t="shared" si="54"/>
        <v>45785.011455185711</v>
      </c>
      <c r="K442" s="10" t="str">
        <f>naks(P[[#This Row],[Moon]])</f>
        <v>Uttara Phalguni</v>
      </c>
      <c r="L442" s="15">
        <f>(C443-P[[#This Row],[SunRise]])/(MOD(360+V443-P[[#This Row],[Moon]],360))*(13.3333333333333-MOD(P[[#This Row],[Moon]],13.333333333333))+P[[#This Row],[SunRise]]</f>
        <v>45785.880445482231</v>
      </c>
      <c r="M442" s="4" t="str">
        <f>IF(Panchanga!$R442&gt;15,"K","S")&amp;ROUNDUP(MOD(Panchanga!$R442,15),0)&amp;" ("&amp;ROUND(Panchanga!$R442,2)&amp;")"</f>
        <v>S11 (10.74)</v>
      </c>
      <c r="N442" s="4">
        <f>IF(AND(Panchanga!$R442&lt;28.5,Panchanga!$R442&gt;0.49999),MOD((Panchanga!$R442-0.5)*2,7),MOD((Panchanga!$R442+30-28.5),30)*2+7)</f>
        <v>6.4888000000000012</v>
      </c>
      <c r="O442" s="4" t="str">
        <f>CHOOSE(ROUNDUP(Panchanga!$N442,0),"Bhava","Baalava","Kaulava","Taitula","Garija","Vanija","Vishti","Shakuni","Chatushapda","Naaga","Kimstugna")</f>
        <v>Vishti</v>
      </c>
      <c r="P442" s="11" t="str">
        <f>CHOOSE(ROUNDUP(Panchanga!$S442,0),"viṣkambha","prīti","āyuṣmāna","saubhāgya","śobhana","atigaṇḍa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("&amp;Panchanga!$S442&amp;")"</f>
        <v>harṣaṇa (13.19)</v>
      </c>
      <c r="Q442" s="4">
        <f>IF(AND(Panchanga!$R442&lt;28.5,Panchanga!$R442&gt;0.49999),MOD((Panchanga!$R442-0.5)*2,7),MOD((Panchanga!$R442+30-28.5),30)*2+7)</f>
        <v>6.4888000000000012</v>
      </c>
      <c r="R442" s="4">
        <f>ROUNDUP(MOD(360+P[[#This Row],[Moon]]-P[[#This Row],[Sun]],360)/12,4)</f>
        <v>10.744400000000001</v>
      </c>
      <c r="S442" s="4">
        <f>ROUNDUP(MOD(P[[#This Row],[Sun]]+P[[#This Row],[Moon]],360)/13.333333333,2)</f>
        <v>13.19</v>
      </c>
      <c r="T442" s="4" t="str">
        <f>SIGN(W443-Panchanga!$W442)*INT(Panchanga!$W442/30+1)&amp;"Ma,"&amp;SIGN(X443-Panchanga!$X442)*INT(Panchanga!$X442/30+1)&amp;"Me,"&amp;SIGN(Y443-Panchanga!$Y442)*INT(Panchanga!$Y442/30+1)&amp;"J, "&amp;SIGN(Z443-Panchanga!$Z442)*INT(Panchanga!$Z442/30+1)&amp;"V,"&amp;SIGN(AA443-Panchanga!$AA442)*INT(Panchanga!$AA442/30+1)&amp;"S,"&amp;INT(Panchanga!$AB442/30+1)&amp;"R"</f>
        <v>4Ma,1Me,2J, 12V,12S,12R</v>
      </c>
      <c r="U442" s="4">
        <f t="shared" si="52"/>
        <v>23.463936589821962</v>
      </c>
      <c r="V442" s="4">
        <f t="shared" si="53"/>
        <v>152.39631034892207</v>
      </c>
      <c r="W442" s="4">
        <f>Planet(Panchanga!$G442,4)</f>
        <v>104.67141480408758</v>
      </c>
      <c r="X442" s="4">
        <f>Planet(Panchanga!$G442,2)</f>
        <v>1.68935608250608</v>
      </c>
      <c r="Y442" s="4">
        <f>Planet(Panchanga!$G442,5)</f>
        <v>58.589574140201982</v>
      </c>
      <c r="Z442" s="4">
        <f>Planet(Panchanga!$G442,3)</f>
        <v>340.37142467987593</v>
      </c>
      <c r="AA442" s="4">
        <f>Planet(Panchanga!$G442,6)</f>
        <v>334.32479881856801</v>
      </c>
      <c r="AB442" s="4">
        <f>Planet(Panchanga!$G442,10)</f>
        <v>330.5603924917807</v>
      </c>
      <c r="AC442" s="4" t="str">
        <f>TEXT(Panchanga!$C442+($C443-Panchanga!$C442)/ABS(IF($R443&lt;1,$R443+30,$R443)-Panchanga!$R442)*(ROUNDUP(Panchanga!$R442,0)-Panchanga!$R442),"hh:mm AM/PM")</f>
        <v>12:31 PM</v>
      </c>
      <c r="AD442" s="4"/>
    </row>
    <row r="443" spans="1:30" x14ac:dyDescent="0.2">
      <c r="A443" s="3">
        <f t="shared" si="55"/>
        <v>45786</v>
      </c>
      <c r="B443" s="3">
        <f t="shared" si="50"/>
        <v>45786.229166666664</v>
      </c>
      <c r="C443" s="6">
        <f t="shared" si="51"/>
        <v>45786.240385471996</v>
      </c>
      <c r="D443" s="6">
        <f>sunset(Lat,Long,B443)+TimeZone/24-0.000277777777777778</f>
        <v>45785.76796148908</v>
      </c>
      <c r="E443" s="6">
        <f>PlanetRiseSet(Lat,Long,B443,1,1)+TimeZone/24+0.00103009259259259</f>
        <v>45785.631796828158</v>
      </c>
      <c r="F443" s="6">
        <f>PlanetRiseSet(Lat,Long,B443+1,1,2)+TimeZone/24+0.00103009259259259</f>
        <v>45787.165062541295</v>
      </c>
      <c r="G443" s="17">
        <f>Panchanga!$C443-TimeZone/24</f>
        <v>45786.011218805332</v>
      </c>
      <c r="H443" s="13" t="str">
        <f>INT(P[[#This Row],[Sun]]/30)&amp;"s"&amp;ROUNDUP(MOD(P[[#This Row],[Sun]],30),2)</f>
        <v>0s24.44</v>
      </c>
      <c r="I443" s="13" t="str">
        <f>INT(P[[#This Row],[Moon]]/30)&amp;"s"&amp;ROUNDUP(MOD(P[[#This Row],[Moon]],30),2)</f>
        <v>5s14.28</v>
      </c>
      <c r="J443" s="14">
        <f t="shared" si="54"/>
        <v>45786.011218805332</v>
      </c>
      <c r="K443" s="10" t="str">
        <f>naks(P[[#This Row],[Moon]])</f>
        <v>Hasta</v>
      </c>
      <c r="L443" s="15">
        <f>(C444-P[[#This Row],[SunRise]])/(MOD(360+V444-P[[#This Row],[Moon]],360))*(13.3333333333333-MOD(P[[#This Row],[Moon]],13.333333333333))+P[[#This Row],[SunRise]]</f>
        <v>45787.006585462033</v>
      </c>
      <c r="M443" s="4" t="str">
        <f>IF(Panchanga!$R443&gt;15,"K","S")&amp;ROUNDUP(MOD(Panchanga!$R443,15),0)&amp;" ("&amp;ROUND(Panchanga!$R443,2)&amp;")"</f>
        <v>S12 (11.65)</v>
      </c>
      <c r="N443" s="4">
        <f>IF(AND(Panchanga!$R443&lt;28.5,Panchanga!$R443&gt;0.49999),MOD((Panchanga!$R443-0.5)*2,7),MOD((Panchanga!$R443+30-28.5),30)*2+7)</f>
        <v>1.3078000000000003</v>
      </c>
      <c r="O443" s="4" t="str">
        <f>CHOOSE(ROUNDUP(Panchanga!$N443,0),"Bhava","Baalava","Kaulava","Taitula","Garija","Vanija","Vishti","Shakuni","Chatushapda","Naaga","Kimstugna")</f>
        <v>Baalava</v>
      </c>
      <c r="P443" s="11" t="str">
        <f>CHOOSE(ROUNDUP(Panchanga!$S443,0),"viṣkambha","prīti","āyuṣmāna","saubhāgya","śobhana","atigaṇḍa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("&amp;Panchanga!$S443&amp;")"</f>
        <v>vajra (14.16)</v>
      </c>
      <c r="Q443" s="4">
        <f>IF(AND(Panchanga!$R443&lt;28.5,Panchanga!$R443&gt;0.49999),MOD((Panchanga!$R443-0.5)*2,7),MOD((Panchanga!$R443+30-28.5),30)*2+7)</f>
        <v>1.3078000000000003</v>
      </c>
      <c r="R443" s="4">
        <f>ROUNDUP(MOD(360+P[[#This Row],[Moon]]-P[[#This Row],[Sun]],360)/12,4)</f>
        <v>11.6539</v>
      </c>
      <c r="S443" s="4">
        <f>ROUNDUP(MOD(P[[#This Row],[Sun]]+P[[#This Row],[Moon]],360)/13.333333333,2)</f>
        <v>14.16</v>
      </c>
      <c r="T443" s="4" t="str">
        <f>SIGN(W444-Panchanga!$W443)*INT(Panchanga!$W443/30+1)&amp;"Ma,"&amp;SIGN(X444-Panchanga!$X443)*INT(Panchanga!$X443/30+1)&amp;"Me,"&amp;SIGN(Y444-Panchanga!$Y443)*INT(Panchanga!$Y443/30+1)&amp;"J, "&amp;SIGN(Z444-Panchanga!$Z443)*INT(Panchanga!$Z443/30+1)&amp;"V,"&amp;SIGN(AA444-Panchanga!$AA443)*INT(Panchanga!$AA443/30+1)&amp;"S,"&amp;INT(Panchanga!$AB443/30+1)&amp;"R"</f>
        <v>4Ma,1Me,2J, 12V,12S,12R</v>
      </c>
      <c r="U443" s="4">
        <f t="shared" si="52"/>
        <v>24.43081980959937</v>
      </c>
      <c r="V443" s="4">
        <f t="shared" si="53"/>
        <v>164.27754125903539</v>
      </c>
      <c r="W443" s="4">
        <f>Planet(Panchanga!$G443,4)</f>
        <v>105.15173552256525</v>
      </c>
      <c r="X443" s="4">
        <f>Planet(Panchanga!$G443,2)</f>
        <v>3.3045455045638108</v>
      </c>
      <c r="Y443" s="4">
        <f>Planet(Panchanga!$G443,5)</f>
        <v>58.797511938737294</v>
      </c>
      <c r="Z443" s="4">
        <f>Planet(Panchanga!$G443,3)</f>
        <v>341.07558886938676</v>
      </c>
      <c r="AA443" s="4">
        <f>Planet(Panchanga!$G443,6)</f>
        <v>334.41893058723508</v>
      </c>
      <c r="AB443" s="4">
        <f>Planet(Panchanga!$G443,10)</f>
        <v>330.50741303167865</v>
      </c>
      <c r="AC443" s="4" t="str">
        <f>TEXT(Panchanga!$C443+($C444-Panchanga!$C443)/ABS(IF($R444&lt;1,$R444+30,$R444)-Panchanga!$R443)*(ROUNDUP(Panchanga!$R443,0)-Panchanga!$R443),"hh:mm AM/PM")</f>
        <v>02:57 PM</v>
      </c>
      <c r="AD443" s="4"/>
    </row>
    <row r="444" spans="1:30" x14ac:dyDescent="0.2">
      <c r="A444" s="3">
        <f t="shared" si="55"/>
        <v>45787</v>
      </c>
      <c r="B444" s="3">
        <f t="shared" si="50"/>
        <v>45787.229166666664</v>
      </c>
      <c r="C444" s="6">
        <f t="shared" si="51"/>
        <v>45787.240158545937</v>
      </c>
      <c r="D444" s="6">
        <f>sunset(Lat,Long,B444)+TimeZone/24-0.000277777777777778</f>
        <v>45786.768128308511</v>
      </c>
      <c r="E444" s="6">
        <f>PlanetRiseSet(Lat,Long,B444,1,1)+TimeZone/24+0.00103009259259259</f>
        <v>45786.662946797129</v>
      </c>
      <c r="F444" s="6">
        <f>PlanetRiseSet(Lat,Long,B444+1,1,2)+TimeZone/24+0.00103009259259259</f>
        <v>45788.189519436717</v>
      </c>
      <c r="G444" s="17">
        <f>Panchanga!$C444-TimeZone/24</f>
        <v>45787.010991879273</v>
      </c>
      <c r="H444" s="13" t="str">
        <f>INT(P[[#This Row],[Sun]]/30)&amp;"s"&amp;ROUNDUP(MOD(P[[#This Row],[Sun]],30),2)</f>
        <v>0s25.4</v>
      </c>
      <c r="I444" s="13" t="str">
        <f>INT(P[[#This Row],[Moon]]/30)&amp;"s"&amp;ROUNDUP(MOD(P[[#This Row],[Moon]],30),2)</f>
        <v>5s26.1</v>
      </c>
      <c r="J444" s="14">
        <f t="shared" si="54"/>
        <v>45787.010991879273</v>
      </c>
      <c r="K444" s="10" t="str">
        <f>naks(P[[#This Row],[Moon]])</f>
        <v>Chitra</v>
      </c>
      <c r="L444" s="15">
        <f>(C445-P[[#This Row],[SunRise]])/(MOD(360+V445-P[[#This Row],[Moon]],360))*(13.3333333333333-MOD(P[[#This Row],[Moon]],13.333333333333))+P[[#This Row],[SunRise]]</f>
        <v>45788.135565774108</v>
      </c>
      <c r="M444" s="4" t="str">
        <f>IF(Panchanga!$R444&gt;15,"K","S")&amp;ROUNDUP(MOD(Panchanga!$R444,15),0)&amp;" ("&amp;ROUND(Panchanga!$R444,2)&amp;")"</f>
        <v>S13 (12.56)</v>
      </c>
      <c r="N444" s="4">
        <f>IF(AND(Panchanga!$R444&lt;28.5,Panchanga!$R444&gt;0.49999),MOD((Panchanga!$R444-0.5)*2,7),MOD((Panchanga!$R444+30-28.5),30)*2+7)</f>
        <v>3.1161999999999992</v>
      </c>
      <c r="O444" s="4" t="str">
        <f>CHOOSE(ROUNDUP(Panchanga!$N444,0),"Bhava","Baalava","Kaulava","Taitula","Garija","Vanija","Vishti","Shakuni","Chatushapda","Naaga","Kimstugna")</f>
        <v>Taitula</v>
      </c>
      <c r="P444" s="11" t="str">
        <f>CHOOSE(ROUNDUP(Panchanga!$S444,0),"viṣkambha","prīti","āyuṣmāna","saubhāgya","śobhana","atigaṇḍa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("&amp;Panchanga!$S444&amp;")"</f>
        <v>siddhi (15.12)</v>
      </c>
      <c r="Q444" s="4">
        <f>IF(AND(Panchanga!$R444&lt;28.5,Panchanga!$R444&gt;0.49999),MOD((Panchanga!$R444-0.5)*2,7),MOD((Panchanga!$R444+30-28.5),30)*2+7)</f>
        <v>3.1161999999999992</v>
      </c>
      <c r="R444" s="4">
        <f>ROUNDUP(MOD(360+P[[#This Row],[Moon]]-P[[#This Row],[Sun]],360)/12,4)</f>
        <v>12.5581</v>
      </c>
      <c r="S444" s="4">
        <f>ROUNDUP(MOD(P[[#This Row],[Sun]]+P[[#This Row],[Moon]],360)/13.333333333,2)</f>
        <v>15.12</v>
      </c>
      <c r="T444" s="4" t="str">
        <f>SIGN(W445-Panchanga!$W444)*INT(Panchanga!$W444/30+1)&amp;"Ma,"&amp;SIGN(X445-Panchanga!$X444)*INT(Panchanga!$X444/30+1)&amp;"Me,"&amp;SIGN(Y445-Panchanga!$Y444)*INT(Panchanga!$Y444/30+1)&amp;"J, "&amp;SIGN(Z445-Panchanga!$Z444)*INT(Panchanga!$Z444/30+1)&amp;"V,"&amp;SIGN(AA445-Panchanga!$AA444)*INT(Panchanga!$AA444/30+1)&amp;"S,"&amp;INT(Panchanga!$AB444/30+1)&amp;"R"</f>
        <v>4Ma,1Me,2J, 12V,12S,12R</v>
      </c>
      <c r="U444" s="4">
        <f t="shared" si="52"/>
        <v>25.397217950658529</v>
      </c>
      <c r="V444" s="4">
        <f t="shared" si="53"/>
        <v>176.09395629008011</v>
      </c>
      <c r="W444" s="4">
        <f>Planet(Panchanga!$G444,4)</f>
        <v>105.63470028628325</v>
      </c>
      <c r="X444" s="4">
        <f>Planet(Panchanga!$G444,2)</f>
        <v>4.9527348785678917</v>
      </c>
      <c r="Y444" s="4">
        <f>Planet(Panchanga!$G444,5)</f>
        <v>59.006356268736454</v>
      </c>
      <c r="Z444" s="4">
        <f>Planet(Panchanga!$G444,3)</f>
        <v>341.79597419946555</v>
      </c>
      <c r="AA444" s="4">
        <f>Planet(Panchanga!$G444,6)</f>
        <v>334.51205188105956</v>
      </c>
      <c r="AB444" s="4">
        <f>Planet(Panchanga!$G444,10)</f>
        <v>330.45443307058849</v>
      </c>
      <c r="AC444" s="4" t="str">
        <f>TEXT(Panchanga!$C444+($C445-Panchanga!$C444)/ABS(IF($R445&lt;1,$R445+30,$R445)-Panchanga!$R444)*(ROUNDUP(Panchanga!$R444,0)-Panchanga!$R444),"hh:mm AM/PM")</f>
        <v>05:30 PM</v>
      </c>
      <c r="AD444" s="4"/>
    </row>
    <row r="445" spans="1:30" x14ac:dyDescent="0.2">
      <c r="A445" s="3">
        <f t="shared" si="55"/>
        <v>45788</v>
      </c>
      <c r="B445" s="3">
        <f t="shared" si="50"/>
        <v>45788.229166666664</v>
      </c>
      <c r="C445" s="6">
        <f t="shared" si="51"/>
        <v>45788.239941198066</v>
      </c>
      <c r="D445" s="6">
        <f>sunset(Lat,Long,B445)+TimeZone/24-0.000277777777777778</f>
        <v>45787.768298615745</v>
      </c>
      <c r="E445" s="6">
        <f>PlanetRiseSet(Lat,Long,B445,1,1)+TimeZone/24+0.00103009259259259</f>
        <v>45787.694598320093</v>
      </c>
      <c r="F445" s="6">
        <f>PlanetRiseSet(Lat,Long,B445+1,1,2)+TimeZone/24+0.00103009259259259</f>
        <v>45789.215744167719</v>
      </c>
      <c r="G445" s="17">
        <f>Panchanga!$C445-TimeZone/24</f>
        <v>45788.010774531402</v>
      </c>
      <c r="H445" s="13" t="str">
        <f>INT(P[[#This Row],[Sun]]/30)&amp;"s"&amp;ROUNDUP(MOD(P[[#This Row],[Sun]],30),2)</f>
        <v>0s26.37</v>
      </c>
      <c r="I445" s="13" t="str">
        <f>INT(P[[#This Row],[Moon]]/30)&amp;"s"&amp;ROUNDUP(MOD(P[[#This Row],[Moon]],30),2)</f>
        <v>6s7.9</v>
      </c>
      <c r="J445" s="14">
        <f t="shared" si="54"/>
        <v>45788.010774531402</v>
      </c>
      <c r="K445" s="10" t="str">
        <f>naks(P[[#This Row],[Moon]])</f>
        <v>Swati</v>
      </c>
      <c r="L445" s="15">
        <f>(C446-P[[#This Row],[SunRise]])/(MOD(360+V446-P[[#This Row],[Moon]],360))*(13.3333333333333-MOD(P[[#This Row],[Moon]],13.333333333333))+P[[#This Row],[SunRise]]</f>
        <v>45789.262056490574</v>
      </c>
      <c r="M445" s="4" t="str">
        <f>IF(Panchanga!$R445&gt;15,"K","S")&amp;ROUNDUP(MOD(Panchanga!$R445,15),0)&amp;" ("&amp;ROUND(Panchanga!$R445,2)&amp;")"</f>
        <v>S14 (13.46)</v>
      </c>
      <c r="N445" s="4">
        <f>IF(AND(Panchanga!$R445&lt;28.5,Panchanga!$R445&gt;0.49999),MOD((Panchanga!$R445-0.5)*2,7),MOD((Panchanga!$R445+30-28.5),30)*2+7)</f>
        <v>4.9227999999999987</v>
      </c>
      <c r="O445" s="4" t="str">
        <f>CHOOSE(ROUNDUP(Panchanga!$N445,0),"Bhava","Baalava","Kaulava","Taitula","Garija","Vanija","Vishti","Shakuni","Chatushapda","Naaga","Kimstugna")</f>
        <v>Garija</v>
      </c>
      <c r="P445" s="11" t="str">
        <f>CHOOSE(ROUNDUP(Panchanga!$S445,0),"viṣkambha","prīti","āyuṣmāna","saubhāgya","śobhana","atigaṇḍa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("&amp;Panchanga!$S445&amp;")"</f>
        <v>vyatipāta (16.07)</v>
      </c>
      <c r="Q445" s="4">
        <f>IF(AND(Panchanga!$R445&lt;28.5,Panchanga!$R445&gt;0.49999),MOD((Panchanga!$R445-0.5)*2,7),MOD((Panchanga!$R445+30-28.5),30)*2+7)</f>
        <v>4.9227999999999987</v>
      </c>
      <c r="R445" s="4">
        <f>ROUNDUP(MOD(360+P[[#This Row],[Moon]]-P[[#This Row],[Sun]],360)/12,4)</f>
        <v>13.461399999999999</v>
      </c>
      <c r="S445" s="4">
        <f>ROUNDUP(MOD(P[[#This Row],[Sun]]+P[[#This Row],[Moon]],360)/13.333333333,2)</f>
        <v>16.07</v>
      </c>
      <c r="T445" s="4" t="str">
        <f>SIGN(W446-Panchanga!$W445)*INT(Panchanga!$W445/30+1)&amp;"Ma,"&amp;SIGN(X446-Panchanga!$X445)*INT(Panchanga!$X445/30+1)&amp;"Me,"&amp;SIGN(Y446-Panchanga!$Y445)*INT(Panchanga!$Y445/30+1)&amp;"J, "&amp;SIGN(Z446-Panchanga!$Z445)*INT(Panchanga!$Z445/30+1)&amp;"V,"&amp;SIGN(AA446-Panchanga!$AA445)*INT(Panchanga!$AA445/30+1)&amp;"S,"&amp;INT(Panchanga!$AB445/30+1)&amp;"R"</f>
        <v>4Ma,1Me,2J, 12V,12S,12R</v>
      </c>
      <c r="U445" s="4">
        <f t="shared" si="52"/>
        <v>26.363148285077113</v>
      </c>
      <c r="V445" s="4">
        <f t="shared" si="53"/>
        <v>187.89910157806619</v>
      </c>
      <c r="W445" s="4">
        <f>Planet(Panchanga!$G445,4)</f>
        <v>106.12025687842856</v>
      </c>
      <c r="X445" s="4">
        <f>Planet(Panchanga!$G445,2)</f>
        <v>6.6339166988516318</v>
      </c>
      <c r="Y445" s="4">
        <f>Planet(Panchanga!$G445,5)</f>
        <v>59.216085097706141</v>
      </c>
      <c r="Z445" s="4">
        <f>Planet(Panchanga!$G445,3)</f>
        <v>342.5319738375274</v>
      </c>
      <c r="AA445" s="4">
        <f>Planet(Panchanga!$G445,6)</f>
        <v>334.60414810875432</v>
      </c>
      <c r="AB445" s="4">
        <f>Planet(Panchanga!$G445,10)</f>
        <v>330.40145260188285</v>
      </c>
      <c r="AC445" s="4" t="str">
        <f>TEXT(Panchanga!$C445+($C446-Panchanga!$C445)/ABS(IF($R446&lt;1,$R446+30,$R446)-Panchanga!$R445)*(ROUNDUP(Panchanga!$R445,0)-Panchanga!$R445),"hh:mm AM/PM")</f>
        <v>08:01 PM</v>
      </c>
      <c r="AD445" s="4"/>
    </row>
    <row r="446" spans="1:30" x14ac:dyDescent="0.2">
      <c r="A446" s="3">
        <f t="shared" si="55"/>
        <v>45789</v>
      </c>
      <c r="B446" s="3">
        <f t="shared" si="50"/>
        <v>45789.229166666664</v>
      </c>
      <c r="C446" s="6">
        <f t="shared" si="51"/>
        <v>45789.239733548056</v>
      </c>
      <c r="D446" s="6">
        <f>sunset(Lat,Long,B446)+TimeZone/24-0.000277777777777778</f>
        <v>45788.768472369338</v>
      </c>
      <c r="E446" s="6">
        <f>PlanetRiseSet(Lat,Long,B446,1,1)+TimeZone/24+0.00103009259259259</f>
        <v>45788.727358105745</v>
      </c>
      <c r="F446" s="6">
        <f>PlanetRiseSet(Lat,Long,B446+1,1,2)+TimeZone/24+0.00103009259259259</f>
        <v>45790.244378337789</v>
      </c>
      <c r="G446" s="17">
        <f>Panchanga!$C446-TimeZone/24</f>
        <v>45789.010566881392</v>
      </c>
      <c r="H446" s="13" t="str">
        <f>INT(P[[#This Row],[Sun]]/30)&amp;"s"&amp;ROUNDUP(MOD(P[[#This Row],[Sun]],30),2)</f>
        <v>0s27.33</v>
      </c>
      <c r="I446" s="13" t="str">
        <f>INT(P[[#This Row],[Moon]]/30)&amp;"s"&amp;ROUNDUP(MOD(P[[#This Row],[Moon]],30),2)</f>
        <v>6s19.74</v>
      </c>
      <c r="J446" s="14">
        <f t="shared" si="54"/>
        <v>45789.010566881392</v>
      </c>
      <c r="K446" s="10" t="str">
        <f>naks(P[[#This Row],[Moon]])</f>
        <v>Swati</v>
      </c>
      <c r="L446" s="15">
        <f>(C447-P[[#This Row],[SunRise]])/(MOD(360+V447-P[[#This Row],[Moon]],360))*(13.3333333333333-MOD(P[[#This Row],[Moon]],13.333333333333))+P[[#This Row],[SunRise]]</f>
        <v>45789.261935183487</v>
      </c>
      <c r="M446" s="4" t="str">
        <f>IF(Panchanga!$R446&gt;15,"K","S")&amp;ROUNDUP(MOD(Panchanga!$R446,15),0)&amp;" ("&amp;ROUND(Panchanga!$R446,2)&amp;")"</f>
        <v>S15 (14.37)</v>
      </c>
      <c r="N446" s="4">
        <f>IF(AND(Panchanga!$R446&lt;28.5,Panchanga!$R446&gt;0.49999),MOD((Panchanga!$R446-0.5)*2,7),MOD((Panchanga!$R446+30-28.5),30)*2+7)</f>
        <v>6.7346000000000004</v>
      </c>
      <c r="O446" s="4" t="str">
        <f>CHOOSE(ROUNDUP(Panchanga!$N446,0),"Bhava","Baalava","Kaulava","Taitula","Garija","Vanija","Vishti","Shakuni","Chatushapda","Naaga","Kimstugna")</f>
        <v>Vishti</v>
      </c>
      <c r="P446" s="11" t="str">
        <f>CHOOSE(ROUNDUP(Panchanga!$S446,0),"viṣkambha","prīti","āyuṣmāna","saubhāgya","śobhana","atigaṇḍa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("&amp;Panchanga!$S446&amp;")"</f>
        <v>varīyas (17.03)</v>
      </c>
      <c r="Q446" s="4">
        <f>IF(AND(Panchanga!$R446&lt;28.5,Panchanga!$R446&gt;0.49999),MOD((Panchanga!$R446-0.5)*2,7),MOD((Panchanga!$R446+30-28.5),30)*2+7)</f>
        <v>6.7346000000000004</v>
      </c>
      <c r="R446" s="4">
        <f>ROUNDUP(MOD(360+P[[#This Row],[Moon]]-P[[#This Row],[Sun]],360)/12,4)</f>
        <v>14.3673</v>
      </c>
      <c r="S446" s="4">
        <f>ROUNDUP(MOD(P[[#This Row],[Sun]]+P[[#This Row],[Moon]],360)/13.333333333,2)</f>
        <v>17.03</v>
      </c>
      <c r="T446" s="4" t="str">
        <f>SIGN(W447-Panchanga!$W446)*INT(Panchanga!$W446/30+1)&amp;"Ma,"&amp;SIGN(X447-Panchanga!$X446)*INT(Panchanga!$X446/30+1)&amp;"Me,"&amp;SIGN(Y447-Panchanga!$Y446)*INT(Panchanga!$Y446/30+1)&amp;"J, "&amp;SIGN(Z447-Panchanga!$Z446)*INT(Panchanga!$Z446/30+1)&amp;"V,"&amp;SIGN(AA447-Panchanga!$AA446)*INT(Panchanga!$AA446/30+1)&amp;"S,"&amp;INT(Panchanga!$AB446/30+1)&amp;"R"</f>
        <v>4Ma,1Me,2J, 12V,12S,12R</v>
      </c>
      <c r="U446" s="4">
        <f t="shared" si="52"/>
        <v>27.328629212427327</v>
      </c>
      <c r="V446" s="4">
        <f t="shared" si="53"/>
        <v>199.73571703522686</v>
      </c>
      <c r="W446" s="4">
        <f>Planet(Panchanga!$G446,4)</f>
        <v>106.60835609499394</v>
      </c>
      <c r="X446" s="4">
        <f>Planet(Panchanga!$G446,2)</f>
        <v>8.3481184747313417</v>
      </c>
      <c r="Y446" s="4">
        <f>Planet(Panchanga!$G446,5)</f>
        <v>59.426676992998146</v>
      </c>
      <c r="Z446" s="4">
        <f>Planet(Panchanga!$G446,3)</f>
        <v>343.28300450092689</v>
      </c>
      <c r="AA446" s="4">
        <f>Planet(Panchanga!$G446,6)</f>
        <v>334.69520465139004</v>
      </c>
      <c r="AB446" s="4">
        <f>Planet(Panchanga!$G446,10)</f>
        <v>330.34847161929855</v>
      </c>
      <c r="AC446" s="4" t="str">
        <f>TEXT(Panchanga!$C446+($C447-Panchanga!$C446)/ABS(IF($R447&lt;1,$R447+30,$R447)-Panchanga!$R446)*(ROUNDUP(Panchanga!$R446,0)-Panchanga!$R446),"hh:mm AM/PM")</f>
        <v>10:24 PM</v>
      </c>
      <c r="AD446" s="4"/>
    </row>
    <row r="447" spans="1:30" x14ac:dyDescent="0.2">
      <c r="A447" s="3">
        <f t="shared" si="55"/>
        <v>45790</v>
      </c>
      <c r="B447" s="3">
        <f t="shared" si="50"/>
        <v>45790.229166666664</v>
      </c>
      <c r="C447" s="6">
        <f t="shared" si="51"/>
        <v>45790.239535708599</v>
      </c>
      <c r="D447" s="6">
        <f>sunset(Lat,Long,B447)+TimeZone/24-0.000277777777777778</f>
        <v>45789.768649520396</v>
      </c>
      <c r="E447" s="6">
        <f>PlanetRiseSet(Lat,Long,B447,1,1)+TimeZone/24+0.00103009259259259</f>
        <v>45789.761632784888</v>
      </c>
      <c r="F447" s="6">
        <f>PlanetRiseSet(Lat,Long,B447+1,1,2)+TimeZone/24+0.00103009259259259</f>
        <v>45791.275862440154</v>
      </c>
      <c r="G447" s="17">
        <f>Panchanga!$C447-TimeZone/24</f>
        <v>45790.010369041935</v>
      </c>
      <c r="H447" s="13" t="str">
        <f>INT(P[[#This Row],[Sun]]/30)&amp;"s"&amp;ROUNDUP(MOD(P[[#This Row],[Sun]],30),2)</f>
        <v>0s28.3</v>
      </c>
      <c r="I447" s="13" t="str">
        <f>INT(P[[#This Row],[Moon]]/30)&amp;"s"&amp;ROUNDUP(MOD(P[[#This Row],[Moon]],30),2)</f>
        <v>7s1.64</v>
      </c>
      <c r="J447" s="14">
        <f t="shared" si="54"/>
        <v>45790.010369041935</v>
      </c>
      <c r="K447" s="10" t="str">
        <f>naks(P[[#This Row],[Moon]])</f>
        <v>Visakha</v>
      </c>
      <c r="L447" s="15">
        <f>(C448-P[[#This Row],[SunRise]])/(MOD(360+V448-P[[#This Row],[Moon]],360))*(13.3333333333333-MOD(P[[#This Row],[Moon]],13.333333333333))+P[[#This Row],[SunRise]]</f>
        <v>45790.380946560414</v>
      </c>
      <c r="M447" s="4" t="str">
        <f>IF(Panchanga!$R447&gt;15,"K","S")&amp;ROUNDUP(MOD(Panchanga!$R447,15),0)&amp;" ("&amp;ROUND(Panchanga!$R447,2)&amp;")"</f>
        <v>K1 (15.28)</v>
      </c>
      <c r="N447" s="4">
        <f>IF(AND(Panchanga!$R447&lt;28.5,Panchanga!$R447&gt;0.49999),MOD((Panchanga!$R447-0.5)*2,7),MOD((Panchanga!$R447+30-28.5),30)*2+7)</f>
        <v>1.5574000000000012</v>
      </c>
      <c r="O447" s="4" t="str">
        <f>CHOOSE(ROUNDUP(Panchanga!$N447,0),"Bhava","Baalava","Kaulava","Taitula","Garija","Vanija","Vishti","Shakuni","Chatushapda","Naaga","Kimstugna")</f>
        <v>Baalava</v>
      </c>
      <c r="P447" s="11" t="str">
        <f>CHOOSE(ROUNDUP(Panchanga!$S447,0),"viṣkambha","prīti","āyuṣmāna","saubhāgya","śobhana","atigaṇḍa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("&amp;Panchanga!$S447&amp;")"</f>
        <v>varīyas (18)</v>
      </c>
      <c r="Q447" s="4">
        <f>IF(AND(Panchanga!$R447&lt;28.5,Panchanga!$R447&gt;0.49999),MOD((Panchanga!$R447-0.5)*2,7),MOD((Panchanga!$R447+30-28.5),30)*2+7)</f>
        <v>1.5574000000000012</v>
      </c>
      <c r="R447" s="4">
        <f>ROUNDUP(MOD(360+P[[#This Row],[Moon]]-P[[#This Row],[Sun]],360)/12,4)</f>
        <v>15.278700000000001</v>
      </c>
      <c r="S447" s="4">
        <f>ROUNDUP(MOD(P[[#This Row],[Sun]]+P[[#This Row],[Moon]],360)/13.333333333,2)</f>
        <v>18</v>
      </c>
      <c r="T447" s="4" t="str">
        <f>SIGN(W448-Panchanga!$W447)*INT(Panchanga!$W447/30+1)&amp;"Ma,"&amp;SIGN(X448-Panchanga!$X447)*INT(Panchanga!$X447/30+1)&amp;"Me,"&amp;SIGN(Y448-Panchanga!$Y447)*INT(Panchanga!$Y447/30+1)&amp;"J, "&amp;SIGN(Z448-Panchanga!$Z447)*INT(Panchanga!$Z447/30+1)&amp;"V,"&amp;SIGN(AA448-Panchanga!$AA447)*INT(Panchanga!$AA447/30+1)&amp;"S,"&amp;INT(Panchanga!$AB447/30+1)&amp;"R"</f>
        <v>4Ma,1Me,2J, 12V,12S,12R</v>
      </c>
      <c r="U447" s="4">
        <f t="shared" si="52"/>
        <v>28.293680066911261</v>
      </c>
      <c r="V447" s="4">
        <f t="shared" si="53"/>
        <v>211.63712312789698</v>
      </c>
      <c r="W447" s="4">
        <f>Planet(Panchanga!$G447,4)</f>
        <v>107.09895174772453</v>
      </c>
      <c r="X447" s="4">
        <f>Planet(Panchanga!$G447,2)</f>
        <v>10.095387035583489</v>
      </c>
      <c r="Y447" s="4">
        <f>Planet(Panchanga!$G447,5)</f>
        <v>59.638111088747571</v>
      </c>
      <c r="Z447" s="4">
        <f>Planet(Panchanga!$G447,3)</f>
        <v>344.04850531885688</v>
      </c>
      <c r="AA447" s="4">
        <f>Planet(Panchanga!$G447,6)</f>
        <v>334.78520682737394</v>
      </c>
      <c r="AB447" s="4">
        <f>Planet(Panchanga!$G447,10)</f>
        <v>330.29549011687095</v>
      </c>
      <c r="AC447" s="4" t="str">
        <f>TEXT(Panchanga!$C447+($C448-Panchanga!$C447)/ABS(IF($R448&lt;1,$R448+30,$R448)-Panchanga!$R447)*(ROUNDUP(Panchanga!$R447,0)-Panchanga!$R447),"hh:mm AM/PM")</f>
        <v>12:34 AM</v>
      </c>
      <c r="AD447" s="4"/>
    </row>
    <row r="448" spans="1:30" x14ac:dyDescent="0.2">
      <c r="A448" s="3">
        <f t="shared" si="55"/>
        <v>45791</v>
      </c>
      <c r="B448" s="3">
        <f t="shared" si="50"/>
        <v>45791.229166666664</v>
      </c>
      <c r="C448" s="6">
        <f t="shared" si="51"/>
        <v>45791.239347785864</v>
      </c>
      <c r="D448" s="6">
        <f>sunset(Lat,Long,B448)+TimeZone/24-0.000277777777777778</f>
        <v>45790.768830013505</v>
      </c>
      <c r="E448" s="6">
        <f>PlanetRiseSet(Lat,Long,B448,1,1)+TimeZone/24+0.00103009259259259</f>
        <v>45790.797508287396</v>
      </c>
      <c r="F448" s="6">
        <f>PlanetRiseSet(Lat,Long,B448+1,1,2)+TimeZone/24+0.00103009259259259</f>
        <v>45792.310266810622</v>
      </c>
      <c r="G448" s="17">
        <f>Panchanga!$C448-TimeZone/24</f>
        <v>45791.0101811192</v>
      </c>
      <c r="H448" s="13" t="str">
        <f>INT(P[[#This Row],[Sun]]/30)&amp;"s"&amp;ROUNDUP(MOD(P[[#This Row],[Sun]],30),2)</f>
        <v>0s29.26</v>
      </c>
      <c r="I448" s="13" t="str">
        <f>INT(P[[#This Row],[Moon]]/30)&amp;"s"&amp;ROUNDUP(MOD(P[[#This Row],[Moon]],30),2)</f>
        <v>7s13.63</v>
      </c>
      <c r="J448" s="14">
        <f t="shared" si="54"/>
        <v>45791.0101811192</v>
      </c>
      <c r="K448" s="10" t="str">
        <f>naks(P[[#This Row],[Moon]])</f>
        <v>Anuradha</v>
      </c>
      <c r="L448" s="15">
        <f>(C449-P[[#This Row],[SunRise]])/(MOD(360+V449-P[[#This Row],[Moon]],360))*(13.3333333333333-MOD(P[[#This Row],[Moon]],13.333333333333))+P[[#This Row],[SunRise]]</f>
        <v>45791.490143519135</v>
      </c>
      <c r="M448" s="4" t="str">
        <f>IF(Panchanga!$R448&gt;15,"K","S")&amp;ROUNDUP(MOD(Panchanga!$R448,15),0)&amp;" ("&amp;ROUND(Panchanga!$R448,2)&amp;")"</f>
        <v>K2 (16.2)</v>
      </c>
      <c r="N448" s="4">
        <f>IF(AND(Panchanga!$R448&lt;28.5,Panchanga!$R448&gt;0.49999),MOD((Panchanga!$R448-0.5)*2,7),MOD((Panchanga!$R448+30-28.5),30)*2+7)</f>
        <v>3.3954000000000022</v>
      </c>
      <c r="O448" s="4" t="str">
        <f>CHOOSE(ROUNDUP(Panchanga!$N448,0),"Bhava","Baalava","Kaulava","Taitula","Garija","Vanija","Vishti","Shakuni","Chatushapda","Naaga","Kimstugna")</f>
        <v>Taitula</v>
      </c>
      <c r="P448" s="11" t="str">
        <f>CHOOSE(ROUNDUP(Panchanga!$S448,0),"viṣkambha","prīti","āyuṣmāna","saubhāgya","śobhana","atigaṇḍa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("&amp;Panchanga!$S448&amp;")"</f>
        <v>parigha (18.97)</v>
      </c>
      <c r="Q448" s="4">
        <f>IF(AND(Panchanga!$R448&lt;28.5,Panchanga!$R448&gt;0.49999),MOD((Panchanga!$R448-0.5)*2,7),MOD((Panchanga!$R448+30-28.5),30)*2+7)</f>
        <v>3.3954000000000022</v>
      </c>
      <c r="R448" s="4">
        <f>ROUNDUP(MOD(360+P[[#This Row],[Moon]]-P[[#This Row],[Sun]],360)/12,4)</f>
        <v>16.197700000000001</v>
      </c>
      <c r="S448" s="4">
        <f>ROUNDUP(MOD(P[[#This Row],[Sun]]+P[[#This Row],[Moon]],360)/13.333333333,2)</f>
        <v>18.970000000000002</v>
      </c>
      <c r="T448" s="4" t="str">
        <f>SIGN(W449-Panchanga!$W448)*INT(Panchanga!$W448/30+1)&amp;"Ma,"&amp;SIGN(X449-Panchanga!$X448)*INT(Panchanga!$X448/30+1)&amp;"Me,"&amp;SIGN(Y449-Panchanga!$Y448)*INT(Panchanga!$Y448/30+1)&amp;"J, "&amp;SIGN(Z449-Panchanga!$Z448)*INT(Panchanga!$Z448/30+1)&amp;"V,"&amp;SIGN(AA449-Panchanga!$AA448)*INT(Panchanga!$AA448/30+1)&amp;"S,"&amp;INT(Panchanga!$AB448/30+1)&amp;"R"</f>
        <v>4Ma,1Me,2J, 12V,12S,12R</v>
      </c>
      <c r="U448" s="4">
        <f t="shared" si="52"/>
        <v>29.258320830746435</v>
      </c>
      <c r="V448" s="4">
        <f t="shared" si="53"/>
        <v>223.62977734924166</v>
      </c>
      <c r="W448" s="4">
        <f>Planet(Panchanga!$G448,4)</f>
        <v>107.59200068701124</v>
      </c>
      <c r="X448" s="4">
        <f>Planet(Panchanga!$G448,2)</f>
        <v>11.875770064484522</v>
      </c>
      <c r="Y448" s="4">
        <f>Planet(Panchanga!$G448,5)</f>
        <v>59.850367041751717</v>
      </c>
      <c r="Z448" s="4">
        <f>Planet(Panchanga!$G448,3)</f>
        <v>344.82793650809822</v>
      </c>
      <c r="AA448" s="4">
        <f>Planet(Panchanga!$G448,6)</f>
        <v>334.87413984145786</v>
      </c>
      <c r="AB448" s="4">
        <f>Planet(Panchanga!$G448,10)</f>
        <v>330.24250808888382</v>
      </c>
      <c r="AC448" s="4" t="str">
        <f>TEXT(Panchanga!$C448+($C449-Panchanga!$C448)/ABS(IF($R449&lt;1,$R449+30,$R449)-Panchanga!$R448)*(ROUNDUP(Panchanga!$R448,0)-Panchanga!$R448),"hh:mm AM/PM")</f>
        <v>02:28 AM</v>
      </c>
      <c r="AD448" s="4"/>
    </row>
    <row r="449" spans="1:30" x14ac:dyDescent="0.2">
      <c r="A449" s="3">
        <f t="shared" si="55"/>
        <v>45792</v>
      </c>
      <c r="B449" s="3">
        <f t="shared" si="50"/>
        <v>45792.229166666664</v>
      </c>
      <c r="C449" s="6">
        <f t="shared" si="51"/>
        <v>45792.239169879504</v>
      </c>
      <c r="D449" s="6">
        <f>sunset(Lat,Long,B449)+TimeZone/24-0.000277777777777778</f>
        <v>45791.769013783938</v>
      </c>
      <c r="E449" s="6">
        <f>PlanetRiseSet(Lat,Long,B449,1,1)+TimeZone/24+0.00103009259259259</f>
        <v>45791.834626705539</v>
      </c>
      <c r="F449" s="6">
        <f>PlanetRiseSet(Lat,Long,B449+1,1,2)+TimeZone/24+0.00103009259259259</f>
        <v>45793.347152440962</v>
      </c>
      <c r="G449" s="17">
        <f>Panchanga!$C449-TimeZone/24</f>
        <v>45792.010003212839</v>
      </c>
      <c r="H449" s="13" t="str">
        <f>INT(P[[#This Row],[Sun]]/30)&amp;"s"&amp;ROUNDUP(MOD(P[[#This Row],[Sun]],30),2)</f>
        <v>1s0.23</v>
      </c>
      <c r="I449" s="13" t="str">
        <f>INT(P[[#This Row],[Moon]]/30)&amp;"s"&amp;ROUNDUP(MOD(P[[#This Row],[Moon]],30),2)</f>
        <v>7s25.74</v>
      </c>
      <c r="J449" s="14">
        <f t="shared" si="54"/>
        <v>45792.010003212839</v>
      </c>
      <c r="K449" s="10" t="str">
        <f>naks(P[[#This Row],[Moon]])</f>
        <v>Jyestha</v>
      </c>
      <c r="L449" s="15">
        <f>(C450-P[[#This Row],[SunRise]])/(MOD(360+V450-P[[#This Row],[Moon]],360))*(13.3333333333333-MOD(P[[#This Row],[Moon]],13.333333333333))+P[[#This Row],[SunRise]]</f>
        <v>45792.587305528337</v>
      </c>
      <c r="M449" s="4" t="str">
        <f>IF(Panchanga!$R449&gt;15,"K","S")&amp;ROUNDUP(MOD(Panchanga!$R449,15),0)&amp;" ("&amp;ROUND(Panchanga!$R449,2)&amp;")"</f>
        <v>K3 (17.13)</v>
      </c>
      <c r="N449" s="4">
        <f>IF(AND(Panchanga!$R449&lt;28.5,Panchanga!$R449&gt;0.49999),MOD((Panchanga!$R449-0.5)*2,7),MOD((Panchanga!$R449+30-28.5),30)*2+7)</f>
        <v>5.2524000000000015</v>
      </c>
      <c r="O449" s="4" t="str">
        <f>CHOOSE(ROUNDUP(Panchanga!$N449,0),"Bhava","Baalava","Kaulava","Taitula","Garija","Vanija","Vishti","Shakuni","Chatushapda","Naaga","Kimstugna")</f>
        <v>Vanija</v>
      </c>
      <c r="P449" s="11" t="str">
        <f>CHOOSE(ROUNDUP(Panchanga!$S449,0),"viṣkambha","prīti","āyuṣmāna","saubhāgya","śobhana","atigaṇḍa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("&amp;Panchanga!$S449&amp;")"</f>
        <v>śiva (19.95)</v>
      </c>
      <c r="Q449" s="4">
        <f>IF(AND(Panchanga!$R449&lt;28.5,Panchanga!$R449&gt;0.49999),MOD((Panchanga!$R449-0.5)*2,7),MOD((Panchanga!$R449+30-28.5),30)*2+7)</f>
        <v>5.2524000000000015</v>
      </c>
      <c r="R449" s="4">
        <f>ROUNDUP(MOD(360+P[[#This Row],[Moon]]-P[[#This Row],[Sun]],360)/12,4)</f>
        <v>17.126200000000001</v>
      </c>
      <c r="S449" s="4">
        <f>ROUNDUP(MOD(P[[#This Row],[Sun]]+P[[#This Row],[Moon]],360)/13.333333333,2)</f>
        <v>19.950000000000003</v>
      </c>
      <c r="T449" s="4" t="str">
        <f>SIGN(W450-Panchanga!$W449)*INT(Panchanga!$W449/30+1)&amp;"Ma,"&amp;SIGN(X450-Panchanga!$X449)*INT(Panchanga!$X449/30+1)&amp;"Me,"&amp;SIGN(Y450-Panchanga!$Y449)*INT(Panchanga!$Y449/30+1)&amp;"J, "&amp;SIGN(Z450-Panchanga!$Z449)*INT(Panchanga!$Z449/30+1)&amp;"V,"&amp;SIGN(AA450-Panchanga!$AA449)*INT(Panchanga!$AA449/30+1)&amp;"S,"&amp;INT(Panchanga!$AB449/30+1)&amp;"R"</f>
        <v>4Ma,1Me,3J, 12V,12S,12R</v>
      </c>
      <c r="U449" s="4">
        <f t="shared" si="52"/>
        <v>30.222571742728949</v>
      </c>
      <c r="V449" s="4">
        <f t="shared" si="53"/>
        <v>235.73663816339621</v>
      </c>
      <c r="W449" s="4">
        <f>Planet(Panchanga!$G449,4)</f>
        <v>108.08746278472901</v>
      </c>
      <c r="X449" s="4">
        <f>Planet(Panchanga!$G449,2)</f>
        <v>13.689294479286577</v>
      </c>
      <c r="Y449" s="4">
        <f>Planet(Panchanga!$G449,5)</f>
        <v>60.063424964738779</v>
      </c>
      <c r="Z449" s="4">
        <f>Planet(Panchanga!$G449,3)</f>
        <v>345.62077798312504</v>
      </c>
      <c r="AA449" s="4">
        <f>Planet(Panchanga!$G449,6)</f>
        <v>334.96198873418155</v>
      </c>
      <c r="AB449" s="4">
        <f>Planet(Panchanga!$G449,10)</f>
        <v>330.18952553013452</v>
      </c>
      <c r="AC449" s="4" t="str">
        <f>TEXT(Panchanga!$C449+($C450-Panchanga!$C449)/ABS(IF($R450&lt;1,$R450+30,$R450)-Panchanga!$R449)*(ROUNDUP(Panchanga!$R449,0)-Panchanga!$R449),"hh:mm AM/PM")</f>
        <v>04:02 AM</v>
      </c>
      <c r="AD449" s="4"/>
    </row>
    <row r="450" spans="1:30" x14ac:dyDescent="0.2">
      <c r="A450" s="3">
        <f t="shared" si="55"/>
        <v>45793</v>
      </c>
      <c r="B450" s="3">
        <f t="shared" si="50"/>
        <v>45793.229166666664</v>
      </c>
      <c r="C450" s="6">
        <f t="shared" si="51"/>
        <v>45793.239002078924</v>
      </c>
      <c r="D450" s="6">
        <f>sunset(Lat,Long,B450)+TimeZone/24-0.000277777777777778</f>
        <v>45792.769200756724</v>
      </c>
      <c r="E450" s="6">
        <f>PlanetRiseSet(Lat,Long,B450,1,1)+TimeZone/24+0.00103009259259259</f>
        <v>45792.872165819317</v>
      </c>
      <c r="F450" s="6">
        <f>PlanetRiseSet(Lat,Long,B450+1,1,2)+TimeZone/24+0.00103009259259259</f>
        <v>45794.385614260253</v>
      </c>
      <c r="G450" s="17">
        <f>Panchanga!$C450-TimeZone/24</f>
        <v>45793.00983541226</v>
      </c>
      <c r="H450" s="13" t="str">
        <f>INT(P[[#This Row],[Sun]]/30)&amp;"s"&amp;ROUNDUP(MOD(P[[#This Row],[Sun]],30),2)</f>
        <v>1s1.19</v>
      </c>
      <c r="I450" s="13" t="str">
        <f>INT(P[[#This Row],[Moon]]/30)&amp;"s"&amp;ROUNDUP(MOD(P[[#This Row],[Moon]],30),2)</f>
        <v>8s7.99</v>
      </c>
      <c r="J450" s="14">
        <f t="shared" si="54"/>
        <v>45793.00983541226</v>
      </c>
      <c r="K450" s="10" t="str">
        <f>naks(P[[#This Row],[Moon]])</f>
        <v>Moola</v>
      </c>
      <c r="L450" s="15">
        <f>(C451-P[[#This Row],[SunRise]])/(MOD(360+V451-P[[#This Row],[Moon]],360))*(13.3333333333333-MOD(P[[#This Row],[Moon]],13.333333333333))+P[[#This Row],[SunRise]]</f>
        <v>45793.670295407996</v>
      </c>
      <c r="M450" s="4" t="str">
        <f>IF(Panchanga!$R450&gt;15,"K","S")&amp;ROUNDUP(MOD(Panchanga!$R450,15),0)&amp;" ("&amp;ROUND(Panchanga!$R450,2)&amp;")"</f>
        <v>K4 (18.07)</v>
      </c>
      <c r="N450" s="4">
        <f>IF(AND(Panchanga!$R450&lt;28.5,Panchanga!$R450&gt;0.49999),MOD((Panchanga!$R450-0.5)*2,7),MOD((Panchanga!$R450+30-28.5),30)*2+7)</f>
        <v>0.13239999999999696</v>
      </c>
      <c r="O450" s="4" t="str">
        <f>CHOOSE(ROUNDUP(Panchanga!$N450,0),"Bhava","Baalava","Kaulava","Taitula","Garija","Vanija","Vishti","Shakuni","Chatushapda","Naaga","Kimstugna")</f>
        <v>Bhava</v>
      </c>
      <c r="P450" s="11" t="str">
        <f>CHOOSE(ROUNDUP(Panchanga!$S450,0),"viṣkambha","prīti","āyuṣmāna","saubhāgya","śobhana","atigaṇḍa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("&amp;Panchanga!$S450&amp;")"</f>
        <v>siddha (20.94)</v>
      </c>
      <c r="Q450" s="4">
        <f>IF(AND(Panchanga!$R450&lt;28.5,Panchanga!$R450&gt;0.49999),MOD((Panchanga!$R450-0.5)*2,7),MOD((Panchanga!$R450+30-28.5),30)*2+7)</f>
        <v>0.13239999999999696</v>
      </c>
      <c r="R450" s="4">
        <f>ROUNDUP(MOD(360+P[[#This Row],[Moon]]-P[[#This Row],[Sun]],360)/12,4)</f>
        <v>18.066199999999998</v>
      </c>
      <c r="S450" s="4">
        <f>ROUNDUP(MOD(P[[#This Row],[Sun]]+P[[#This Row],[Moon]],360)/13.333333333,2)</f>
        <v>20.94</v>
      </c>
      <c r="T450" s="4" t="str">
        <f>SIGN(W451-Panchanga!$W450)*INT(Panchanga!$W450/30+1)&amp;"Ma,"&amp;SIGN(X451-Panchanga!$X450)*INT(Panchanga!$X450/30+1)&amp;"Me,"&amp;SIGN(Y451-Panchanga!$Y450)*INT(Panchanga!$Y450/30+1)&amp;"J, "&amp;SIGN(Z451-Panchanga!$Z450)*INT(Panchanga!$Z450/30+1)&amp;"V,"&amp;SIGN(AA451-Panchanga!$AA450)*INT(Panchanga!$AA450/30+1)&amp;"S,"&amp;INT(Panchanga!$AB450/30+1)&amp;"R"</f>
        <v>4Ma,1Me,3J, 12V,12S,12R</v>
      </c>
      <c r="U450" s="4">
        <f t="shared" si="52"/>
        <v>31.186452839030952</v>
      </c>
      <c r="V450" s="4">
        <f t="shared" si="53"/>
        <v>247.98084945375882</v>
      </c>
      <c r="W450" s="4">
        <f>Planet(Panchanga!$G450,4)</f>
        <v>108.58530083304643</v>
      </c>
      <c r="X450" s="4">
        <f>Planet(Panchanga!$G450,2)</f>
        <v>15.535941308898842</v>
      </c>
      <c r="Y450" s="4">
        <f>Planet(Panchanga!$G450,5)</f>
        <v>60.277265337732736</v>
      </c>
      <c r="Z450" s="4">
        <f>Planet(Panchanga!$G450,3)</f>
        <v>346.42652804984675</v>
      </c>
      <c r="AA450" s="4">
        <f>Planet(Panchanga!$G450,6)</f>
        <v>335.04873833492485</v>
      </c>
      <c r="AB450" s="4">
        <f>Planet(Panchanga!$G450,10)</f>
        <v>330.13654243583477</v>
      </c>
      <c r="AC450" s="4" t="str">
        <f>TEXT(Panchanga!$C450+($C451-Panchanga!$C450)/ABS(IF($R451&lt;1,$R451+30,$R451)-Panchanga!$R450)*(ROUNDUP(Panchanga!$R450,0)-Panchanga!$R450),"hh:mm AM/PM")</f>
        <v>05:13 AM</v>
      </c>
      <c r="AD450" s="4"/>
    </row>
    <row r="451" spans="1:30" x14ac:dyDescent="0.2">
      <c r="A451" s="3">
        <f t="shared" si="55"/>
        <v>45794</v>
      </c>
      <c r="B451" s="3">
        <f t="shared" ref="B451:B463" si="56">A451+TimeZone/24</f>
        <v>45794.229166666664</v>
      </c>
      <c r="C451" s="6">
        <f t="shared" ref="C451:C463" si="57">sunrise(Lat,Long,B451)+TimeZone/24+0.00103009259259259</f>
        <v>45794.238844464686</v>
      </c>
      <c r="D451" s="6">
        <f>sunset(Lat,Long,B451)+TimeZone/24-0.000277777777777778</f>
        <v>45793.769390845715</v>
      </c>
      <c r="E451" s="6">
        <f>PlanetRiseSet(Lat,Long,B451,1,1)+TimeZone/24+0.00103009259259259</f>
        <v>45793.909033331707</v>
      </c>
      <c r="F451" s="6">
        <f>PlanetRiseSet(Lat,Long,B451+1,1,2)+TimeZone/24+0.00103009259259259</f>
        <v>45795.424579014223</v>
      </c>
      <c r="G451" s="17">
        <f>Panchanga!$C451-TimeZone/24</f>
        <v>45794.009677798022</v>
      </c>
      <c r="H451" s="13" t="str">
        <f>INT(P[[#This Row],[Sun]]/30)&amp;"s"&amp;ROUNDUP(MOD(P[[#This Row],[Sun]],30),2)</f>
        <v>1s2.15</v>
      </c>
      <c r="I451" s="13" t="str">
        <f>INT(P[[#This Row],[Moon]]/30)&amp;"s"&amp;ROUNDUP(MOD(P[[#This Row],[Moon]],30),2)</f>
        <v>8s20.39</v>
      </c>
      <c r="J451" s="14">
        <f t="shared" si="54"/>
        <v>45794.009677798022</v>
      </c>
      <c r="K451" s="10" t="str">
        <f>naks(P[[#This Row],[Moon]])</f>
        <v>Purva Asadha</v>
      </c>
      <c r="L451" s="15">
        <f>(C452-P[[#This Row],[SunRise]])/(MOD(360+V452-P[[#This Row],[Moon]],360))*(13.3333333333333-MOD(P[[#This Row],[Moon]],13.333333333333))+P[[#This Row],[SunRise]]</f>
        <v>45794.736764442365</v>
      </c>
      <c r="M451" s="4" t="str">
        <f>IF(Panchanga!$R451&gt;15,"K","S")&amp;ROUNDUP(MOD(Panchanga!$R451,15),0)&amp;" ("&amp;ROUND(Panchanga!$R451,2)&amp;")"</f>
        <v>K5 (19.02)</v>
      </c>
      <c r="N451" s="4">
        <f>IF(AND(Panchanga!$R451&lt;28.5,Panchanga!$R451&gt;0.49999),MOD((Panchanga!$R451-0.5)*2,7),MOD((Panchanga!$R451+30-28.5),30)*2+7)</f>
        <v>2.0399999999999991</v>
      </c>
      <c r="O451" s="4" t="str">
        <f>CHOOSE(ROUNDUP(Panchanga!$N451,0),"Bhava","Baalava","Kaulava","Taitula","Garija","Vanija","Vishti","Shakuni","Chatushapda","Naaga","Kimstugna")</f>
        <v>Kaulava</v>
      </c>
      <c r="P451" s="11" t="str">
        <f>CHOOSE(ROUNDUP(Panchanga!$S451,0),"viṣkambha","prīti","āyuṣmāna","saubhāgya","śobhana","atigaṇḍa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("&amp;Panchanga!$S451&amp;")"</f>
        <v>sādhya (21.95)</v>
      </c>
      <c r="Q451" s="4">
        <f>IF(AND(Panchanga!$R451&lt;28.5,Panchanga!$R451&gt;0.49999),MOD((Panchanga!$R451-0.5)*2,7),MOD((Panchanga!$R451+30-28.5),30)*2+7)</f>
        <v>2.0399999999999991</v>
      </c>
      <c r="R451" s="4">
        <f>ROUNDUP(MOD(360+P[[#This Row],[Moon]]-P[[#This Row],[Sun]],360)/12,4)</f>
        <v>19.02</v>
      </c>
      <c r="S451" s="4">
        <f>ROUNDUP(MOD(P[[#This Row],[Sun]]+P[[#This Row],[Moon]],360)/13.333333333,2)</f>
        <v>21.950000000000003</v>
      </c>
      <c r="T451" s="4" t="str">
        <f>SIGN(W452-Panchanga!$W451)*INT(Panchanga!$W451/30+1)&amp;"Ma,"&amp;SIGN(X452-Panchanga!$X451)*INT(Panchanga!$X451/30+1)&amp;"Me,"&amp;SIGN(Y452-Panchanga!$Y451)*INT(Panchanga!$Y451/30+1)&amp;"J, "&amp;SIGN(Z452-Panchanga!$Z451)*INT(Panchanga!$Z451/30+1)&amp;"V,"&amp;SIGN(AA452-Panchanga!$AA451)*INT(Panchanga!$AA451/30+1)&amp;"S,"&amp;INT(Panchanga!$AB451/30+1)&amp;"R"</f>
        <v>4Ma,1Me,3J, 12V,12S,12R</v>
      </c>
      <c r="U451" s="4">
        <f t="shared" ref="U451:U463" si="58">Planet($G451,0)</f>
        <v>32.149983511992048</v>
      </c>
      <c r="V451" s="4">
        <f t="shared" ref="V451:V463" si="59">Planet($G451,1)</f>
        <v>260.38920333066062</v>
      </c>
      <c r="W451" s="4">
        <f>Planet(Panchanga!$G451,4)</f>
        <v>109.08548037605939</v>
      </c>
      <c r="X451" s="4">
        <f>Planet(Panchanga!$G451,2)</f>
        <v>17.415616783469797</v>
      </c>
      <c r="Y451" s="4">
        <f>Planet(Panchanga!$G451,5)</f>
        <v>60.491868910131252</v>
      </c>
      <c r="Z451" s="4">
        <f>Planet(Panchanga!$G451,3)</f>
        <v>347.24470228995256</v>
      </c>
      <c r="AA451" s="4">
        <f>Planet(Panchanga!$G451,6)</f>
        <v>335.13437322800081</v>
      </c>
      <c r="AB451" s="4">
        <f>Planet(Panchanga!$G451,10)</f>
        <v>330.08355880177589</v>
      </c>
      <c r="AC451" s="4" t="str">
        <f>TEXT(Panchanga!$C451+($C452-Panchanga!$C451)/ABS(IF($R452&lt;1,$R452+30,$R452)-Panchanga!$R451)*(ROUNDUP(Panchanga!$R451,0)-Panchanga!$R451),"hh:mm AM/PM")</f>
        <v>05:58 AM</v>
      </c>
      <c r="AD451" s="4"/>
    </row>
    <row r="452" spans="1:30" x14ac:dyDescent="0.2">
      <c r="A452" s="3">
        <f t="shared" si="55"/>
        <v>45795</v>
      </c>
      <c r="B452" s="3">
        <f t="shared" si="56"/>
        <v>45795.229166666664</v>
      </c>
      <c r="C452" s="6">
        <f t="shared" si="57"/>
        <v>45795.238697108034</v>
      </c>
      <c r="D452" s="6">
        <f>sunset(Lat,Long,B452)+TimeZone/24-0.000277777777777778</f>
        <v>45794.769583952191</v>
      </c>
      <c r="E452" s="6">
        <f>PlanetRiseSet(Lat,Long,B452,1,1)+TimeZone/24+0.00103009259259259</f>
        <v>45794.944243965358</v>
      </c>
      <c r="F452" s="6">
        <f>PlanetRiseSet(Lat,Long,B452+1,1,2)+TimeZone/24+0.00103009259259259</f>
        <v>45796.463207213827</v>
      </c>
      <c r="G452" s="17">
        <f>Panchanga!$C452-TimeZone/24</f>
        <v>45795.00953044137</v>
      </c>
      <c r="H452" s="13" t="str">
        <f>INT(P[[#This Row],[Sun]]/30)&amp;"s"&amp;ROUNDUP(MOD(P[[#This Row],[Sun]],30),2)</f>
        <v>1s3.12</v>
      </c>
      <c r="I452" s="13" t="str">
        <f>INT(P[[#This Row],[Moon]]/30)&amp;"s"&amp;ROUNDUP(MOD(P[[#This Row],[Moon]],30),2)</f>
        <v>9s3</v>
      </c>
      <c r="J452" s="14">
        <f t="shared" si="54"/>
        <v>45795.00953044137</v>
      </c>
      <c r="K452" s="10" t="str">
        <f>naks(P[[#This Row],[Moon]])</f>
        <v>Uttara Asadha</v>
      </c>
      <c r="L452" s="15">
        <f>(C453-P[[#This Row],[SunRise]])/(MOD(360+V453-P[[#This Row],[Moon]],360))*(13.3333333333333-MOD(P[[#This Row],[Moon]],13.333333333333))+P[[#This Row],[SunRise]]</f>
        <v>45795.784087654414</v>
      </c>
      <c r="M452" s="4" t="str">
        <f>IF(Panchanga!$R452&gt;15,"K","S")&amp;ROUNDUP(MOD(Panchanga!$R452,15),0)&amp;" ("&amp;ROUND(Panchanga!$R452,2)&amp;")"</f>
        <v>K5 (19.99)</v>
      </c>
      <c r="N452" s="4">
        <f>IF(AND(Panchanga!$R452&lt;28.5,Panchanga!$R452&gt;0.49999),MOD((Panchanga!$R452-0.5)*2,7),MOD((Panchanga!$R452+30-28.5),30)*2+7)</f>
        <v>3.980400000000003</v>
      </c>
      <c r="O452" s="4" t="str">
        <f>CHOOSE(ROUNDUP(Panchanga!$N452,0),"Bhava","Baalava","Kaulava","Taitula","Garija","Vanija","Vishti","Shakuni","Chatushapda","Naaga","Kimstugna")</f>
        <v>Taitula</v>
      </c>
      <c r="P452" s="11" t="str">
        <f>CHOOSE(ROUNDUP(Panchanga!$S452,0),"viṣkambha","prīti","āyuṣmāna","saubhāgya","śobhana","atigaṇḍa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("&amp;Panchanga!$S452&amp;")"</f>
        <v>śubha (22.96)</v>
      </c>
      <c r="Q452" s="4">
        <f>IF(AND(Panchanga!$R452&lt;28.5,Panchanga!$R452&gt;0.49999),MOD((Panchanga!$R452-0.5)*2,7),MOD((Panchanga!$R452+30-28.5),30)*2+7)</f>
        <v>3.980400000000003</v>
      </c>
      <c r="R452" s="4">
        <f>ROUNDUP(MOD(360+P[[#This Row],[Moon]]-P[[#This Row],[Sun]],360)/12,4)</f>
        <v>19.990200000000002</v>
      </c>
      <c r="S452" s="4">
        <f>ROUNDUP(MOD(P[[#This Row],[Sun]]+P[[#This Row],[Moon]],360)/13.333333333,2)</f>
        <v>22.96</v>
      </c>
      <c r="T452" s="4" t="str">
        <f>SIGN(W453-Panchanga!$W452)*INT(Panchanga!$W452/30+1)&amp;"Ma,"&amp;SIGN(X453-Panchanga!$X452)*INT(Panchanga!$X452/30+1)&amp;"Me,"&amp;SIGN(Y453-Panchanga!$Y452)*INT(Panchanga!$Y452/30+1)&amp;"J, "&amp;SIGN(Z453-Panchanga!$Z452)*INT(Panchanga!$Z452/30+1)&amp;"V,"&amp;SIGN(AA453-Panchanga!$AA452)*INT(Panchanga!$AA452/30+1)&amp;"S,"&amp;INT(Panchanga!$AB452/30+1)&amp;"R"</f>
        <v>4Ma,1Me,3J, 12V,12S,12R</v>
      </c>
      <c r="U452" s="4">
        <f t="shared" si="58"/>
        <v>33.113182113526648</v>
      </c>
      <c r="V452" s="4">
        <f t="shared" si="59"/>
        <v>272.99471946048942</v>
      </c>
      <c r="W452" s="4">
        <f>Planet(Panchanga!$G452,4)</f>
        <v>109.58796950823144</v>
      </c>
      <c r="X452" s="4">
        <f>Planet(Panchanga!$G452,2)</f>
        <v>19.328119346735463</v>
      </c>
      <c r="Y452" s="4">
        <f>Planet(Panchanga!$G452,5)</f>
        <v>60.707216602605811</v>
      </c>
      <c r="Z452" s="4">
        <f>Planet(Panchanga!$G452,3)</f>
        <v>348.07483260351376</v>
      </c>
      <c r="AA452" s="4">
        <f>Planet(Panchanga!$G452,6)</f>
        <v>335.21887772870338</v>
      </c>
      <c r="AB452" s="4">
        <f>Planet(Panchanga!$G452,10)</f>
        <v>330.03057462416376</v>
      </c>
      <c r="AC452" s="4" t="str">
        <f>TEXT(Panchanga!$C452+($C453-Panchanga!$C452)/ABS(IF($R453&lt;1,$R453+30,$R453)-Panchanga!$R452)*(ROUNDUP(Panchanga!$R452,0)-Panchanga!$R452),"hh:mm AM/PM")</f>
        <v>05:57 AM</v>
      </c>
      <c r="AD452" s="4"/>
    </row>
    <row r="453" spans="1:30" x14ac:dyDescent="0.2">
      <c r="A453" s="3">
        <f t="shared" si="55"/>
        <v>45796</v>
      </c>
      <c r="B453" s="3">
        <f t="shared" si="56"/>
        <v>45796.229166666664</v>
      </c>
      <c r="C453" s="6">
        <f t="shared" si="57"/>
        <v>45796.238560067643</v>
      </c>
      <c r="D453" s="6">
        <f>sunset(Lat,Long,B453)+TimeZone/24-0.000277777777777778</f>
        <v>45795.769779964859</v>
      </c>
      <c r="E453" s="6">
        <f>PlanetRiseSet(Lat,Long,B453,1,1)+TimeZone/24+0.00103009259259259</f>
        <v>45795.977260083579</v>
      </c>
      <c r="F453" s="6">
        <f>PlanetRiseSet(Lat,Long,B453+1,1,2)+TimeZone/24+0.00103009259259259</f>
        <v>45796.463207266446</v>
      </c>
      <c r="G453" s="17">
        <f>Panchanga!$C453-TimeZone/24</f>
        <v>45796.009393400978</v>
      </c>
      <c r="H453" s="13" t="str">
        <f>INT(P[[#This Row],[Sun]]/30)&amp;"s"&amp;ROUNDUP(MOD(P[[#This Row],[Sun]],30),2)</f>
        <v>1s4.08</v>
      </c>
      <c r="I453" s="13" t="str">
        <f>INT(P[[#This Row],[Moon]]/30)&amp;"s"&amp;ROUNDUP(MOD(P[[#This Row],[Moon]],30),2)</f>
        <v>9s15.84</v>
      </c>
      <c r="J453" s="14">
        <f t="shared" si="54"/>
        <v>45796.009393400978</v>
      </c>
      <c r="K453" s="10" t="str">
        <f>naks(P[[#This Row],[Moon]])</f>
        <v>Sravana</v>
      </c>
      <c r="L453" s="15">
        <f>(C454-P[[#This Row],[SunRise]])/(MOD(360+V454-P[[#This Row],[Moon]],360))*(13.3333333333333-MOD(P[[#This Row],[Moon]],13.333333333333))+P[[#This Row],[SunRise]]</f>
        <v>45796.809584544739</v>
      </c>
      <c r="M453" s="4" t="str">
        <f>IF(Panchanga!$R453&gt;15,"K","S")&amp;ROUNDUP(MOD(Panchanga!$R453,15),0)&amp;" ("&amp;ROUND(Panchanga!$R453,2)&amp;")"</f>
        <v>K6 (20.98)</v>
      </c>
      <c r="N453" s="4">
        <f>IF(AND(Panchanga!$R453&lt;28.5,Panchanga!$R453&gt;0.49999),MOD((Panchanga!$R453-0.5)*2,7),MOD((Panchanga!$R453+30-28.5),30)*2+7)</f>
        <v>5.9603999999999999</v>
      </c>
      <c r="O453" s="4" t="str">
        <f>CHOOSE(ROUNDUP(Panchanga!$N453,0),"Bhava","Baalava","Kaulava","Taitula","Garija","Vanija","Vishti","Shakuni","Chatushapda","Naaga","Kimstugna")</f>
        <v>Vanija</v>
      </c>
      <c r="P453" s="11" t="str">
        <f>CHOOSE(ROUNDUP(Panchanga!$S453,0),"viṣkambha","prīti","āyuṣmāna","saubhāgya","śobhana","atigaṇḍa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("&amp;Panchanga!$S453&amp;")"</f>
        <v>śukla (24)</v>
      </c>
      <c r="Q453" s="4">
        <f>IF(AND(Panchanga!$R453&lt;28.5,Panchanga!$R453&gt;0.49999),MOD((Panchanga!$R453-0.5)*2,7),MOD((Panchanga!$R453+30-28.5),30)*2+7)</f>
        <v>5.9603999999999999</v>
      </c>
      <c r="R453" s="4">
        <f>ROUNDUP(MOD(360+P[[#This Row],[Moon]]-P[[#This Row],[Sun]],360)/12,4)</f>
        <v>20.9802</v>
      </c>
      <c r="S453" s="4">
        <f>ROUNDUP(MOD(P[[#This Row],[Sun]]+P[[#This Row],[Moon]],360)/13.333333333,2)</f>
        <v>24</v>
      </c>
      <c r="T453" s="4" t="str">
        <f>SIGN(W454-Panchanga!$W453)*INT(Panchanga!$W453/30+1)&amp;"Ma,"&amp;SIGN(X454-Panchanga!$X453)*INT(Panchanga!$X453/30+1)&amp;"Me,"&amp;SIGN(Y454-Panchanga!$Y453)*INT(Panchanga!$Y453/30+1)&amp;"J, "&amp;SIGN(Z454-Panchanga!$Z453)*INT(Panchanga!$Z453/30+1)&amp;"V,"&amp;SIGN(AA454-Panchanga!$AA453)*INT(Panchanga!$AA453/30+1)&amp;"S,"&amp;INT(Panchanga!$AB453/30+1)&amp;"R"</f>
        <v>4Ma,1Me,3J, 12V,12S,11R</v>
      </c>
      <c r="U453" s="4">
        <f t="shared" si="58"/>
        <v>34.076065590998631</v>
      </c>
      <c r="V453" s="4">
        <f t="shared" si="59"/>
        <v>285.8374806333731</v>
      </c>
      <c r="W453" s="4">
        <f>Planet(Panchanga!$G453,4)</f>
        <v>110.09273868347169</v>
      </c>
      <c r="X453" s="4">
        <f>Planet(Panchanga!$G453,2)</f>
        <v>21.273102501278579</v>
      </c>
      <c r="Y453" s="4">
        <f>Planet(Panchanga!$G453,5)</f>
        <v>60.923289415419859</v>
      </c>
      <c r="Z453" s="4">
        <f>Planet(Panchanga!$G453,3)</f>
        <v>348.91646629836856</v>
      </c>
      <c r="AA453" s="4">
        <f>Planet(Panchanga!$G453,6)</f>
        <v>335.30223586532912</v>
      </c>
      <c r="AB453" s="4">
        <f>Planet(Panchanga!$G453,10)</f>
        <v>329.97758989981713</v>
      </c>
      <c r="AC453" s="4" t="str">
        <f>TEXT(Panchanga!$C453+($C454-Panchanga!$C453)/ABS(IF($R454&lt;1,$R454+30,$R454)-Panchanga!$R453)*(ROUNDUP(Panchanga!$R453,0)-Panchanga!$R453),"hh:mm AM/PM")</f>
        <v>06:11 AM</v>
      </c>
      <c r="AD453" s="4"/>
    </row>
    <row r="454" spans="1:30" x14ac:dyDescent="0.2">
      <c r="A454" s="3">
        <f t="shared" si="55"/>
        <v>45797</v>
      </c>
      <c r="B454" s="3">
        <f t="shared" si="56"/>
        <v>45797.229166666664</v>
      </c>
      <c r="C454" s="6">
        <f t="shared" si="57"/>
        <v>45797.238433391009</v>
      </c>
      <c r="D454" s="6">
        <f>sunset(Lat,Long,B454)+TimeZone/24-0.000277777777777778</f>
        <v>45796.769978757526</v>
      </c>
      <c r="E454" s="6">
        <f>PlanetRiseSet(Lat,Long,B454,1,1)+TimeZone/24+0.00103009259259259</f>
        <v>45797.008102197353</v>
      </c>
      <c r="F454" s="6">
        <f>PlanetRiseSet(Lat,Long,B454+1,1,2)+TimeZone/24+0.00103009259259259</f>
        <v>45797.501152964462</v>
      </c>
      <c r="G454" s="17">
        <f>Panchanga!$C454-TimeZone/24</f>
        <v>45797.009266724344</v>
      </c>
      <c r="H454" s="13" t="str">
        <f>INT(P[[#This Row],[Sun]]/30)&amp;"s"&amp;ROUNDUP(MOD(P[[#This Row],[Sun]],30),2)</f>
        <v>1s5.04</v>
      </c>
      <c r="I454" s="13" t="str">
        <f>INT(P[[#This Row],[Moon]]/30)&amp;"s"&amp;ROUNDUP(MOD(P[[#This Row],[Moon]],30),2)</f>
        <v>9s28.97</v>
      </c>
      <c r="J454" s="14">
        <f t="shared" si="54"/>
        <v>45797.009266724344</v>
      </c>
      <c r="K454" s="10" t="str">
        <f>naks(P[[#This Row],[Moon]])</f>
        <v>Dhanistha</v>
      </c>
      <c r="L454" s="15">
        <f>(C455-P[[#This Row],[SunRise]])/(MOD(360+V455-P[[#This Row],[Moon]],360))*(13.3333333333333-MOD(P[[#This Row],[Moon]],13.333333333333))+P[[#This Row],[SunRise]]</f>
        <v>45797.810988539277</v>
      </c>
      <c r="M454" s="4" t="str">
        <f>IF(Panchanga!$R454&gt;15,"K","S")&amp;ROUNDUP(MOD(Panchanga!$R454,15),0)&amp;" ("&amp;ROUND(Panchanga!$R454,2)&amp;")"</f>
        <v>K7 (21.99)</v>
      </c>
      <c r="N454" s="4">
        <f>IF(AND(Panchanga!$R454&lt;28.5,Panchanga!$R454&gt;0.49999),MOD((Panchanga!$R454-0.5)*2,7),MOD((Panchanga!$R454+30-28.5),30)*2+7)</f>
        <v>0.98740000000000094</v>
      </c>
      <c r="O454" s="4" t="str">
        <f>CHOOSE(ROUNDUP(Panchanga!$N454,0),"Bhava","Baalava","Kaulava","Taitula","Garija","Vanija","Vishti","Shakuni","Chatushapda","Naaga","Kimstugna")</f>
        <v>Bhava</v>
      </c>
      <c r="P454" s="11" t="str">
        <f>CHOOSE(ROUNDUP(Panchanga!$S454,0),"viṣkambha","prīti","āyuṣmāna","saubhāgya","śobhana","atigaṇḍa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("&amp;Panchanga!$S454&amp;")"</f>
        <v>mahendra (25.06)</v>
      </c>
      <c r="Q454" s="4">
        <f>IF(AND(Panchanga!$R454&lt;28.5,Panchanga!$R454&gt;0.49999),MOD((Panchanga!$R454-0.5)*2,7),MOD((Panchanga!$R454+30-28.5),30)*2+7)</f>
        <v>0.98740000000000094</v>
      </c>
      <c r="R454" s="4">
        <f>ROUNDUP(MOD(360+P[[#This Row],[Moon]]-P[[#This Row],[Sun]],360)/12,4)</f>
        <v>21.9937</v>
      </c>
      <c r="S454" s="4">
        <f>ROUNDUP(MOD(P[[#This Row],[Sun]]+P[[#This Row],[Moon]],360)/13.333333333,2)</f>
        <v>25.060000000000002</v>
      </c>
      <c r="T454" s="4" t="str">
        <f>SIGN(W455-Panchanga!$W454)*INT(Panchanga!$W454/30+1)&amp;"Ma,"&amp;SIGN(X455-Panchanga!$X454)*INT(Panchanga!$X454/30+1)&amp;"Me,"&amp;SIGN(Y455-Panchanga!$Y454)*INT(Panchanga!$Y454/30+1)&amp;"J, "&amp;SIGN(Z455-Panchanga!$Z454)*INT(Panchanga!$Z454/30+1)&amp;"V,"&amp;SIGN(AA455-Panchanga!$AA454)*INT(Panchanga!$AA454/30+1)&amp;"S,"&amp;INT(Panchanga!$AB454/30+1)&amp;"R"</f>
        <v>4Ma,1Me,3J, 12V,12S,11R</v>
      </c>
      <c r="U454" s="4">
        <f t="shared" si="58"/>
        <v>35.038649064049743</v>
      </c>
      <c r="V454" s="4">
        <f t="shared" si="59"/>
        <v>298.96284294474782</v>
      </c>
      <c r="W454" s="4">
        <f>Planet(Panchanga!$G454,4)</f>
        <v>110.59976053404182</v>
      </c>
      <c r="X454" s="4">
        <f>Planet(Panchanga!$G454,2)</f>
        <v>23.250033692583489</v>
      </c>
      <c r="Y454" s="4">
        <f>Planet(Panchanga!$G454,5)</f>
        <v>61.140068327713848</v>
      </c>
      <c r="Z454" s="4">
        <f>Planet(Panchanga!$G454,3)</f>
        <v>349.76916509357989</v>
      </c>
      <c r="AA454" s="4">
        <f>Planet(Panchanga!$G454,6)</f>
        <v>335.3844313571413</v>
      </c>
      <c r="AB454" s="4">
        <f>Planet(Panchanga!$G454,10)</f>
        <v>329.92460462633358</v>
      </c>
      <c r="AC454" s="4" t="str">
        <f>TEXT(Panchanga!$C454+($C455-Panchanga!$C454)/ABS(IF($R455&lt;1,$R455+30,$R455)-Panchanga!$R454)*(ROUNDUP(Panchanga!$R454,0)-Panchanga!$R454),"hh:mm AM/PM")</f>
        <v>05:52 AM</v>
      </c>
      <c r="AD454" s="4"/>
    </row>
    <row r="455" spans="1:30" x14ac:dyDescent="0.2">
      <c r="A455" s="3">
        <f t="shared" si="55"/>
        <v>45798</v>
      </c>
      <c r="B455" s="3">
        <f t="shared" si="56"/>
        <v>45798.229166666664</v>
      </c>
      <c r="C455" s="6">
        <f t="shared" si="57"/>
        <v>45798.238317110263</v>
      </c>
      <c r="D455" s="6">
        <f>sunset(Lat,Long,B455)+TimeZone/24-0.000277777777777778</f>
        <v>45797.770180189094</v>
      </c>
      <c r="E455" s="6">
        <f>PlanetRiseSet(Lat,Long,B455,1,1)+TimeZone/24+0.00103009259259259</f>
        <v>45798.037250886824</v>
      </c>
      <c r="F455" s="6">
        <f>PlanetRiseSet(Lat,Long,B455+1,1,2)+TimeZone/24+0.00103009259259259</f>
        <v>45798.53859288121</v>
      </c>
      <c r="G455" s="17">
        <f>Panchanga!$C455-TimeZone/24</f>
        <v>45798.009150443599</v>
      </c>
      <c r="H455" s="13" t="str">
        <f>INT(P[[#This Row],[Sun]]/30)&amp;"s"&amp;ROUNDUP(MOD(P[[#This Row],[Sun]],30),2)</f>
        <v>1s6.01</v>
      </c>
      <c r="I455" s="13" t="str">
        <f>INT(P[[#This Row],[Moon]]/30)&amp;"s"&amp;ROUNDUP(MOD(P[[#This Row],[Moon]],30),2)</f>
        <v>10s12.42</v>
      </c>
      <c r="J455" s="14">
        <f t="shared" si="54"/>
        <v>45798.009150443599</v>
      </c>
      <c r="K455" s="10" t="str">
        <f>naks(P[[#This Row],[Moon]])</f>
        <v>Satabhisaj</v>
      </c>
      <c r="L455" s="15">
        <f>(C456-P[[#This Row],[SunRise]])/(MOD(360+V456-P[[#This Row],[Moon]],360))*(13.3333333333333-MOD(P[[#This Row],[Moon]],13.333333333333))+P[[#This Row],[SunRise]]</f>
        <v>45798.787021285752</v>
      </c>
      <c r="M455" s="4" t="str">
        <f>IF(Panchanga!$R455&gt;15,"K","S")&amp;ROUNDUP(MOD(Panchanga!$R455,15),0)&amp;" ("&amp;ROUND(Panchanga!$R455,2)&amp;")"</f>
        <v>K9 (23.03)</v>
      </c>
      <c r="N455" s="4">
        <f>IF(AND(Panchanga!$R455&lt;28.5,Panchanga!$R455&gt;0.49999),MOD((Panchanga!$R455-0.5)*2,7),MOD((Panchanga!$R455+30-28.5),30)*2+7)</f>
        <v>3.0694000000000017</v>
      </c>
      <c r="O455" s="4" t="str">
        <f>CHOOSE(ROUNDUP(Panchanga!$N455,0),"Bhava","Baalava","Kaulava","Taitula","Garija","Vanija","Vishti","Shakuni","Chatushapda","Naaga","Kimstugna")</f>
        <v>Taitula</v>
      </c>
      <c r="P455" s="11" t="str">
        <f>CHOOSE(ROUNDUP(Panchanga!$S455,0),"viṣkambha","prīti","āyuṣmāna","saubhāgya","śobhana","atigaṇḍa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("&amp;Panchanga!$S455&amp;")"</f>
        <v>vaidhṛti (26.14)</v>
      </c>
      <c r="Q455" s="4">
        <f>IF(AND(Panchanga!$R455&lt;28.5,Panchanga!$R455&gt;0.49999),MOD((Panchanga!$R455-0.5)*2,7),MOD((Panchanga!$R455+30-28.5),30)*2+7)</f>
        <v>3.0694000000000017</v>
      </c>
      <c r="R455" s="4">
        <f>ROUNDUP(MOD(360+P[[#This Row],[Moon]]-P[[#This Row],[Sun]],360)/12,4)</f>
        <v>23.034700000000001</v>
      </c>
      <c r="S455" s="4">
        <f>ROUNDUP(MOD(P[[#This Row],[Sun]]+P[[#This Row],[Moon]],360)/13.333333333,2)</f>
        <v>26.14</v>
      </c>
      <c r="T455" s="4" t="str">
        <f>SIGN(W456-Panchanga!$W455)*INT(Panchanga!$W455/30+1)&amp;"Ma,"&amp;SIGN(X456-Panchanga!$X455)*INT(Panchanga!$X455/30+1)&amp;"Me,"&amp;SIGN(Y456-Panchanga!$Y455)*INT(Panchanga!$Y455/30+1)&amp;"J, "&amp;SIGN(Z456-Panchanga!$Z455)*INT(Panchanga!$Z455/30+1)&amp;"V,"&amp;SIGN(AA456-Panchanga!$AA455)*INT(Panchanga!$AA455/30+1)&amp;"S,"&amp;INT(Panchanga!$AB455/30+1)&amp;"R"</f>
        <v>4Ma,1Me,3J, 12V,12S,11R</v>
      </c>
      <c r="U455" s="4">
        <f t="shared" si="58"/>
        <v>36.00094523106322</v>
      </c>
      <c r="V455" s="4">
        <f t="shared" si="59"/>
        <v>312.4164428972</v>
      </c>
      <c r="W455" s="4">
        <f>Planet(Panchanga!$G455,4)</f>
        <v>111.10900963617678</v>
      </c>
      <c r="X455" s="4">
        <f>Planet(Panchanga!$G455,2)</f>
        <v>25.258149956483702</v>
      </c>
      <c r="Y455" s="4">
        <f>Planet(Panchanga!$G455,5)</f>
        <v>61.357534169739253</v>
      </c>
      <c r="Z455" s="4">
        <f>Planet(Panchanga!$G455,3)</f>
        <v>350.63250400212439</v>
      </c>
      <c r="AA455" s="4">
        <f>Planet(Panchanga!$G455,6)</f>
        <v>335.46544759214555</v>
      </c>
      <c r="AB455" s="4">
        <f>Planet(Panchanga!$G455,10)</f>
        <v>329.87161880192366</v>
      </c>
      <c r="AC455" s="4" t="str">
        <f>TEXT(Panchanga!$C455+($C456-Panchanga!$C455)/ABS(IF($R456&lt;1,$R456+30,$R456)-Panchanga!$R455)*(ROUNDUP(Panchanga!$R455,0)-Panchanga!$R455),"hh:mm AM/PM")</f>
        <v>03:20 AM</v>
      </c>
      <c r="AD455" s="4"/>
    </row>
    <row r="456" spans="1:30" x14ac:dyDescent="0.2">
      <c r="A456" s="3">
        <f t="shared" si="55"/>
        <v>45799</v>
      </c>
      <c r="B456" s="3">
        <f t="shared" si="56"/>
        <v>45799.229166666664</v>
      </c>
      <c r="C456" s="6">
        <f t="shared" si="57"/>
        <v>45799.238211240772</v>
      </c>
      <c r="D456" s="6">
        <f>sunset(Lat,Long,B456)+TimeZone/24-0.000277777777777778</f>
        <v>45798.770384102172</v>
      </c>
      <c r="E456" s="6">
        <f>PlanetRiseSet(Lat,Long,B456,1,1)+TimeZone/24+0.00103009259259259</f>
        <v>45799.065488265049</v>
      </c>
      <c r="F456" s="6">
        <f>PlanetRiseSet(Lat,Long,B456+1,1,2)+TimeZone/24+0.00103009259259259</f>
        <v>45799.57611331033</v>
      </c>
      <c r="G456" s="17">
        <f>Panchanga!$C456-TimeZone/24</f>
        <v>45799.009044574108</v>
      </c>
      <c r="H456" s="13" t="str">
        <f>INT(P[[#This Row],[Sun]]/30)&amp;"s"&amp;ROUNDUP(MOD(P[[#This Row],[Sun]],30),2)</f>
        <v>1s6.97</v>
      </c>
      <c r="I456" s="13" t="str">
        <f>INT(P[[#This Row],[Moon]]/30)&amp;"s"&amp;ROUNDUP(MOD(P[[#This Row],[Moon]],30),2)</f>
        <v>10s26.24</v>
      </c>
      <c r="J456" s="14">
        <f t="shared" si="54"/>
        <v>45799.009044574108</v>
      </c>
      <c r="K456" s="10" t="str">
        <f>naks(P[[#This Row],[Moon]])</f>
        <v>Purva Bhadrapada</v>
      </c>
      <c r="L456" s="15">
        <f>(C457-P[[#This Row],[SunRise]])/(MOD(360+V457-P[[#This Row],[Moon]],360))*(13.3333333333333-MOD(P[[#This Row],[Moon]],13.333333333333))+P[[#This Row],[SunRise]]</f>
        <v>45799.737877929103</v>
      </c>
      <c r="M456" s="4" t="str">
        <f>IF(Panchanga!$R456&gt;15,"K","S")&amp;ROUNDUP(MOD(Panchanga!$R456,15),0)&amp;" ("&amp;ROUND(Panchanga!$R456,2)&amp;")"</f>
        <v>K10 (24.11)</v>
      </c>
      <c r="N456" s="4">
        <f>IF(AND(Panchanga!$R456&lt;28.5,Panchanga!$R456&gt;0.49999),MOD((Panchanga!$R456-0.5)*2,7),MOD((Panchanga!$R456+30-28.5),30)*2+7)</f>
        <v>5.2122000000000028</v>
      </c>
      <c r="O456" s="4" t="str">
        <f>CHOOSE(ROUNDUP(Panchanga!$N456,0),"Bhava","Baalava","Kaulava","Taitula","Garija","Vanija","Vishti","Shakuni","Chatushapda","Naaga","Kimstugna")</f>
        <v>Vanija</v>
      </c>
      <c r="P456" s="11" t="str">
        <f>CHOOSE(ROUNDUP(Panchanga!$S456,0),"viṣkambha","prīti","āyuṣmāna","saubhāgya","śobhana","atigaṇḍa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("&amp;Panchanga!$S456&amp;")"</f>
        <v>viṣkambha (0.24)</v>
      </c>
      <c r="Q456" s="4">
        <f>IF(AND(Panchanga!$R456&lt;28.5,Panchanga!$R456&gt;0.49999),MOD((Panchanga!$R456-0.5)*2,7),MOD((Panchanga!$R456+30-28.5),30)*2+7)</f>
        <v>5.2122000000000028</v>
      </c>
      <c r="R456" s="4">
        <f>ROUNDUP(MOD(360+P[[#This Row],[Moon]]-P[[#This Row],[Sun]],360)/12,4)</f>
        <v>24.106100000000001</v>
      </c>
      <c r="S456" s="4">
        <f>ROUNDUP(MOD(P[[#This Row],[Sun]]+P[[#This Row],[Moon]],360)/13.333333333,2)</f>
        <v>0.24000000000000002</v>
      </c>
      <c r="T456" s="4" t="str">
        <f>SIGN(W457-Panchanga!$W456)*INT(Panchanga!$W456/30+1)&amp;"Ma,"&amp;SIGN(X457-Panchanga!$X456)*INT(Panchanga!$X456/30+1)&amp;"Me,"&amp;SIGN(Y457-Panchanga!$Y456)*INT(Panchanga!$Y456/30+1)&amp;"J, "&amp;SIGN(Z457-Panchanga!$Z456)*INT(Panchanga!$Z456/30+1)&amp;"V,"&amp;SIGN(AA457-Panchanga!$AA456)*INT(Panchanga!$AA456/30+1)&amp;"S,"&amp;INT(Panchanga!$AB456/30+1)&amp;"R"</f>
        <v>4Ma,1Me,3J, 12V,12S,11R</v>
      </c>
      <c r="U456" s="4">
        <f t="shared" si="58"/>
        <v>36.96296354649801</v>
      </c>
      <c r="V456" s="4">
        <f t="shared" si="59"/>
        <v>326.23582786677667</v>
      </c>
      <c r="W456" s="4">
        <f>Planet(Panchanga!$G456,4)</f>
        <v>111.62046210008012</v>
      </c>
      <c r="X456" s="4">
        <f>Planet(Panchanga!$G456,2)</f>
        <v>27.296411733530515</v>
      </c>
      <c r="Y456" s="4">
        <f>Planet(Panchanga!$G456,5)</f>
        <v>61.575667442723976</v>
      </c>
      <c r="Z456" s="4">
        <f>Planet(Panchanga!$G456,3)</f>
        <v>351.50607024707892</v>
      </c>
      <c r="AA456" s="4">
        <f>Planet(Panchanga!$G456,6)</f>
        <v>335.54526761686668</v>
      </c>
      <c r="AB456" s="4">
        <f>Planet(Panchanga!$G456,10)</f>
        <v>329.81863242577538</v>
      </c>
      <c r="AC456" s="4" t="str">
        <f>TEXT(Panchanga!$C456+($C457-Panchanga!$C456)/ABS(IF($R457&lt;1,$R457+30,$R457)-Panchanga!$R456)*(ROUNDUP(Panchanga!$R456,0)-Panchanga!$R456),"hh:mm AM/PM")</f>
        <v>01:09 AM</v>
      </c>
      <c r="AD456" s="4"/>
    </row>
    <row r="457" spans="1:30" x14ac:dyDescent="0.2">
      <c r="A457" s="3">
        <f t="shared" si="55"/>
        <v>45800</v>
      </c>
      <c r="B457" s="3">
        <f t="shared" si="56"/>
        <v>45800.229166666664</v>
      </c>
      <c r="C457" s="6">
        <f t="shared" si="57"/>
        <v>45800.238115776483</v>
      </c>
      <c r="D457" s="6">
        <f>sunset(Lat,Long,B457)+TimeZone/24-0.000277777777777778</f>
        <v>45799.770590319808</v>
      </c>
      <c r="E457" s="6">
        <f>PlanetRiseSet(Lat,Long,B457,1,1)+TimeZone/24+0.00103009259259259</f>
        <v>45800.09378335873</v>
      </c>
      <c r="F457" s="6">
        <f>PlanetRiseSet(Lat,Long,B457+1,1,2)+TimeZone/24+0.00103009259259259</f>
        <v>45800.614557745088</v>
      </c>
      <c r="G457" s="17">
        <f>Panchanga!$C457-TimeZone/24</f>
        <v>45800.008949109819</v>
      </c>
      <c r="H457" s="13" t="str">
        <f>INT(P[[#This Row],[Sun]]/30)&amp;"s"&amp;ROUNDUP(MOD(P[[#This Row],[Sun]],30),2)</f>
        <v>1s7.93</v>
      </c>
      <c r="I457" s="13" t="str">
        <f>INT(P[[#This Row],[Moon]]/30)&amp;"s"&amp;ROUNDUP(MOD(P[[#This Row],[Moon]],30),2)</f>
        <v>11s10.44</v>
      </c>
      <c r="J457" s="14">
        <f t="shared" si="54"/>
        <v>45800.008949109819</v>
      </c>
      <c r="K457" s="10" t="str">
        <f>naks(P[[#This Row],[Moon]])</f>
        <v>Uttara Bhadrapada</v>
      </c>
      <c r="L457" s="15">
        <f>(C458-P[[#This Row],[SunRise]])/(MOD(360+V458-P[[#This Row],[Moon]],360))*(13.3333333333333-MOD(P[[#This Row],[Moon]],13.333333333333))+P[[#This Row],[SunRise]]</f>
        <v>45800.665459434589</v>
      </c>
      <c r="M457" s="4" t="str">
        <f>IF(Panchanga!$R457&gt;15,"K","S")&amp;ROUNDUP(MOD(Panchanga!$R457,15),0)&amp;" ("&amp;ROUND(Panchanga!$R457,2)&amp;")"</f>
        <v>K11 (25.21)</v>
      </c>
      <c r="N457" s="4">
        <f>IF(AND(Panchanga!$R457&lt;28.5,Panchanga!$R457&gt;0.49999),MOD((Panchanga!$R457-0.5)*2,7),MOD((Panchanga!$R457+30-28.5),30)*2+7)</f>
        <v>0.41919999999999646</v>
      </c>
      <c r="O457" s="4" t="str">
        <f>CHOOSE(ROUNDUP(Panchanga!$N457,0),"Bhava","Baalava","Kaulava","Taitula","Garija","Vanija","Vishti","Shakuni","Chatushapda","Naaga","Kimstugna")</f>
        <v>Bhava</v>
      </c>
      <c r="P457" s="11" t="str">
        <f>CHOOSE(ROUNDUP(Panchanga!$S457,0),"viṣkambha","prīti","āyuṣmāna","saubhāgya","śobhana","atigaṇḍa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("&amp;Panchanga!$S457&amp;")"</f>
        <v>prīti (1.38)</v>
      </c>
      <c r="Q457" s="4">
        <f>IF(AND(Panchanga!$R457&lt;28.5,Panchanga!$R457&gt;0.49999),MOD((Panchanga!$R457-0.5)*2,7),MOD((Panchanga!$R457+30-28.5),30)*2+7)</f>
        <v>0.41919999999999646</v>
      </c>
      <c r="R457" s="4">
        <f>ROUNDUP(MOD(360+P[[#This Row],[Moon]]-P[[#This Row],[Sun]],360)/12,4)</f>
        <v>25.209599999999998</v>
      </c>
      <c r="S457" s="4">
        <f>ROUNDUP(MOD(P[[#This Row],[Sun]]+P[[#This Row],[Moon]],360)/13.333333333,2)</f>
        <v>1.3800000000000001</v>
      </c>
      <c r="T457" s="4" t="str">
        <f>SIGN(W458-Panchanga!$W457)*INT(Panchanga!$W457/30+1)&amp;"Ma,"&amp;SIGN(X458-Panchanga!$X457)*INT(Panchanga!$X457/30+1)&amp;"Me,"&amp;SIGN(Y458-Panchanga!$Y457)*INT(Panchanga!$Y457/30+1)&amp;"J, "&amp;SIGN(Z458-Panchanga!$Z457)*INT(Panchanga!$Z457/30+1)&amp;"V,"&amp;SIGN(AA458-Panchanga!$AA457)*INT(Panchanga!$AA457/30+1)&amp;"S,"&amp;INT(Panchanga!$AB457/30+1)&amp;"R"</f>
        <v>4Ma,1Me,3J, 12V,12S,11R</v>
      </c>
      <c r="U457" s="4">
        <f t="shared" si="58"/>
        <v>37.924709251550013</v>
      </c>
      <c r="V457" s="4">
        <f t="shared" si="59"/>
        <v>340.43895181716107</v>
      </c>
      <c r="W457" s="4">
        <f>Planet(Panchanga!$G457,4)</f>
        <v>112.13409486566997</v>
      </c>
      <c r="X457" s="4">
        <f>Planet(Panchanga!$G457,2)</f>
        <v>29.363457038486466</v>
      </c>
      <c r="Y457" s="4">
        <f>Planet(Panchanga!$G457,5)</f>
        <v>61.794448086365335</v>
      </c>
      <c r="Z457" s="4">
        <f>Planet(Panchanga!$G457,3)</f>
        <v>352.38946256481194</v>
      </c>
      <c r="AA457" s="4">
        <f>Planet(Panchanga!$G457,6)</f>
        <v>335.62387416476059</v>
      </c>
      <c r="AB457" s="4">
        <f>Planet(Panchanga!$G457,10)</f>
        <v>329.76564549831977</v>
      </c>
      <c r="AC457" s="4" t="str">
        <f>TEXT(Panchanga!$C457+($C458-Panchanga!$C457)/ABS(IF($R458&lt;1,$R458+30,$R458)-Panchanga!$R457)*(ROUNDUP(Panchanga!$R457,0)-Panchanga!$R457),"hh:mm AM/PM")</f>
        <v>10:26 PM</v>
      </c>
      <c r="AD457" s="4"/>
    </row>
    <row r="458" spans="1:30" x14ac:dyDescent="0.2">
      <c r="A458" s="3">
        <f t="shared" si="55"/>
        <v>45801</v>
      </c>
      <c r="B458" s="3">
        <f t="shared" si="56"/>
        <v>45801.229166666664</v>
      </c>
      <c r="C458" s="6">
        <f t="shared" si="57"/>
        <v>45801.238030685265</v>
      </c>
      <c r="D458" s="6">
        <f>sunset(Lat,Long,B458)+TimeZone/24-0.000277777777777778</f>
        <v>45800.770798643163</v>
      </c>
      <c r="E458" s="6">
        <f>PlanetRiseSet(Lat,Long,B458,1,1)+TimeZone/24+0.00103009259259259</f>
        <v>45801.123233898696</v>
      </c>
      <c r="F458" s="6">
        <f>PlanetRiseSet(Lat,Long,B458+1,1,2)+TimeZone/24+0.00103009259259259</f>
        <v>45801.654851963896</v>
      </c>
      <c r="G458" s="17">
        <f>Panchanga!$C458-TimeZone/24</f>
        <v>45801.0088640186</v>
      </c>
      <c r="H458" s="13" t="str">
        <f>INT(P[[#This Row],[Sun]]/30)&amp;"s"&amp;ROUNDUP(MOD(P[[#This Row],[Sun]],30),2)</f>
        <v>1s8.89</v>
      </c>
      <c r="I458" s="13" t="str">
        <f>INT(P[[#This Row],[Moon]]/30)&amp;"s"&amp;ROUNDUP(MOD(P[[#This Row],[Moon]],30),2)</f>
        <v>11s25.02</v>
      </c>
      <c r="J458" s="14">
        <f t="shared" ref="J458:J463" si="60">G458</f>
        <v>45801.0088640186</v>
      </c>
      <c r="K458" s="10" t="str">
        <f>naks(P[[#This Row],[Moon]])</f>
        <v>Revati</v>
      </c>
      <c r="L458" s="15">
        <f>(C459-P[[#This Row],[SunRise]])/(MOD(360+V459-P[[#This Row],[Moon]],360))*(13.3333333333333-MOD(P[[#This Row],[Moon]],13.333333333333))+P[[#This Row],[SunRise]]</f>
        <v>45801.573284969447</v>
      </c>
      <c r="M458" s="4" t="str">
        <f>IF(Panchanga!$R458&gt;15,"K","S")&amp;ROUNDUP(MOD(Panchanga!$R458,15),0)&amp;" ("&amp;ROUND(Panchanga!$R458,2)&amp;")"</f>
        <v>K12 (26.34)</v>
      </c>
      <c r="N458" s="4">
        <f>IF(AND(Panchanga!$R458&lt;28.5,Panchanga!$R458&gt;0.49999),MOD((Panchanga!$R458-0.5)*2,7),MOD((Panchanga!$R458+30-28.5),30)*2+7)</f>
        <v>2.6875999999999962</v>
      </c>
      <c r="O458" s="4" t="str">
        <f>CHOOSE(ROUNDUP(Panchanga!$N458,0),"Bhava","Baalava","Kaulava","Taitula","Garija","Vanija","Vishti","Shakuni","Chatushapda","Naaga","Kimstugna")</f>
        <v>Kaulava</v>
      </c>
      <c r="P458" s="11" t="str">
        <f>CHOOSE(ROUNDUP(Panchanga!$S458,0),"viṣkambha","prīti","āyuṣmāna","saubhāgya","śobhana","atigaṇḍa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("&amp;Panchanga!$S458&amp;")"</f>
        <v>āyuṣmāna (2.55)</v>
      </c>
      <c r="Q458" s="4">
        <f>IF(AND(Panchanga!$R458&lt;28.5,Panchanga!$R458&gt;0.49999),MOD((Panchanga!$R458-0.5)*2,7),MOD((Panchanga!$R458+30-28.5),30)*2+7)</f>
        <v>2.6875999999999962</v>
      </c>
      <c r="R458" s="4">
        <f>ROUNDUP(MOD(360+P[[#This Row],[Moon]]-P[[#This Row],[Sun]],360)/12,4)</f>
        <v>26.343799999999998</v>
      </c>
      <c r="S458" s="4">
        <f>ROUNDUP(MOD(P[[#This Row],[Sun]]+P[[#This Row],[Moon]],360)/13.333333333,2)</f>
        <v>2.5499999999999998</v>
      </c>
      <c r="T458" s="4" t="str">
        <f>SIGN(W459-Panchanga!$W458)*INT(Panchanga!$W458/30+1)&amp;"Ma,"&amp;SIGN(X459-Panchanga!$X458)*INT(Panchanga!$X458/30+1)&amp;"Me,"&amp;SIGN(Y459-Panchanga!$Y458)*INT(Panchanga!$Y458/30+1)&amp;"J, "&amp;SIGN(Z459-Panchanga!$Z458)*INT(Panchanga!$Z458/30+1)&amp;"V,"&amp;SIGN(AA459-Panchanga!$AA458)*INT(Panchanga!$AA458/30+1)&amp;"S,"&amp;INT(Panchanga!$AB458/30+1)&amp;"R"</f>
        <v>4Ma,2Me,3J, 12V,12S,11R</v>
      </c>
      <c r="U458" s="4">
        <f t="shared" si="58"/>
        <v>38.886182527932846</v>
      </c>
      <c r="V458" s="4">
        <f t="shared" si="59"/>
        <v>355.01079536162342</v>
      </c>
      <c r="W458" s="4">
        <f>Planet(Panchanga!$G458,4)</f>
        <v>112.64988467567977</v>
      </c>
      <c r="X458" s="4">
        <f>Planet(Panchanga!$G458,2)</f>
        <v>31.45755901223831</v>
      </c>
      <c r="Y458" s="4">
        <f>Planet(Panchanga!$G458,5)</f>
        <v>62.01385523149208</v>
      </c>
      <c r="Z458" s="4">
        <f>Planet(Panchanga!$G458,3)</f>
        <v>353.28229133584898</v>
      </c>
      <c r="AA458" s="4">
        <f>Planet(Panchanga!$G458,6)</f>
        <v>335.70124975575322</v>
      </c>
      <c r="AB458" s="4">
        <f>Planet(Panchanga!$G458,10)</f>
        <v>329.71265802109747</v>
      </c>
      <c r="AC458" s="4" t="str">
        <f>TEXT(Panchanga!$C458+($C459-Panchanga!$C458)/ABS(IF($R459&lt;1,$R459+30,$R459)-Panchanga!$R458)*(ROUNDUP(Panchanga!$R458,0)-Panchanga!$R458),"hh:mm AM/PM")</f>
        <v>07:17 PM</v>
      </c>
      <c r="AD458" s="4"/>
    </row>
    <row r="459" spans="1:30" x14ac:dyDescent="0.2">
      <c r="A459" s="3">
        <f>A458+1</f>
        <v>45802</v>
      </c>
      <c r="B459" s="3">
        <f t="shared" si="56"/>
        <v>45802.229166666664</v>
      </c>
      <c r="C459" s="6">
        <f t="shared" si="57"/>
        <v>45802.23795590565</v>
      </c>
      <c r="D459" s="6">
        <f>sunset(Lat,Long,B459)+TimeZone/24-0.000277777777777778</f>
        <v>45801.771008850585</v>
      </c>
      <c r="E459" s="6">
        <f>PlanetRiseSet(Lat,Long,B459,1,1)+TimeZone/24+0.00103009259259259</f>
        <v>45802.155012976997</v>
      </c>
      <c r="F459" s="6">
        <f>PlanetRiseSet(Lat,Long,B459+1,1,2)+TimeZone/24+0.00103009259259259</f>
        <v>45802.697739289761</v>
      </c>
      <c r="G459" s="17">
        <f>Panchanga!$C459-TimeZone/24</f>
        <v>45802.008789238986</v>
      </c>
      <c r="H459" s="13" t="str">
        <f>INT(P[[#This Row],[Sun]]/30)&amp;"s"&amp;ROUNDUP(MOD(P[[#This Row],[Sun]],30),2)</f>
        <v>1s9.85</v>
      </c>
      <c r="I459" s="13" t="str">
        <f>INT(P[[#This Row],[Moon]]/30)&amp;"s"&amp;ROUNDUP(MOD(P[[#This Row],[Moon]],30),2)</f>
        <v>0s9.9</v>
      </c>
      <c r="J459" s="14">
        <f t="shared" si="60"/>
        <v>45802.008789238986</v>
      </c>
      <c r="K459" s="10" t="str">
        <f>naks(P[[#This Row],[Moon]])</f>
        <v>Aswini</v>
      </c>
      <c r="L459" s="15">
        <f>(C460-P[[#This Row],[SunRise]])/(MOD(360+V460-P[[#This Row],[Moon]],360))*(13.3333333333333-MOD(P[[#This Row],[Moon]],13.333333333333))+P[[#This Row],[SunRise]]</f>
        <v>45802.466170647102</v>
      </c>
      <c r="M459" s="4" t="str">
        <f>IF(Panchanga!$R459&gt;15,"K","S")&amp;ROUNDUP(MOD(Panchanga!$R459,15),0)&amp;" ("&amp;ROUND(Panchanga!$R459,2)&amp;")"</f>
        <v>K13 (27.5)</v>
      </c>
      <c r="N459" s="4">
        <f>IF(AND(Panchanga!$R459&lt;28.5,Panchanga!$R459&gt;0.49999),MOD((Panchanga!$R459-0.5)*2,7),MOD((Panchanga!$R459+30-28.5),30)*2+7)</f>
        <v>5.007399999999997</v>
      </c>
      <c r="O459" s="4" t="str">
        <f>CHOOSE(ROUNDUP(Panchanga!$N459,0),"Bhava","Baalava","Kaulava","Taitula","Garija","Vanija","Vishti","Shakuni","Chatushapda","Naaga","Kimstugna")</f>
        <v>Vanija</v>
      </c>
      <c r="P459" s="11" t="str">
        <f>CHOOSE(ROUNDUP(Panchanga!$S459,0),"viṣkambha","prīti","āyuṣmāna","saubhāgya","śobhana","atigaṇḍa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("&amp;Panchanga!$S459&amp;")"</f>
        <v>saubhāgya (3.74)</v>
      </c>
      <c r="Q459" s="4">
        <f>IF(AND(Panchanga!$R459&lt;28.5,Panchanga!$R459&gt;0.49999),MOD((Panchanga!$R459-0.5)*2,7),MOD((Panchanga!$R459+30-28.5),30)*2+7)</f>
        <v>5.007399999999997</v>
      </c>
      <c r="R459" s="4">
        <f>ROUNDUP(MOD(360+P[[#This Row],[Moon]]-P[[#This Row],[Sun]],360)/12,4)</f>
        <v>27.503699999999998</v>
      </c>
      <c r="S459" s="4">
        <f>ROUNDUP(MOD(P[[#This Row],[Sun]]+P[[#This Row],[Moon]],360)/13.333333333,2)</f>
        <v>3.7399999999999998</v>
      </c>
      <c r="T459" s="4" t="str">
        <f>SIGN(W460-Panchanga!$W459)*INT(Panchanga!$W459/30+1)&amp;"Ma,"&amp;SIGN(X460-Panchanga!$X459)*INT(Panchanga!$X459/30+1)&amp;"Me,"&amp;SIGN(Y460-Panchanga!$Y459)*INT(Panchanga!$Y459/30+1)&amp;"J, "&amp;SIGN(Z460-Panchanga!$Z459)*INT(Panchanga!$Z459/30+1)&amp;"V,"&amp;SIGN(AA460-Panchanga!$AA459)*INT(Panchanga!$AA459/30+1)&amp;"S,"&amp;INT(Panchanga!$AB459/30+1)&amp;"R"</f>
        <v>4Ma,2Me,3J, 12V,12S,11R</v>
      </c>
      <c r="U459" s="4">
        <f t="shared" si="58"/>
        <v>39.847378134668851</v>
      </c>
      <c r="V459" s="4">
        <f t="shared" si="59"/>
        <v>9.8915344989853367</v>
      </c>
      <c r="W459" s="4">
        <f>Planet(Panchanga!$G459,4)</f>
        <v>113.16780683534539</v>
      </c>
      <c r="X459" s="4">
        <f>Planet(Panchanga!$G459,2)</f>
        <v>33.576590528608051</v>
      </c>
      <c r="Y459" s="4">
        <f>Planet(Panchanga!$G459,5)</f>
        <v>62.233867002771454</v>
      </c>
      <c r="Z459" s="4">
        <f>Planet(Panchanga!$G459,3)</f>
        <v>354.18417981603483</v>
      </c>
      <c r="AA459" s="4">
        <f>Planet(Panchanga!$G459,6)</f>
        <v>335.77737687889839</v>
      </c>
      <c r="AB459" s="4">
        <f>Planet(Panchanga!$G459,10)</f>
        <v>329.65966999748872</v>
      </c>
      <c r="AC459" s="4" t="str">
        <f>TEXT(Panchanga!$C459+($C460-Panchanga!$C459)/ABS(IF($R460&lt;1,$R460+30,$R460)-Panchanga!$R459)*(ROUNDUP(Panchanga!$R459,0)-Panchanga!$R459),"hh:mm AM/PM")</f>
        <v>03:49 PM</v>
      </c>
      <c r="AD459" s="4"/>
    </row>
    <row r="460" spans="1:30" x14ac:dyDescent="0.2">
      <c r="A460" s="3">
        <f>A459+1</f>
        <v>45803</v>
      </c>
      <c r="B460" s="3">
        <f t="shared" si="56"/>
        <v>45803.229166666664</v>
      </c>
      <c r="C460" s="6">
        <f t="shared" si="57"/>
        <v>45803.237891349163</v>
      </c>
      <c r="D460" s="6">
        <f>sunset(Lat,Long,B460)+TimeZone/24-0.000277777777777778</f>
        <v>45802.77122069434</v>
      </c>
      <c r="E460" s="6">
        <f>PlanetRiseSet(Lat,Long,B460,1,1)+TimeZone/24+0.00103009259259259</f>
        <v>45803.190222812038</v>
      </c>
      <c r="F460" s="6">
        <f>PlanetRiseSet(Lat,Long,B460+1,1,2)+TimeZone/24+0.00103009259259259</f>
        <v>45803.74334418137</v>
      </c>
      <c r="G460" s="17">
        <f>Panchanga!$C460-TimeZone/24</f>
        <v>45803.008724682499</v>
      </c>
      <c r="H460" s="13" t="str">
        <f>INT(P[[#This Row],[Sun]]/30)&amp;"s"&amp;ROUNDUP(MOD(P[[#This Row],[Sun]],30),2)</f>
        <v>1s10.81</v>
      </c>
      <c r="I460" s="13" t="str">
        <f>INT(P[[#This Row],[Moon]]/30)&amp;"s"&amp;ROUNDUP(MOD(P[[#This Row],[Moon]],30),2)</f>
        <v>0s24.98</v>
      </c>
      <c r="J460" s="14">
        <f t="shared" si="60"/>
        <v>45803.008724682499</v>
      </c>
      <c r="K460" s="10" t="str">
        <f>naks(P[[#This Row],[Moon]])</f>
        <v>Bharani</v>
      </c>
      <c r="L460" s="15">
        <f>(C461-P[[#This Row],[SunRise]])/(MOD(360+V461-P[[#This Row],[Moon]],360))*(13.3333333333333-MOD(P[[#This Row],[Moon]],13.333333333333))+P[[#This Row],[SunRise]]</f>
        <v>45803.349896918764</v>
      </c>
      <c r="M460" s="4" t="str">
        <f>IF(Panchanga!$R460&gt;15,"K","S")&amp;ROUNDUP(MOD(Panchanga!$R460,15),0)&amp;" ("&amp;ROUND(Panchanga!$R460,2)&amp;")"</f>
        <v>K14 (28.68)</v>
      </c>
      <c r="N460" s="4">
        <f>IF(AND(Panchanga!$R460&lt;28.5,Panchanga!$R460&gt;0.49999),MOD((Panchanga!$R460-0.5)*2,7),MOD((Panchanga!$R460+30-28.5),30)*2+7)</f>
        <v>7.3607999999999976</v>
      </c>
      <c r="O460" s="4" t="str">
        <f>CHOOSE(ROUNDUP(Panchanga!$N460,0),"Bhava","Baalava","Kaulava","Taitula","Garija","Vanija","Vishti","Shakuni","Chatushapda","Naaga","Kimstugna")</f>
        <v>Shakuni</v>
      </c>
      <c r="P460" s="11" t="str">
        <f>CHOOSE(ROUNDUP(Panchanga!$S460,0),"viṣkambha","prīti","āyuṣmāna","saubhāgya","śobhana","atigaṇḍa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("&amp;Panchanga!$S460&amp;")"</f>
        <v>śobhana (4.94)</v>
      </c>
      <c r="Q460" s="4">
        <f>IF(AND(Panchanga!$R460&lt;28.5,Panchanga!$R460&gt;0.49999),MOD((Panchanga!$R460-0.5)*2,7),MOD((Panchanga!$R460+30-28.5),30)*2+7)</f>
        <v>7.3607999999999976</v>
      </c>
      <c r="R460" s="4">
        <f>ROUNDUP(MOD(360+P[[#This Row],[Moon]]-P[[#This Row],[Sun]],360)/12,4)</f>
        <v>28.680399999999999</v>
      </c>
      <c r="S460" s="4">
        <f>ROUNDUP(MOD(P[[#This Row],[Sun]]+P[[#This Row],[Moon]],360)/13.333333333,2)</f>
        <v>4.9399999999999995</v>
      </c>
      <c r="T460" s="4" t="str">
        <f>SIGN(W461-Panchanga!$W460)*INT(Panchanga!$W460/30+1)&amp;"Ma,"&amp;SIGN(X461-Panchanga!$X460)*INT(Panchanga!$X460/30+1)&amp;"Me,"&amp;SIGN(Y461-Panchanga!$Y460)*INT(Panchanga!$Y460/30+1)&amp;"J, "&amp;SIGN(Z461-Panchanga!$Z460)*INT(Panchanga!$Z460/30+1)&amp;"V,"&amp;SIGN(AA461-Panchanga!$AA460)*INT(Panchanga!$AA460/30+1)&amp;"S,"&amp;INT(Panchanga!$AB460/30+1)&amp;"R"</f>
        <v>4Ma,2Me,3J, 12V,12S,11R</v>
      </c>
      <c r="U460" s="4">
        <f t="shared" si="58"/>
        <v>40.808285857654582</v>
      </c>
      <c r="V460" s="4">
        <f t="shared" si="59"/>
        <v>24.971965421160359</v>
      </c>
      <c r="W460" s="4">
        <f>Planet(Panchanga!$G460,4)</f>
        <v>113.68783403256087</v>
      </c>
      <c r="X460" s="4">
        <f>Planet(Panchanga!$G460,2)</f>
        <v>35.718000032866911</v>
      </c>
      <c r="Y460" s="4">
        <f>Planet(Panchanga!$G460,5)</f>
        <v>62.454460455618651</v>
      </c>
      <c r="Z460" s="4">
        <f>Planet(Panchanga!$G460,3)</f>
        <v>355.09476638470352</v>
      </c>
      <c r="AA460" s="4">
        <f>Planet(Panchanga!$G460,6)</f>
        <v>335.85223824749181</v>
      </c>
      <c r="AB460" s="4">
        <f>Planet(Panchanga!$G460,10)</f>
        <v>329.60668143211603</v>
      </c>
      <c r="AC460" s="4" t="str">
        <f>TEXT(Panchanga!$C460+($C461-Panchanga!$C460)/ABS(IF($R461&lt;1,$R461+30,$R461)-Panchanga!$R460)*(ROUNDUP(Panchanga!$R460,0)-Panchanga!$R460),"hh:mm AM/PM")</f>
        <v>12:12 PM</v>
      </c>
      <c r="AD460" s="4"/>
    </row>
    <row r="461" spans="1:30" x14ac:dyDescent="0.2">
      <c r="A461" s="3">
        <f>A460+1</f>
        <v>45804</v>
      </c>
      <c r="B461" s="3">
        <f t="shared" si="56"/>
        <v>45804.229166666664</v>
      </c>
      <c r="C461" s="6">
        <f t="shared" si="57"/>
        <v>45804.23783690032</v>
      </c>
      <c r="D461" s="6">
        <f>sunset(Lat,Long,B461)+TimeZone/24-0.000277777777777778</f>
        <v>45803.771433903414</v>
      </c>
      <c r="E461" s="6">
        <f>PlanetRiseSet(Lat,Long,B461,1,1)+TimeZone/24+0.00103009259259259</f>
        <v>45804.229534794729</v>
      </c>
      <c r="F461" s="6">
        <f>PlanetRiseSet(Lat,Long,B461+1,1,2)+TimeZone/24+0.00103009259259259</f>
        <v>45804.790659440368</v>
      </c>
      <c r="G461" s="17">
        <f>Panchanga!$C461-TimeZone/24</f>
        <v>45804.008670233656</v>
      </c>
      <c r="H461" s="13" t="str">
        <f>INT(P[[#This Row],[Sun]]/30)&amp;"s"&amp;ROUNDUP(MOD(P[[#This Row],[Sun]],30),2)</f>
        <v>1s11.77</v>
      </c>
      <c r="I461" s="13" t="str">
        <f>INT(P[[#This Row],[Moon]]/30)&amp;"s"&amp;ROUNDUP(MOD(P[[#This Row],[Moon]],30),2)</f>
        <v>1s10.11</v>
      </c>
      <c r="J461" s="14">
        <f t="shared" si="60"/>
        <v>45804.008670233656</v>
      </c>
      <c r="K461" s="10" t="str">
        <f>naks(P[[#This Row],[Moon]])</f>
        <v>Rohini</v>
      </c>
      <c r="L461" s="15">
        <f>(C462-P[[#This Row],[SunRise]])/(MOD(360+V462-P[[#This Row],[Moon]],360))*(13.3333333333333-MOD(P[[#This Row],[Moon]],13.333333333333))+P[[#This Row],[SunRise]]</f>
        <v>45805.119374292452</v>
      </c>
      <c r="M461" s="4" t="str">
        <f>IF(Panchanga!$R461&gt;15,"K","S")&amp;ROUNDUP(MOD(Panchanga!$R461,15),0)&amp;" ("&amp;ROUND(Panchanga!$R461,2)&amp;")"</f>
        <v>K15 (29.86)</v>
      </c>
      <c r="N461" s="4">
        <f>IF(AND(Panchanga!$R461&lt;28.5,Panchanga!$R461&gt;0.49999),MOD((Panchanga!$R461-0.5)*2,7),MOD((Panchanga!$R461+30-28.5),30)*2+7)</f>
        <v>9.7222000000000008</v>
      </c>
      <c r="O461" s="4" t="str">
        <f>CHOOSE(ROUNDUP(Panchanga!$N461,0),"Bhava","Baalava","Kaulava","Taitula","Garija","Vanija","Vishti","Shakuni","Chatushapda","Naaga","Kimstugna")</f>
        <v>Naaga</v>
      </c>
      <c r="P461" s="11" t="str">
        <f>CHOOSE(ROUNDUP(Panchanga!$S461,0),"viṣkambha","prīti","āyuṣmāna","saubhāgya","śobhana","atigaṇḍa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("&amp;Panchanga!$S461&amp;")"</f>
        <v>sukarmā  (6.15)</v>
      </c>
      <c r="Q461" s="4">
        <f>IF(AND(Panchanga!$R461&lt;28.5,Panchanga!$R461&gt;0.49999),MOD((Panchanga!$R461-0.5)*2,7),MOD((Panchanga!$R461+30-28.5),30)*2+7)</f>
        <v>9.7222000000000008</v>
      </c>
      <c r="R461" s="4">
        <f>ROUNDUP(MOD(360+P[[#This Row],[Moon]]-P[[#This Row],[Sun]],360)/12,4)</f>
        <v>29.8611</v>
      </c>
      <c r="S461" s="4">
        <f>ROUNDUP(MOD(P[[#This Row],[Sun]]+P[[#This Row],[Moon]],360)/13.333333333,2)</f>
        <v>6.1499999999999995</v>
      </c>
      <c r="T461" s="4" t="str">
        <f>SIGN(W462-Panchanga!$W461)*INT(Panchanga!$W461/30+1)&amp;"Ma,"&amp;SIGN(X462-Panchanga!$X461)*INT(Panchanga!$X461/30+1)&amp;"Me,"&amp;SIGN(Y462-Panchanga!$Y461)*INT(Panchanga!$Y461/30+1)&amp;"J, "&amp;SIGN(Z462-Panchanga!$Z461)*INT(Panchanga!$Z461/30+1)&amp;"V,"&amp;SIGN(AA462-Panchanga!$AA461)*INT(Panchanga!$AA461/30+1)&amp;"S,"&amp;INT(Panchanga!$AB461/30+1)&amp;"R"</f>
        <v>4Ma,2Me,3J, 12V,12S,11R</v>
      </c>
      <c r="U461" s="4">
        <f t="shared" si="58"/>
        <v>41.768891847767307</v>
      </c>
      <c r="V461" s="4">
        <f t="shared" si="59"/>
        <v>40.10165028442988</v>
      </c>
      <c r="W461" s="4">
        <f>Planet(Panchanga!$G461,4)</f>
        <v>114.20993553674445</v>
      </c>
      <c r="X461" s="4">
        <f>Planet(Panchanga!$G461,2)</f>
        <v>37.878802783270032</v>
      </c>
      <c r="Y461" s="4">
        <f>Planet(Panchanga!$G461,5)</f>
        <v>62.675611695282392</v>
      </c>
      <c r="Z461" s="4">
        <f>Planet(Panchanga!$G461,3)</f>
        <v>356.01370726928002</v>
      </c>
      <c r="AA461" s="4">
        <f>Planet(Panchanga!$G461,6)</f>
        <v>335.92581707835001</v>
      </c>
      <c r="AB461" s="4">
        <f>Planet(Panchanga!$G461,10)</f>
        <v>329.55369233115971</v>
      </c>
      <c r="AC461" s="4" t="str">
        <f>TEXT(Panchanga!$C461+($C462-Panchanga!$C461)/ABS(IF($R462&lt;1,$R462+30,$R462)-Panchanga!$R461)*(ROUNDUP(Panchanga!$R461,0)-Panchanga!$R461),"hh:mm AM/PM")</f>
        <v>05:49 AM</v>
      </c>
      <c r="AD461" s="4"/>
    </row>
    <row r="462" spans="1:30" x14ac:dyDescent="0.2">
      <c r="A462" s="3">
        <f>A461+1</f>
        <v>45805</v>
      </c>
      <c r="B462" s="3">
        <f t="shared" si="56"/>
        <v>45805.229166666664</v>
      </c>
      <c r="C462" s="6">
        <f t="shared" si="57"/>
        <v>45805.237792427804</v>
      </c>
      <c r="D462" s="6">
        <f>sunset(Lat,Long,B462)+TimeZone/24-0.000277777777777778</f>
        <v>45804.771648187234</v>
      </c>
      <c r="E462" s="6">
        <f>PlanetRiseSet(Lat,Long,B462,1,1)+TimeZone/24+0.00103009259259259</f>
        <v>45805.272624030862</v>
      </c>
      <c r="F462" s="6">
        <f>PlanetRiseSet(Lat,Long,B462+1,1,2)+TimeZone/24+0.00103009259259259</f>
        <v>45805.837463113632</v>
      </c>
      <c r="G462" s="17">
        <f>Panchanga!$C462-TimeZone/24</f>
        <v>45805.00862576114</v>
      </c>
      <c r="H462" s="13" t="str">
        <f>INT(P[[#This Row],[Sun]]/30)&amp;"s"&amp;ROUNDUP(MOD(P[[#This Row],[Sun]],30),2)</f>
        <v>1s12.73</v>
      </c>
      <c r="I462" s="13" t="str">
        <f>INT(P[[#This Row],[Moon]]/30)&amp;"s"&amp;ROUNDUP(MOD(P[[#This Row],[Moon]],30),2)</f>
        <v>1s25.12</v>
      </c>
      <c r="J462" s="14">
        <f t="shared" si="60"/>
        <v>45805.00862576114</v>
      </c>
      <c r="K462" s="10" t="str">
        <f>naks(P[[#This Row],[Moon]])</f>
        <v>Mrigashira</v>
      </c>
      <c r="L462" s="15">
        <f>(C463-P[[#This Row],[SunRise]])/(MOD(360+V463-P[[#This Row],[Moon]],360))*(13.3333333333333-MOD(P[[#This Row],[Moon]],13.333333333333))+P[[#This Row],[SunRise]]</f>
        <v>45806.022333138179</v>
      </c>
      <c r="M462" s="4" t="str">
        <f>IF(Panchanga!$R462&gt;15,"K","S")&amp;ROUNDUP(MOD(Panchanga!$R462,15),0)&amp;" ("&amp;ROUND(Panchanga!$R462,2)&amp;")"</f>
        <v>S2 (1.03)</v>
      </c>
      <c r="N462" s="4">
        <f>IF(AND(Panchanga!$R462&lt;28.5,Panchanga!$R462&gt;0.49999),MOD((Panchanga!$R462-0.5)*2,7),MOD((Panchanga!$R462+30-28.5),30)*2+7)</f>
        <v>1.0636000000000001</v>
      </c>
      <c r="O462" s="4" t="str">
        <f>CHOOSE(ROUNDUP(Panchanga!$N462,0),"Bhava","Baalava","Kaulava","Taitula","Garija","Vanija","Vishti","Shakuni","Chatushapda","Naaga","Kimstugna")</f>
        <v>Baalava</v>
      </c>
      <c r="P462" s="11" t="str">
        <f>CHOOSE(ROUNDUP(Panchanga!$S462,0),"viṣkambha","prīti","āyuṣmāna","saubhāgya","śobhana","atigaṇḍa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("&amp;Panchanga!$S462&amp;")"</f>
        <v>dhṛti  (7.34)</v>
      </c>
      <c r="Q462" s="4">
        <f>IF(AND(Panchanga!$R462&lt;28.5,Panchanga!$R462&gt;0.49999),MOD((Panchanga!$R462-0.5)*2,7),MOD((Panchanga!$R462+30-28.5),30)*2+7)</f>
        <v>1.0636000000000001</v>
      </c>
      <c r="R462" s="4">
        <f>ROUNDUP(MOD(360+P[[#This Row],[Moon]]-P[[#This Row],[Sun]],360)/12,4)</f>
        <v>1.0318000000000001</v>
      </c>
      <c r="S462" s="4">
        <f>ROUNDUP(MOD(P[[#This Row],[Sun]]+P[[#This Row],[Moon]],360)/13.333333333,2)</f>
        <v>7.34</v>
      </c>
      <c r="T462" s="4" t="str">
        <f>SIGN(W463-Panchanga!$W462)*INT(Panchanga!$W462/30+1)&amp;"Ma,"&amp;SIGN(X463-Panchanga!$X462)*INT(Panchanga!$X462/30+1)&amp;"Me,"&amp;SIGN(Y463-Panchanga!$Y462)*INT(Panchanga!$Y462/30+1)&amp;"J, "&amp;SIGN(Z463-Panchanga!$Z462)*INT(Panchanga!$Z462/30+1)&amp;"V,"&amp;SIGN(AA463-Panchanga!$AA462)*INT(Panchanga!$AA462/30+1)&amp;"S,"&amp;INT(Panchanga!$AB462/30+1)&amp;"R"</f>
        <v>4Ma,2Me,3J, 12V,12S,11R</v>
      </c>
      <c r="U462" s="4">
        <f t="shared" si="58"/>
        <v>42.72918064353658</v>
      </c>
      <c r="V462" s="4">
        <f t="shared" si="59"/>
        <v>55.110763591191898</v>
      </c>
      <c r="W462" s="4">
        <f>Planet(Panchanga!$G462,4)</f>
        <v>114.73407702386383</v>
      </c>
      <c r="X462" s="4">
        <f>Planet(Panchanga!$G462,2)</f>
        <v>40.055591118356119</v>
      </c>
      <c r="Y462" s="4">
        <f>Planet(Panchanga!$G462,5)</f>
        <v>62.897296173283735</v>
      </c>
      <c r="Z462" s="4">
        <f>Planet(Panchanga!$G462,3)</f>
        <v>356.94067897544022</v>
      </c>
      <c r="AA462" s="4">
        <f>Planet(Panchanga!$G462,6)</f>
        <v>335.99809733111329</v>
      </c>
      <c r="AB462" s="4">
        <f>Planet(Panchanga!$G462,10)</f>
        <v>329.50070270151241</v>
      </c>
      <c r="AC462" s="4" t="str">
        <f>TEXT(Panchanga!$C462+($C463-Panchanga!$C462)/ABS(IF($R463&lt;1,$R463+30,$R463)-Panchanga!$R462)*(ROUNDUP(Panchanga!$R462,0)-Panchanga!$R462),"hh:mm AM/PM")</f>
        <v>01:57 AM</v>
      </c>
      <c r="AD462" s="4"/>
    </row>
    <row r="463" spans="1:30" x14ac:dyDescent="0.2">
      <c r="A463" s="3">
        <f>A462+1</f>
        <v>45806</v>
      </c>
      <c r="B463" s="3">
        <f t="shared" si="56"/>
        <v>45806.229166666664</v>
      </c>
      <c r="C463" s="6">
        <f t="shared" si="57"/>
        <v>45806.23775778959</v>
      </c>
      <c r="D463" s="6">
        <f>sunset(Lat,Long,B463)+TimeZone/24-0.000277777777777778</f>
        <v>45805.771863243586</v>
      </c>
      <c r="E463" s="6">
        <f>PlanetRiseSet(Lat,Long,B463,1,1)+TimeZone/24+0.00103009259259259</f>
        <v>45806.317831751578</v>
      </c>
      <c r="F463" s="6">
        <f>PlanetRiseSet(Lat,Long,B463+1,1,2)+TimeZone/24+0.00103009259259259</f>
        <v>45806.881185669605</v>
      </c>
      <c r="G463" s="17">
        <f>Panchanga!$C463-TimeZone/24</f>
        <v>45806.008591122925</v>
      </c>
      <c r="H463" s="13" t="str">
        <f>INT(P[[#This Row],[Sun]]/30)&amp;"s"&amp;ROUNDUP(MOD(P[[#This Row],[Sun]],30),2)</f>
        <v>1s13.69</v>
      </c>
      <c r="I463" s="13" t="str">
        <f>INT(P[[#This Row],[Moon]]/30)&amp;"s"&amp;ROUNDUP(MOD(P[[#This Row],[Moon]],30),2)</f>
        <v>2s9.84</v>
      </c>
      <c r="J463" s="14">
        <f t="shared" si="60"/>
        <v>45806.008591122925</v>
      </c>
      <c r="K463" s="10" t="str">
        <f>naks(P[[#This Row],[Moon]])</f>
        <v>Ardra</v>
      </c>
      <c r="L463" s="15">
        <f>(C464-P[[#This Row],[SunRise]])/(MOD(360+V464-P[[#This Row],[Moon]],360))*(13.3333333333333-MOD(P[[#This Row],[Moon]],13.333333333333))+P[[#This Row],[SunRise]]</f>
        <v>44202.289334048401</v>
      </c>
      <c r="M463" s="4" t="str">
        <f>IF(Panchanga!$R463&gt;15,"K","S")&amp;ROUNDUP(MOD(Panchanga!$R463,15),0)&amp;" ("&amp;ROUND(Panchanga!$R463,2)&amp;")"</f>
        <v>S3 (2.18)</v>
      </c>
      <c r="N463" s="4">
        <f>IF(AND(Panchanga!$R463&lt;28.5,Panchanga!$R463&gt;0.49999),MOD((Panchanga!$R463-0.5)*2,7),MOD((Panchanga!$R463+30-28.5),30)*2+7)</f>
        <v>3.3586</v>
      </c>
      <c r="O463" s="4" t="str">
        <f>CHOOSE(ROUNDUP(Panchanga!$N463,0),"Bhava","Baalava","Kaulava","Taitula","Garija","Vanija","Vishti","Shakuni","Chatushapda","Naaga","Kimstugna")</f>
        <v>Taitula</v>
      </c>
      <c r="P463" s="11" t="str">
        <f>CHOOSE(ROUNDUP(Panchanga!$S463,0),"viṣkambha","prīti","āyuṣmāna","saubhāgya","śobhana","atigaṇḍa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("&amp;Panchanga!$S463&amp;")"</f>
        <v>śūla  (8.52)</v>
      </c>
      <c r="Q463" s="4">
        <f>IF(AND(Panchanga!$R463&lt;28.5,Panchanga!$R463&gt;0.49999),MOD((Panchanga!$R463-0.5)*2,7),MOD((Panchanga!$R463+30-28.5),30)*2+7)</f>
        <v>3.3586</v>
      </c>
      <c r="R463" s="4">
        <f>ROUNDUP(MOD(360+P[[#This Row],[Moon]]-P[[#This Row],[Sun]],360)/12,4)</f>
        <v>2.1793</v>
      </c>
      <c r="S463" s="4">
        <f>ROUNDUP(MOD(P[[#This Row],[Sun]]+P[[#This Row],[Moon]],360)/13.333333333,2)</f>
        <v>8.52</v>
      </c>
      <c r="T463" s="4" t="str">
        <f>SIGN(W464-Panchanga!$W463)*INT(Panchanga!$W463/30+1)&amp;"Ma,"&amp;SIGN(X464-Panchanga!$X463)*INT(Panchanga!$X463/30+1)&amp;"Me,"&amp;SIGN(Y464-Panchanga!$Y463)*INT(Panchanga!$Y463/30+1)&amp;"J, "&amp;SIGN(Z464-Panchanga!$Z463)*INT(Panchanga!$Z463/30+1)&amp;"V,"&amp;SIGN(AA464-Panchanga!$AA463)*INT(Panchanga!$AA463/30+1)&amp;"S,"&amp;INT(Panchanga!$AB463/30+1)&amp;"R"</f>
        <v>-4Ma,-2Me,-3J, -12V,-12S,11R</v>
      </c>
      <c r="U463" s="4">
        <f t="shared" si="58"/>
        <v>43.689137404028969</v>
      </c>
      <c r="V463" s="4">
        <f t="shared" si="59"/>
        <v>69.839767002708811</v>
      </c>
      <c r="W463" s="4">
        <f>Planet(Panchanga!$G463,4)</f>
        <v>115.26022106991628</v>
      </c>
      <c r="X463" s="4">
        <f>Planet(Panchanga!$G463,2)</f>
        <v>42.244565374248076</v>
      </c>
      <c r="Y463" s="4">
        <f>Planet(Panchanga!$G463,5)</f>
        <v>63.119489095617737</v>
      </c>
      <c r="Z463" s="4">
        <f>Planet(Panchanga!$G463,3)</f>
        <v>357.87537967872584</v>
      </c>
      <c r="AA463" s="4">
        <f>Planet(Panchanga!$G463,6)</f>
        <v>336.06906385396377</v>
      </c>
      <c r="AB463" s="4">
        <f>Planet(Panchanga!$G463,10)</f>
        <v>329.44771255072931</v>
      </c>
      <c r="AC463" s="4" t="str">
        <f>TEXT(Panchanga!$C463+($C464-Panchanga!$C463)/ABS(IF($R464&lt;1,$R464+30,$R464)-Panchanga!$R463)*(ROUNDUP(Panchanga!$R463,0)-Panchanga!$R463),"hh:mm AM/PM")</f>
        <v>11:18 PM</v>
      </c>
      <c r="AD463" s="4"/>
    </row>
  </sheetData>
  <phoneticPr fontId="2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alendar"/>
  <dimension ref="A1:G130"/>
  <sheetViews>
    <sheetView view="pageLayout" zoomScale="44" zoomScaleNormal="39" zoomScaleSheetLayoutView="40" zoomScalePageLayoutView="44" workbookViewId="0">
      <selection activeCell="A4" sqref="A4"/>
    </sheetView>
  </sheetViews>
  <sheetFormatPr defaultColWidth="11.7109375" defaultRowHeight="39" customHeight="1" x14ac:dyDescent="0.35"/>
  <cols>
    <col min="1" max="1" width="46.140625" style="19" customWidth="1"/>
    <col min="2" max="6" width="46.140625" style="18" customWidth="1"/>
    <col min="7" max="7" width="46.140625" style="27" customWidth="1"/>
    <col min="8" max="8" width="5.5703125" style="18" customWidth="1"/>
    <col min="9" max="16384" width="11.7109375" style="18"/>
  </cols>
  <sheetData>
    <row r="1" spans="1:7" s="21" customFormat="1" ht="173.25" customHeight="1" thickBot="1" x14ac:dyDescent="1.25">
      <c r="A1" s="78">
        <f>Panchanga!A9</f>
        <v>45352</v>
      </c>
      <c r="B1" s="79"/>
      <c r="C1" s="79"/>
      <c r="D1" s="79"/>
      <c r="E1" s="79"/>
      <c r="F1" s="79"/>
      <c r="G1" s="80"/>
    </row>
    <row r="2" spans="1:7" s="23" customFormat="1" ht="45.75" thickBot="1" x14ac:dyDescent="0.5">
      <c r="A2" s="55">
        <v>1</v>
      </c>
      <c r="B2" s="56">
        <v>2</v>
      </c>
      <c r="C2" s="56">
        <v>3</v>
      </c>
      <c r="D2" s="56">
        <v>4</v>
      </c>
      <c r="E2" s="56">
        <v>5</v>
      </c>
      <c r="F2" s="56">
        <v>6</v>
      </c>
      <c r="G2" s="57">
        <v>7</v>
      </c>
    </row>
    <row r="3" spans="1:7" s="21" customFormat="1" ht="45" x14ac:dyDescent="0.5">
      <c r="A3" s="58">
        <f>CalMonth-WEEKDAY(CalMonth)+1</f>
        <v>45347</v>
      </c>
      <c r="B3" s="59">
        <f t="shared" ref="B3:G3" si="0">A3+1</f>
        <v>45348</v>
      </c>
      <c r="C3" s="59">
        <f t="shared" si="0"/>
        <v>45349</v>
      </c>
      <c r="D3" s="59">
        <f t="shared" si="0"/>
        <v>45350</v>
      </c>
      <c r="E3" s="60">
        <f t="shared" si="0"/>
        <v>45351</v>
      </c>
      <c r="F3" s="59">
        <f t="shared" si="0"/>
        <v>45352</v>
      </c>
      <c r="G3" s="61">
        <f t="shared" si="0"/>
        <v>45353</v>
      </c>
    </row>
    <row r="4" spans="1:7" s="20" customFormat="1" ht="36" customHeight="1" x14ac:dyDescent="0.5">
      <c r="A4" s="28" t="str">
        <f>TEXT(VLOOKUP(A3,Panchanga!$A$3:$AC$463,3,TRUE),"HH:MM AM/PM")&amp;" - "&amp;TEXT(VLOOKUP(A3,Panchanga!$A$3:$AC$463,4,TRUE),"HH:MM AM/PM")</f>
        <v>06:29 AM - 06:16 PM</v>
      </c>
      <c r="B4" s="29" t="str">
        <f>TEXT(VLOOKUP(B3,Panchanga!$A$3:$AC$463,3,TRUE),"HH:MM AM/PM")&amp;" - "&amp;TEXT(VLOOKUP(B3,Panchanga!$A$3:$AC$463,4,TRUE),"HH:MM AM/PM")</f>
        <v>06:28 AM - 06:16 PM</v>
      </c>
      <c r="C4" s="29" t="str">
        <f>TEXT(VLOOKUP(C3,Panchanga!$A$3:$AC$463,3,TRUE),"HH:MM AM/PM")&amp;" - "&amp;TEXT(VLOOKUP(C3,Panchanga!$A$3:$AC$463,4,TRUE),"HH:MM AM/PM")</f>
        <v>06:28 AM - 06:16 PM</v>
      </c>
      <c r="D4" s="29" t="str">
        <f>TEXT(VLOOKUP(D3,Panchanga!$A$3:$AC$463,3,TRUE),"HH:MM AM/PM")&amp;" - "&amp;TEXT(VLOOKUP(D3,Panchanga!$A$3:$AC$463,4,TRUE),"HH:MM AM/PM")</f>
        <v>06:27 AM - 06:16 PM</v>
      </c>
      <c r="E4" s="50" t="str">
        <f>TEXT(VLOOKUP(E3,Panchanga!$A$3:$AC$463,3,TRUE),"HH:MM AM/PM")&amp;" - "&amp;TEXT(VLOOKUP(E3,Panchanga!$A$3:$AC$463,4,TRUE),"HH:MM AM/PM")</f>
        <v>06:27 AM - 06:16 PM</v>
      </c>
      <c r="F4" s="29" t="str">
        <f>TEXT(VLOOKUP(F3,Panchanga!$A$3:$AC$463,3,TRUE),"HH:MM AM/PM")&amp;" - "&amp;TEXT(VLOOKUP(F3,Panchanga!$A$3:$AC$463,4,TRUE),"HH:MM AM/PM")</f>
        <v>06:26 AM - 06:17 PM</v>
      </c>
      <c r="G4" s="52" t="str">
        <f>TEXT(VLOOKUP(G3,Panchanga!$A$3:$AC$463,3,TRUE),"HH:MM AM/PM")&amp;" - "&amp;TEXT(VLOOKUP(G3,Panchanga!$A$3:$AC$463,4,TRUE),"HH:MM AM/PM")</f>
        <v>06:26 AM - 06:17 PM</v>
      </c>
    </row>
    <row r="5" spans="1:7" s="20" customFormat="1" ht="36" customHeight="1" x14ac:dyDescent="0.5">
      <c r="A5" s="31" t="str">
        <f>"Su="&amp;VLOOKUP(A3,Panchanga!$A$3:$AC$463,6,TRUE)&amp;",Mo="&amp;VLOOKUP(A3,Panchanga!$A$3:$AC$463,7,TRUE)</f>
        <v>Su=45348.3147133022,Mo=45347.0411562849</v>
      </c>
      <c r="B5" s="32" t="str">
        <f>"Su="&amp;VLOOKUP(B3,Panchanga!$A$3:$AC$463,6,TRUE)&amp;",Mo="&amp;VLOOKUP(B3,Panchanga!$A$3:$AC$463,7,TRUE)</f>
        <v>Su=45349.3376999518,Mo=45348.0407966151</v>
      </c>
      <c r="C5" s="32" t="str">
        <f>"Su="&amp;VLOOKUP(C3,Panchanga!$A$3:$AC$463,6,TRUE)&amp;",Mo="&amp;VLOOKUP(C3,Panchanga!$A$3:$AC$463,7,TRUE)</f>
        <v>Su=45350.3609487141,Mo=45349.0404293062</v>
      </c>
      <c r="D5" s="32" t="str">
        <f>"Su="&amp;VLOOKUP(D3,Panchanga!$A$3:$AC$463,6,TRUE)&amp;",Mo="&amp;VLOOKUP(D3,Panchanga!$A$3:$AC$463,7,TRUE)</f>
        <v>Su=45351.3852507027,Mo=45350.0400546416</v>
      </c>
      <c r="E5" s="51" t="str">
        <f>"Su="&amp;VLOOKUP(E3,Panchanga!$A$3:$AC$463,6,TRUE)&amp;",Mo="&amp;VLOOKUP(E3,Panchanga!$A$3:$AC$463,7,TRUE)</f>
        <v>Su=45352.4114522027,Mo=45351.0396729065</v>
      </c>
      <c r="F5" s="32" t="str">
        <f>"Su="&amp;VLOOKUP(F3,Panchanga!$A$3:$AC$463,6,TRUE)&amp;",Mo="&amp;VLOOKUP(F3,Panchanga!$A$3:$AC$463,7,TRUE)</f>
        <v>Su=45353.4404386563,Mo=45352.0392843848</v>
      </c>
      <c r="G5" s="53" t="str">
        <f>"Su="&amp;VLOOKUP(G3,Panchanga!$A$3:$AC$463,6,TRUE)&amp;",Mo="&amp;VLOOKUP(G3,Panchanga!$A$3:$AC$463,7,TRUE)</f>
        <v>Su=45354.4730342465,Mo=45353.0388893582</v>
      </c>
    </row>
    <row r="6" spans="1:7" s="20" customFormat="1" ht="36" customHeight="1" x14ac:dyDescent="0.5">
      <c r="A6" s="34" t="str">
        <f>VLOOKUP(A3,Panchanga!$A$3:$AC$463,9,TRUE)&amp;"-" &amp; TEXT(VLOOKUP(A3,Panchanga!$A$3:$AC$463,10,TRUE)," HH:MM AM/PM")</f>
        <v>4s17.36- 12:59 AM</v>
      </c>
      <c r="B6" s="35" t="str">
        <f>VLOOKUP(B3,Panchanga!$A$3:$AC$463,9,TRUE)&amp;"-" &amp; TEXT(VLOOKUP(B3,Panchanga!$A$3:$AC$463,10,TRUE)," HH:MM AM/PM")</f>
        <v>4s29.17- 12:58 AM</v>
      </c>
      <c r="C6" s="35" t="str">
        <f>VLOOKUP(C3,Panchanga!$A$3:$AC$463,9,TRUE)&amp;"-" &amp; TEXT(VLOOKUP(C3,Panchanga!$A$3:$AC$463,10,TRUE)," HH:MM AM/PM")</f>
        <v>5s10.97- 12:58 AM</v>
      </c>
      <c r="D6" s="35" t="str">
        <f>VLOOKUP(D3,Panchanga!$A$3:$AC$463,9,TRUE)&amp;"-" &amp; TEXT(VLOOKUP(D3,Panchanga!$A$3:$AC$463,10,TRUE)," HH:MM AM/PM")</f>
        <v>5s22.8- 12:57 AM</v>
      </c>
      <c r="E6" s="43" t="str">
        <f>VLOOKUP(E3,Panchanga!$A$3:$AC$463,9,TRUE)&amp;"-" &amp; TEXT(VLOOKUP(E3,Panchanga!$A$3:$AC$463,10,TRUE)," HH:MM AM/PM")</f>
        <v>6s4.71- 12:57 AM</v>
      </c>
      <c r="F6" s="35" t="str">
        <f>VLOOKUP(F3,Panchanga!$A$3:$AC$463,9,TRUE)&amp;"-" &amp; TEXT(VLOOKUP(F3,Panchanga!$A$3:$AC$463,10,TRUE)," HH:MM AM/PM")</f>
        <v>6s16.77- 12:56 AM</v>
      </c>
      <c r="G6" s="54" t="str">
        <f>VLOOKUP(G3,Panchanga!$A$3:$AC$463,9,TRUE)&amp;"-" &amp; TEXT(VLOOKUP(G3,Panchanga!$A$3:$AC$463,10,TRUE)," HH:MM AM/PM")</f>
        <v>6s29.04- 12:56 AM</v>
      </c>
    </row>
    <row r="7" spans="1:7" s="20" customFormat="1" ht="36" customHeight="1" x14ac:dyDescent="0.5">
      <c r="A7" s="34" t="str">
        <f>VLOOKUP(A3,Panchanga!$A$3:$AC$463,11,TRUE)&amp;" " &amp;VLOOKUP(A3,Panchanga!$A$3:$AC$463,27,TRUE)</f>
        <v>Purva Phalguni 315.114482625185</v>
      </c>
      <c r="B7" s="35" t="str">
        <f>VLOOKUP(B3,Panchanga!$A$3:$AC$463,11,TRUE)&amp;" " &amp;VLOOKUP(B3,Panchanga!$A$3:$AC$463,27,TRUE)</f>
        <v>Uttara Phalguni 315.236444376042</v>
      </c>
      <c r="C7" s="35" t="str">
        <f>VLOOKUP(C3,Panchanga!$A$3:$AC$463,11,TRUE)&amp;" " &amp;VLOOKUP(C3,Panchanga!$A$3:$AC$463,27,TRUE)</f>
        <v>Hasta 315.358462129653</v>
      </c>
      <c r="D7" s="35" t="str">
        <f>VLOOKUP(D3,Panchanga!$A$3:$AC$463,11,TRUE)&amp;" " &amp;VLOOKUP(D3,Panchanga!$A$3:$AC$463,27,TRUE)</f>
        <v>Hasta 315.480508029184</v>
      </c>
      <c r="E7" s="43" t="str">
        <f>VLOOKUP(E3,Panchanga!$A$3:$AC$463,11,TRUE)&amp;" " &amp;VLOOKUP(E3,Panchanga!$A$3:$AC$463,27,TRUE)</f>
        <v>Chitra 315.602551310049</v>
      </c>
      <c r="F7" s="35" t="str">
        <f>VLOOKUP(F3,Panchanga!$A$3:$AC$463,11,TRUE)&amp;" " &amp;VLOOKUP(F3,Panchanga!$A$3:$AC$463,27,TRUE)</f>
        <v>Swati 315.724606247998</v>
      </c>
      <c r="G7" s="54" t="str">
        <f>VLOOKUP(G3,Panchanga!$A$3:$AC$463,11,TRUE)&amp;" " &amp;VLOOKUP(G3,Panchanga!$A$3:$AC$463,27,TRUE)</f>
        <v>Visakha 315.846672012722</v>
      </c>
    </row>
    <row r="8" spans="1:7" s="20" customFormat="1" ht="36" customHeight="1" x14ac:dyDescent="0.5">
      <c r="A8" s="37" t="str">
        <f>VLOOKUP(A3,Panchanga!$A$3:$AC$463,13,TRUE)</f>
        <v>K1 (15.47)</v>
      </c>
      <c r="B8" s="38" t="str">
        <f>VLOOKUP(B3,Panchanga!$A$3:$AC$463,13,TRUE)</f>
        <v>K2 (16.37)</v>
      </c>
      <c r="C8" s="38" t="str">
        <f>VLOOKUP(C3,Panchanga!$A$3:$AC$463,13,TRUE)</f>
        <v>K3 (17.27)</v>
      </c>
      <c r="D8" s="38" t="str">
        <f>VLOOKUP(D3,Panchanga!$A$3:$AC$463,13,TRUE)</f>
        <v>K4 (18.17)</v>
      </c>
      <c r="E8" s="47" t="str">
        <f>VLOOKUP(E3,Panchanga!$A$3:$AC$463,13,TRUE)</f>
        <v>K5 (19.08)</v>
      </c>
      <c r="F8" s="38" t="str">
        <f>VLOOKUP(F3,Panchanga!$A$3:$AC$463,13,TRUE)</f>
        <v>K6 (20)</v>
      </c>
      <c r="G8" s="48" t="str">
        <f>VLOOKUP(G3,Panchanga!$A$3:$AC$463,13,TRUE)</f>
        <v>K6 (20.94)</v>
      </c>
    </row>
    <row r="9" spans="1:7" s="20" customFormat="1" ht="36" customHeight="1" x14ac:dyDescent="0.5">
      <c r="A9" s="37">
        <f>VLOOKUP(A3,Panchanga!$A$3:$AC$463,14,TRUE)</f>
        <v>1.9395999999999987</v>
      </c>
      <c r="B9" s="38">
        <f>VLOOKUP(B3,Panchanga!$A$3:$AC$463,14,TRUE)</f>
        <v>3.7406000000000006</v>
      </c>
      <c r="C9" s="38">
        <f>VLOOKUP(C3,Panchanga!$A$3:$AC$463,14,TRUE)</f>
        <v>5.5397999999999996</v>
      </c>
      <c r="D9" s="38">
        <f>VLOOKUP(D3,Panchanga!$A$3:$AC$463,14,TRUE)</f>
        <v>0.34440000000000026</v>
      </c>
      <c r="E9" s="47">
        <f>VLOOKUP(E3,Panchanga!$A$3:$AC$463,14,TRUE)</f>
        <v>2.1627999999999972</v>
      </c>
      <c r="F9" s="38">
        <f>VLOOKUP(F3,Panchanga!$A$3:$AC$463,14,TRUE)</f>
        <v>4.0052000000000021</v>
      </c>
      <c r="G9" s="48">
        <f>VLOOKUP(G3,Panchanga!$A$3:$AC$463,14,TRUE)</f>
        <v>5.8836000000000013</v>
      </c>
    </row>
    <row r="10" spans="1:7" s="49" customFormat="1" ht="36" customHeight="1" x14ac:dyDescent="0.25">
      <c r="A10" s="73">
        <f>VLOOKUP(A3,Panchanga!$A$3:$AC$463,18,TRUE)</f>
        <v>15.469799999999999</v>
      </c>
      <c r="B10" s="69">
        <f>VLOOKUP(B3,Panchanga!$A$3:$AC$463,18,TRUE)</f>
        <v>16.3703</v>
      </c>
      <c r="C10" s="69">
        <f>VLOOKUP(C3,Panchanga!$A$3:$AC$463,18,TRUE)</f>
        <v>17.2699</v>
      </c>
      <c r="D10" s="69">
        <f>VLOOKUP(D3,Panchanga!$A$3:$AC$463,18,TRUE)</f>
        <v>18.1722</v>
      </c>
      <c r="E10" s="76">
        <f>VLOOKUP(E3,Panchanga!$A$3:$AC$463,18,TRUE)</f>
        <v>19.081399999999999</v>
      </c>
      <c r="F10" s="69">
        <f>VLOOKUP(F3,Panchanga!$A$3:$AC$463,18,TRUE)</f>
        <v>20.002600000000001</v>
      </c>
      <c r="G10" s="74">
        <f>VLOOKUP(G3,Panchanga!$A$3:$AC$463,18,TRUE)</f>
        <v>20.941800000000001</v>
      </c>
    </row>
    <row r="11" spans="1:7" s="49" customFormat="1" ht="36" customHeight="1" x14ac:dyDescent="0.25">
      <c r="A11" s="73"/>
      <c r="B11" s="70"/>
      <c r="C11" s="70"/>
      <c r="D11" s="70"/>
      <c r="E11" s="77"/>
      <c r="F11" s="70"/>
      <c r="G11" s="75"/>
    </row>
    <row r="12" spans="1:7" ht="14.25" customHeight="1" thickBot="1" x14ac:dyDescent="0.55000000000000004">
      <c r="A12" s="45"/>
      <c r="B12" s="46"/>
      <c r="C12" s="46"/>
      <c r="D12" s="46"/>
      <c r="E12" s="40"/>
      <c r="F12" s="46"/>
      <c r="G12" s="41"/>
    </row>
    <row r="13" spans="1:7" s="21" customFormat="1" ht="45" x14ac:dyDescent="0.5">
      <c r="A13" s="58">
        <f>G3+1</f>
        <v>45354</v>
      </c>
      <c r="B13" s="59">
        <f t="shared" ref="B13:G13" si="1">A13+1</f>
        <v>45355</v>
      </c>
      <c r="C13" s="59">
        <f t="shared" si="1"/>
        <v>45356</v>
      </c>
      <c r="D13" s="59">
        <f>C13+1</f>
        <v>45357</v>
      </c>
      <c r="E13" s="60">
        <f t="shared" si="1"/>
        <v>45358</v>
      </c>
      <c r="F13" s="59">
        <f t="shared" si="1"/>
        <v>45359</v>
      </c>
      <c r="G13" s="61">
        <f t="shared" si="1"/>
        <v>45360</v>
      </c>
    </row>
    <row r="14" spans="1:7" s="20" customFormat="1" ht="36" customHeight="1" x14ac:dyDescent="0.5">
      <c r="A14" s="28" t="str">
        <f>TEXT(VLOOKUP(A13,Panchanga!$A$3:$AC$463,3,TRUE),"HH:MM AM/PM")&amp;" - "&amp;TEXT(VLOOKUP(A13,Panchanga!$A$3:$AC$463,4,TRUE),"HH:MM AM/PM")</f>
        <v>06:25 AM - 06:17 PM</v>
      </c>
      <c r="B14" s="29" t="str">
        <f>TEXT(VLOOKUP(B13,Panchanga!$A$3:$AC$463,3,TRUE),"HH:MM AM/PM")&amp;" - "&amp;TEXT(VLOOKUP(B13,Panchanga!$A$3:$AC$463,4,TRUE),"HH:MM AM/PM")</f>
        <v>06:24 AM - 06:17 PM</v>
      </c>
      <c r="C14" s="29" t="str">
        <f>TEXT(VLOOKUP(C13,Panchanga!$A$3:$AC$463,3,TRUE),"HH:MM AM/PM")&amp;" - "&amp;TEXT(VLOOKUP(C13,Panchanga!$A$3:$AC$463,4,TRUE),"HH:MM AM/PM")</f>
        <v>06:24 AM - 06:17 PM</v>
      </c>
      <c r="D14" s="29" t="str">
        <f>TEXT(VLOOKUP(D13,Panchanga!$A$3:$AC$463,3,TRUE),"HH:MM AM/PM")&amp;" - "&amp;TEXT(VLOOKUP(D13,Panchanga!$A$3:$AC$463,4,TRUE),"HH:MM AM/PM")</f>
        <v>06:23 AM - 06:17 PM</v>
      </c>
      <c r="E14" s="50" t="str">
        <f>TEXT(VLOOKUP(E13,Panchanga!$A$3:$AC$463,3,TRUE),"HH:MM AM/PM")&amp;" - "&amp;TEXT(VLOOKUP(E13,Panchanga!$A$3:$AC$463,4,TRUE),"HH:MM AM/PM")</f>
        <v>06:23 AM - 06:18 PM</v>
      </c>
      <c r="F14" s="29" t="str">
        <f>TEXT(VLOOKUP(F13,Panchanga!$A$3:$AC$463,3,TRUE),"HH:MM AM/PM")&amp;" - "&amp;TEXT(VLOOKUP(F13,Panchanga!$A$3:$AC$463,4,TRUE),"HH:MM AM/PM")</f>
        <v>06:22 AM - 06:18 PM</v>
      </c>
      <c r="G14" s="52" t="str">
        <f>TEXT(VLOOKUP(G13,Panchanga!$A$3:$AC$463,3,TRUE),"HH:MM AM/PM")&amp;" - "&amp;TEXT(VLOOKUP(G13,Panchanga!$A$3:$AC$463,4,TRUE),"HH:MM AM/PM")</f>
        <v>06:21 AM - 06:18 PM</v>
      </c>
    </row>
    <row r="15" spans="1:7" s="20" customFormat="1" ht="36" customHeight="1" x14ac:dyDescent="0.5">
      <c r="A15" s="31" t="str">
        <f>"Su="&amp;VLOOKUP(A13,Panchanga!$A$3:$AC$463,6,TRUE)&amp;",Mo="&amp;VLOOKUP(A13,Panchanga!$A$3:$AC$463,7,TRUE)</f>
        <v>Su=45354.4730342731,Mo=45354.0384881086</v>
      </c>
      <c r="B15" s="32" t="str">
        <f>"Su="&amp;VLOOKUP(B13,Panchanga!$A$3:$AC$463,6,TRUE)&amp;",Mo="&amp;VLOOKUP(B13,Panchanga!$A$3:$AC$463,7,TRUE)</f>
        <v>Su=45355.5097614044,Mo=45355.0380809134</v>
      </c>
      <c r="C15" s="32" t="str">
        <f>"Su="&amp;VLOOKUP(C13,Panchanga!$A$3:$AC$463,6,TRUE)&amp;",Mo="&amp;VLOOKUP(C13,Panchanga!$A$3:$AC$463,7,TRUE)</f>
        <v>Su=45356.5504826253,Mo=45356.0376680474</v>
      </c>
      <c r="D15" s="32" t="str">
        <f>"Su="&amp;VLOOKUP(D13,Panchanga!$A$3:$AC$463,6,TRUE)&amp;",Mo="&amp;VLOOKUP(D13,Panchanga!$A$3:$AC$463,7,TRUE)</f>
        <v>Su=45357.5941616531,Mo=45357.0372497793</v>
      </c>
      <c r="E15" s="51" t="str">
        <f>"Su="&amp;VLOOKUP(E13,Panchanga!$A$3:$AC$463,6,TRUE)&amp;",Mo="&amp;VLOOKUP(E13,Panchanga!$A$3:$AC$463,7,TRUE)</f>
        <v>Su=45358.6391078654,Mo=45358.0368263698</v>
      </c>
      <c r="F15" s="32" t="str">
        <f>"Su="&amp;VLOOKUP(F13,Panchanga!$A$3:$AC$463,6,TRUE)&amp;",Mo="&amp;VLOOKUP(F13,Panchanga!$A$3:$AC$463,7,TRUE)</f>
        <v>Su=45359.6836949984,Mo=45359.0363980713</v>
      </c>
      <c r="G15" s="53" t="str">
        <f>"Su="&amp;VLOOKUP(G13,Panchanga!$A$3:$AC$463,6,TRUE)&amp;",Mo="&amp;VLOOKUP(G13,Panchanga!$A$3:$AC$463,7,TRUE)</f>
        <v>Su=45360.7269959,Mo=45360.0359651241</v>
      </c>
    </row>
    <row r="16" spans="1:7" s="20" customFormat="1" ht="36" customHeight="1" x14ac:dyDescent="0.5">
      <c r="A16" s="34" t="str">
        <f>VLOOKUP(A13,Panchanga!$A$3:$AC$463,9,TRUE)&amp;"-" &amp; TEXT(VLOOKUP(A13,Panchanga!$A$3:$AC$463,10,TRUE)," HH:MM AM/PM")</f>
        <v>7s11.61- 12:55 AM</v>
      </c>
      <c r="B16" s="35" t="str">
        <f>VLOOKUP(B13,Panchanga!$A$3:$AC$463,9,TRUE)&amp;"-" &amp; TEXT(VLOOKUP(B13,Panchanga!$A$3:$AC$463,10,TRUE)," HH:MM AM/PM")</f>
        <v>7s24.53- 12:54 AM</v>
      </c>
      <c r="C16" s="35" t="str">
        <f>VLOOKUP(C13,Panchanga!$A$3:$AC$463,9,TRUE)&amp;"-" &amp; TEXT(VLOOKUP(C13,Panchanga!$A$3:$AC$463,10,TRUE)," HH:MM AM/PM")</f>
        <v>8s7.87- 12:54 AM</v>
      </c>
      <c r="D16" s="35" t="str">
        <f>VLOOKUP(D13,Panchanga!$A$3:$AC$463,9,TRUE)&amp;"-" &amp; TEXT(VLOOKUP(D13,Panchanga!$A$3:$AC$463,10,TRUE)," HH:MM AM/PM")</f>
        <v>8s21.68- 12:53 AM</v>
      </c>
      <c r="E16" s="43" t="str">
        <f>VLOOKUP(E13,Panchanga!$A$3:$AC$463,9,TRUE)&amp;"-" &amp; TEXT(VLOOKUP(E13,Panchanga!$A$3:$AC$463,10,TRUE)," HH:MM AM/PM")</f>
        <v>9s5.96- 12:53 AM</v>
      </c>
      <c r="F16" s="35" t="str">
        <f>VLOOKUP(F13,Panchanga!$A$3:$AC$463,9,TRUE)&amp;"-" &amp; TEXT(VLOOKUP(F13,Panchanga!$A$3:$AC$463,10,TRUE)," HH:MM AM/PM")</f>
        <v>9s20.66- 12:52 AM</v>
      </c>
      <c r="G16" s="54" t="str">
        <f>VLOOKUP(G13,Panchanga!$A$3:$AC$463,9,TRUE)&amp;"-" &amp; TEXT(VLOOKUP(G13,Panchanga!$A$3:$AC$463,10,TRUE)," HH:MM AM/PM")</f>
        <v>10s5.69- 12:51 AM</v>
      </c>
    </row>
    <row r="17" spans="1:7" s="20" customFormat="1" ht="36" customHeight="1" x14ac:dyDescent="0.5">
      <c r="A17" s="34" t="str">
        <f>VLOOKUP(A13,Panchanga!$A$3:$AC$463,11,TRUE)&amp;" " &amp;VLOOKUP(A13,Panchanga!$A$3:$AC$463,27,TRUE)</f>
        <v>Anuradha 315.968714363328</v>
      </c>
      <c r="B17" s="35" t="str">
        <f>VLOOKUP(B13,Panchanga!$A$3:$AC$463,11,TRUE)&amp;" " &amp;VLOOKUP(B13,Panchanga!$A$3:$AC$463,27,TRUE)</f>
        <v>Jyestha 316.090707928055</v>
      </c>
      <c r="C17" s="35" t="str">
        <f>VLOOKUP(C13,Panchanga!$A$3:$AC$463,11,TRUE)&amp;" " &amp;VLOOKUP(C13,Panchanga!$A$3:$AC$463,27,TRUE)</f>
        <v>Moola 316.212632786192</v>
      </c>
      <c r="D17" s="35" t="str">
        <f>VLOOKUP(D13,Panchanga!$A$3:$AC$463,11,TRUE)&amp;" " &amp;VLOOKUP(D13,Panchanga!$A$3:$AC$463,27,TRUE)</f>
        <v>Purva Asadha 316.334469906848</v>
      </c>
      <c r="E17" s="43" t="str">
        <f>VLOOKUP(E13,Panchanga!$A$3:$AC$463,11,TRUE)&amp;" " &amp;VLOOKUP(E13,Panchanga!$A$3:$AC$463,27,TRUE)</f>
        <v>Uttara Asadha 316.456199984099</v>
      </c>
      <c r="F17" s="35" t="str">
        <f>VLOOKUP(F13,Panchanga!$A$3:$AC$463,11,TRUE)&amp;" " &amp;VLOOKUP(F13,Panchanga!$A$3:$AC$463,27,TRUE)</f>
        <v>Sravana 316.577803174342</v>
      </c>
      <c r="G17" s="54" t="str">
        <f>VLOOKUP(G13,Panchanga!$A$3:$AC$463,11,TRUE)&amp;" " &amp;VLOOKUP(G13,Panchanga!$A$3:$AC$463,27,TRUE)</f>
        <v>Dhanistha 316.699259078088</v>
      </c>
    </row>
    <row r="18" spans="1:7" s="20" customFormat="1" ht="36" customHeight="1" x14ac:dyDescent="0.5">
      <c r="A18" s="37" t="str">
        <f>VLOOKUP(A13,Panchanga!$A$3:$AC$463,13,TRUE)</f>
        <v>K7 (21.91)</v>
      </c>
      <c r="B18" s="38" t="str">
        <f>VLOOKUP(B13,Panchanga!$A$3:$AC$463,13,TRUE)</f>
        <v>K8 (22.9)</v>
      </c>
      <c r="C18" s="38" t="str">
        <f>VLOOKUP(C13,Panchanga!$A$3:$AC$463,13,TRUE)</f>
        <v>K9 (23.93)</v>
      </c>
      <c r="D18" s="38" t="str">
        <f>VLOOKUP(D13,Panchanga!$A$3:$AC$463,13,TRUE)</f>
        <v>K10 (24.99)</v>
      </c>
      <c r="E18" s="47" t="str">
        <f>VLOOKUP(E13,Panchanga!$A$3:$AC$463,13,TRUE)</f>
        <v>K12 (26.1)</v>
      </c>
      <c r="F18" s="38" t="str">
        <f>VLOOKUP(F13,Panchanga!$A$3:$AC$463,13,TRUE)</f>
        <v>K13 (27.24)</v>
      </c>
      <c r="G18" s="48" t="str">
        <f>VLOOKUP(G13,Panchanga!$A$3:$AC$463,13,TRUE)</f>
        <v>K14 (28.41)</v>
      </c>
    </row>
    <row r="19" spans="1:7" s="20" customFormat="1" ht="36" customHeight="1" x14ac:dyDescent="0.5">
      <c r="A19" s="37">
        <f>VLOOKUP(A13,Panchanga!$A$3:$AC$463,14,TRUE)</f>
        <v>0.81000000000000227</v>
      </c>
      <c r="B19" s="38">
        <f>VLOOKUP(B13,Panchanga!$A$3:$AC$463,14,TRUE)</f>
        <v>2.796599999999998</v>
      </c>
      <c r="C19" s="38">
        <f>VLOOKUP(C13,Panchanga!$A$3:$AC$463,14,TRUE)</f>
        <v>4.8539999999999992</v>
      </c>
      <c r="D19" s="38">
        <f>VLOOKUP(D13,Panchanga!$A$3:$AC$463,14,TRUE)</f>
        <v>6.9885999999999981</v>
      </c>
      <c r="E19" s="47">
        <f>VLOOKUP(E13,Panchanga!$A$3:$AC$463,14,TRUE)</f>
        <v>2.2012</v>
      </c>
      <c r="F19" s="38">
        <f>VLOOKUP(F13,Panchanga!$A$3:$AC$463,14,TRUE)</f>
        <v>4.4846000000000004</v>
      </c>
      <c r="G19" s="48">
        <f>VLOOKUP(G13,Panchanga!$A$3:$AC$463,14,TRUE)</f>
        <v>6.8230000000000004</v>
      </c>
    </row>
    <row r="20" spans="1:7" s="20" customFormat="1" ht="36" customHeight="1" x14ac:dyDescent="0.25">
      <c r="A20" s="73">
        <f>VLOOKUP(A13,Panchanga!$A$3:$AC$463,18,TRUE)</f>
        <v>21.905000000000001</v>
      </c>
      <c r="B20" s="69">
        <f>VLOOKUP(B13,Panchanga!$A$3:$AC$463,18,TRUE)</f>
        <v>22.898299999999999</v>
      </c>
      <c r="C20" s="69">
        <f>VLOOKUP(C13,Panchanga!$A$3:$AC$463,18,TRUE)</f>
        <v>23.927</v>
      </c>
      <c r="D20" s="69">
        <f>VLOOKUP(D13,Panchanga!$A$3:$AC$463,18,TRUE)</f>
        <v>24.994299999999999</v>
      </c>
      <c r="E20" s="76">
        <f>VLOOKUP(E13,Panchanga!$A$3:$AC$463,18,TRUE)</f>
        <v>26.1006</v>
      </c>
      <c r="F20" s="69">
        <f>VLOOKUP(F13,Panchanga!$A$3:$AC$463,18,TRUE)</f>
        <v>27.2423</v>
      </c>
      <c r="G20" s="74">
        <f>VLOOKUP(G13,Panchanga!$A$3:$AC$463,18,TRUE)</f>
        <v>28.4115</v>
      </c>
    </row>
    <row r="21" spans="1:7" s="20" customFormat="1" ht="36" customHeight="1" x14ac:dyDescent="0.25">
      <c r="A21" s="73"/>
      <c r="B21" s="70"/>
      <c r="C21" s="70"/>
      <c r="D21" s="70"/>
      <c r="E21" s="77"/>
      <c r="F21" s="70"/>
      <c r="G21" s="75"/>
    </row>
    <row r="22" spans="1:7" ht="14.25" customHeight="1" thickBot="1" x14ac:dyDescent="0.55000000000000004">
      <c r="A22" s="45"/>
      <c r="B22" s="46"/>
      <c r="C22" s="46"/>
      <c r="D22" s="46"/>
      <c r="E22" s="40"/>
      <c r="F22" s="46"/>
      <c r="G22" s="41"/>
    </row>
    <row r="23" spans="1:7" s="22" customFormat="1" ht="45" x14ac:dyDescent="0.35">
      <c r="A23" s="58">
        <f>G13+1</f>
        <v>45361</v>
      </c>
      <c r="B23" s="59">
        <f t="shared" ref="B23:G23" si="2">A23+1</f>
        <v>45362</v>
      </c>
      <c r="C23" s="59">
        <f t="shared" si="2"/>
        <v>45363</v>
      </c>
      <c r="D23" s="59">
        <f t="shared" si="2"/>
        <v>45364</v>
      </c>
      <c r="E23" s="60">
        <f t="shared" si="2"/>
        <v>45365</v>
      </c>
      <c r="F23" s="59">
        <f t="shared" si="2"/>
        <v>45366</v>
      </c>
      <c r="G23" s="61">
        <f t="shared" si="2"/>
        <v>45367</v>
      </c>
    </row>
    <row r="24" spans="1:7" s="20" customFormat="1" ht="36" customHeight="1" x14ac:dyDescent="0.5">
      <c r="A24" s="28" t="str">
        <f>TEXT(VLOOKUP(A23,Panchanga!$A$3:$AC$463,3,TRUE),"HH:MM AM/PM")&amp;" - "&amp;TEXT(VLOOKUP(A23,Panchanga!$A$3:$AC$463,4,TRUE),"HH:MM AM/PM")</f>
        <v>06:21 AM - 06:18 PM</v>
      </c>
      <c r="B24" s="29" t="str">
        <f>TEXT(VLOOKUP(B23,Panchanga!$A$3:$AC$463,3,TRUE),"HH:MM AM/PM")&amp;" - "&amp;TEXT(VLOOKUP(B23,Panchanga!$A$3:$AC$463,4,TRUE),"HH:MM AM/PM")</f>
        <v>06:20 AM - 06:18 PM</v>
      </c>
      <c r="C24" s="29" t="str">
        <f>TEXT(VLOOKUP(C23,Panchanga!$A$3:$AC$463,3,TRUE),"HH:MM AM/PM")&amp;" - "&amp;TEXT(VLOOKUP(C23,Panchanga!$A$3:$AC$463,4,TRUE),"HH:MM AM/PM")</f>
        <v>06:19 AM - 06:18 PM</v>
      </c>
      <c r="D24" s="29" t="str">
        <f>TEXT(VLOOKUP(D23,Panchanga!$A$3:$AC$463,3,TRUE),"HH:MM AM/PM")&amp;" - "&amp;TEXT(VLOOKUP(D23,Panchanga!$A$3:$AC$463,4,TRUE),"HH:MM AM/PM")</f>
        <v>06:19 AM - 06:18 PM</v>
      </c>
      <c r="E24" s="50" t="str">
        <f>TEXT(VLOOKUP(E23,Panchanga!$A$3:$AC$463,3,TRUE),"HH:MM AM/PM")&amp;" - "&amp;TEXT(VLOOKUP(E23,Panchanga!$A$3:$AC$463,4,TRUE),"HH:MM AM/PM")</f>
        <v>06:18 AM - 06:18 PM</v>
      </c>
      <c r="F24" s="29" t="str">
        <f>TEXT(VLOOKUP(F23,Panchanga!$A$3:$AC$463,3,TRUE),"HH:MM AM/PM")&amp;" - "&amp;TEXT(VLOOKUP(F23,Panchanga!$A$3:$AC$463,4,TRUE),"HH:MM AM/PM")</f>
        <v>06:17 AM - 06:19 PM</v>
      </c>
      <c r="G24" s="52" t="str">
        <f>TEXT(VLOOKUP(G23,Panchanga!$A$3:$AC$463,3,TRUE),"HH:MM AM/PM")&amp;" - "&amp;TEXT(VLOOKUP(G23,Panchanga!$A$3:$AC$463,4,TRUE),"HH:MM AM/PM")</f>
        <v>06:17 AM - 06:19 PM</v>
      </c>
    </row>
    <row r="25" spans="1:7" s="20" customFormat="1" ht="36" customHeight="1" x14ac:dyDescent="0.5">
      <c r="A25" s="31" t="str">
        <f>"Su="&amp;VLOOKUP(A23,Panchanga!$A$3:$AC$463,6,TRUE)&amp;",Mo="&amp;VLOOKUP(A23,Panchanga!$A$3:$AC$463,7,TRUE)</f>
        <v>Su=45361.7689086247,Mo=45361.0355277592</v>
      </c>
      <c r="B25" s="32" t="str">
        <f>"Su="&amp;VLOOKUP(B23,Panchanga!$A$3:$AC$463,6,TRUE)&amp;",Mo="&amp;VLOOKUP(B23,Panchanga!$A$3:$AC$463,7,TRUE)</f>
        <v>Su=45362.8098973461,Mo=45362.035086201</v>
      </c>
      <c r="C25" s="32" t="str">
        <f>"Su="&amp;VLOOKUP(C23,Panchanga!$A$3:$AC$463,6,TRUE)&amp;",Mo="&amp;VLOOKUP(C23,Panchanga!$A$3:$AC$463,7,TRUE)</f>
        <v>Su=45363.8506427795,Mo=45363.0346406744</v>
      </c>
      <c r="D25" s="32" t="str">
        <f>"Su="&amp;VLOOKUP(D23,Panchanga!$A$3:$AC$463,6,TRUE)&amp;",Mo="&amp;VLOOKUP(D23,Panchanga!$A$3:$AC$463,7,TRUE)</f>
        <v>Su=45364.8917344875,Mo=45364.0341914081</v>
      </c>
      <c r="E25" s="51" t="str">
        <f>"Su="&amp;VLOOKUP(E23,Panchanga!$A$3:$AC$463,6,TRUE)&amp;",Mo="&amp;VLOOKUP(E23,Panchanga!$A$3:$AC$463,7,TRUE)</f>
        <v>Su=45365.9334091737,Mo=45365.0337386438</v>
      </c>
      <c r="F25" s="32" t="str">
        <f>"Su="&amp;VLOOKUP(F23,Panchanga!$A$3:$AC$463,6,TRUE)&amp;",Mo="&amp;VLOOKUP(F23,Panchanga!$A$3:$AC$463,7,TRUE)</f>
        <v>Su=45366.9753544467,Mo=45366.0332826352</v>
      </c>
      <c r="G25" s="53" t="str">
        <f>"Su="&amp;VLOOKUP(G23,Panchanga!$A$3:$AC$463,6,TRUE)&amp;",Mo="&amp;VLOOKUP(G23,Panchanga!$A$3:$AC$463,7,TRUE)</f>
        <v>Su=45368.0166865724,Mo=45367.0328236478</v>
      </c>
    </row>
    <row r="26" spans="1:7" s="20" customFormat="1" ht="36" customHeight="1" x14ac:dyDescent="0.5">
      <c r="A26" s="34" t="str">
        <f>VLOOKUP(A23,Panchanga!$A$3:$AC$463,9,TRUE)&amp;"-" &amp; TEXT(VLOOKUP(A23,Panchanga!$A$3:$AC$463,10,TRUE)," HH:MM AM/PM")</f>
        <v>10s20.91- 12:51 AM</v>
      </c>
      <c r="B26" s="35" t="str">
        <f>VLOOKUP(B23,Panchanga!$A$3:$AC$463,9,TRUE)&amp;"-" &amp; TEXT(VLOOKUP(B23,Panchanga!$A$3:$AC$463,10,TRUE)," HH:MM AM/PM")</f>
        <v>11s6.14- 12:50 AM</v>
      </c>
      <c r="C26" s="35" t="str">
        <f>VLOOKUP(C23,Panchanga!$A$3:$AC$463,9,TRUE)&amp;"-" &amp; TEXT(VLOOKUP(C23,Panchanga!$A$3:$AC$463,10,TRUE)," HH:MM AM/PM")</f>
        <v>11s21.23- 12:49 AM</v>
      </c>
      <c r="D26" s="35" t="str">
        <f>VLOOKUP(D23,Panchanga!$A$3:$AC$463,9,TRUE)&amp;"-" &amp; TEXT(VLOOKUP(D23,Panchanga!$A$3:$AC$463,10,TRUE)," HH:MM AM/PM")</f>
        <v>0s6.02- 12:49 AM</v>
      </c>
      <c r="E26" s="43" t="str">
        <f>VLOOKUP(E23,Panchanga!$A$3:$AC$463,9,TRUE)&amp;"-" &amp; TEXT(VLOOKUP(E23,Panchanga!$A$3:$AC$463,10,TRUE)," HH:MM AM/PM")</f>
        <v>0s20.43- 12:48 AM</v>
      </c>
      <c r="F26" s="35" t="str">
        <f>VLOOKUP(F23,Panchanga!$A$3:$AC$463,9,TRUE)&amp;"-" &amp; TEXT(VLOOKUP(F23,Panchanga!$A$3:$AC$463,10,TRUE)," HH:MM AM/PM")</f>
        <v>1s4.4- 12:47 AM</v>
      </c>
      <c r="G26" s="54" t="str">
        <f>VLOOKUP(G23,Panchanga!$A$3:$AC$463,9,TRUE)&amp;"-" &amp; TEXT(VLOOKUP(G23,Panchanga!$A$3:$AC$463,10,TRUE)," HH:MM AM/PM")</f>
        <v>1s17.93- 12:47 AM</v>
      </c>
    </row>
    <row r="27" spans="1:7" s="20" customFormat="1" ht="36" customHeight="1" x14ac:dyDescent="0.5">
      <c r="A27" s="34" t="str">
        <f>VLOOKUP(A23,Panchanga!$A$3:$AC$463,11,TRUE)&amp;" " &amp;VLOOKUP(A23,Panchanga!$A$3:$AC$463,27,TRUE)</f>
        <v>Purva Bhadrapada 316.820546837112</v>
      </c>
      <c r="B27" s="35" t="str">
        <f>VLOOKUP(B23,Panchanga!$A$3:$AC$463,11,TRUE)&amp;" " &amp;VLOOKUP(B23,Panchanga!$A$3:$AC$463,27,TRUE)</f>
        <v>Uttara Bhadrapada 316.941645343513</v>
      </c>
      <c r="C27" s="35" t="str">
        <f>VLOOKUP(C23,Panchanga!$A$3:$AC$463,11,TRUE)&amp;" " &amp;VLOOKUP(C23,Panchanga!$A$3:$AC$463,27,TRUE)</f>
        <v>Revati 317.06253352185</v>
      </c>
      <c r="D27" s="35" t="str">
        <f>VLOOKUP(D23,Panchanga!$A$3:$AC$463,11,TRUE)&amp;" " &amp;VLOOKUP(D23,Panchanga!$A$3:$AC$463,27,TRUE)</f>
        <v>Aswini 317.183190621683</v>
      </c>
      <c r="E27" s="43" t="str">
        <f>VLOOKUP(E23,Panchanga!$A$3:$AC$463,11,TRUE)&amp;" " &amp;VLOOKUP(E23,Panchanga!$A$3:$AC$463,27,TRUE)</f>
        <v>Bharani 317.30359644241</v>
      </c>
      <c r="F27" s="35" t="str">
        <f>VLOOKUP(F23,Panchanga!$A$3:$AC$463,11,TRUE)&amp;" " &amp;VLOOKUP(F23,Panchanga!$A$3:$AC$463,27,TRUE)</f>
        <v>Krittika 317.423731445848</v>
      </c>
      <c r="G27" s="54" t="str">
        <f>VLOOKUP(G23,Panchanga!$A$3:$AC$463,11,TRUE)&amp;" " &amp;VLOOKUP(G23,Panchanga!$A$3:$AC$463,27,TRUE)</f>
        <v>Rohini 317.543576745679</v>
      </c>
    </row>
    <row r="28" spans="1:7" s="20" customFormat="1" ht="36" customHeight="1" x14ac:dyDescent="0.5">
      <c r="A28" s="37" t="str">
        <f>VLOOKUP(A23,Panchanga!$A$3:$AC$463,13,TRUE)</f>
        <v>K15 (29.6)</v>
      </c>
      <c r="B28" s="38" t="str">
        <f>VLOOKUP(B23,Panchanga!$A$3:$AC$463,13,TRUE)</f>
        <v>S1 (0.78)</v>
      </c>
      <c r="C28" s="38" t="str">
        <f>VLOOKUP(C23,Panchanga!$A$3:$AC$463,13,TRUE)</f>
        <v>S2 (1.96)</v>
      </c>
      <c r="D28" s="38" t="str">
        <f>VLOOKUP(D23,Panchanga!$A$3:$AC$463,13,TRUE)</f>
        <v>S4 (3.11)</v>
      </c>
      <c r="E28" s="47" t="str">
        <f>VLOOKUP(E23,Panchanga!$A$3:$AC$463,13,TRUE)</f>
        <v>S5 (4.22)</v>
      </c>
      <c r="F28" s="38" t="str">
        <f>VLOOKUP(F23,Panchanga!$A$3:$AC$463,13,TRUE)</f>
        <v>S6 (5.31)</v>
      </c>
      <c r="G28" s="48" t="str">
        <f>VLOOKUP(G23,Panchanga!$A$3:$AC$463,13,TRUE)</f>
        <v>S7 (6.35)</v>
      </c>
    </row>
    <row r="29" spans="1:7" s="20" customFormat="1" ht="36" customHeight="1" x14ac:dyDescent="0.5">
      <c r="A29" s="37">
        <f>VLOOKUP(A23,Panchanga!$A$3:$AC$463,14,TRUE)</f>
        <v>9.1923999999999921</v>
      </c>
      <c r="B29" s="38">
        <f>VLOOKUP(B23,Panchanga!$A$3:$AC$463,14,TRUE)</f>
        <v>0.56519999999999992</v>
      </c>
      <c r="C29" s="38">
        <f>VLOOKUP(C23,Panchanga!$A$3:$AC$463,14,TRUE)</f>
        <v>2.9131999999999998</v>
      </c>
      <c r="D29" s="38">
        <f>VLOOKUP(D23,Panchanga!$A$3:$AC$463,14,TRUE)</f>
        <v>5.2130000000000001</v>
      </c>
      <c r="E29" s="47">
        <f>VLOOKUP(E23,Panchanga!$A$3:$AC$463,14,TRUE)</f>
        <v>0.44819999999999993</v>
      </c>
      <c r="F29" s="38">
        <f>VLOOKUP(F23,Panchanga!$A$3:$AC$463,14,TRUE)</f>
        <v>2.6105999999999998</v>
      </c>
      <c r="G29" s="48">
        <f>VLOOKUP(G23,Panchanga!$A$3:$AC$463,14,TRUE)</f>
        <v>4.6991999999999994</v>
      </c>
    </row>
    <row r="30" spans="1:7" s="20" customFormat="1" ht="36" customHeight="1" x14ac:dyDescent="0.25">
      <c r="A30" s="73">
        <f>VLOOKUP(A23,Panchanga!$A$3:$AC$463,18,TRUE)</f>
        <v>29.5962</v>
      </c>
      <c r="B30" s="69">
        <f>VLOOKUP(B23,Panchanga!$A$3:$AC$463,18,TRUE)</f>
        <v>0.78259999999999996</v>
      </c>
      <c r="C30" s="69">
        <f>VLOOKUP(C23,Panchanga!$A$3:$AC$463,18,TRUE)</f>
        <v>1.9565999999999999</v>
      </c>
      <c r="D30" s="69">
        <f>VLOOKUP(D23,Panchanga!$A$3:$AC$463,18,TRUE)</f>
        <v>3.1065</v>
      </c>
      <c r="E30" s="76">
        <f>VLOOKUP(E23,Panchanga!$A$3:$AC$463,18,TRUE)</f>
        <v>4.2241</v>
      </c>
      <c r="F30" s="69">
        <f>VLOOKUP(F23,Panchanga!$A$3:$AC$463,18,TRUE)</f>
        <v>5.3052999999999999</v>
      </c>
      <c r="G30" s="74">
        <f>VLOOKUP(G23,Panchanga!$A$3:$AC$463,18,TRUE)</f>
        <v>6.3495999999999997</v>
      </c>
    </row>
    <row r="31" spans="1:7" s="20" customFormat="1" ht="36" customHeight="1" x14ac:dyDescent="0.25">
      <c r="A31" s="73"/>
      <c r="B31" s="70"/>
      <c r="C31" s="70"/>
      <c r="D31" s="70"/>
      <c r="E31" s="77"/>
      <c r="F31" s="70"/>
      <c r="G31" s="75"/>
    </row>
    <row r="32" spans="1:7" ht="14.25" customHeight="1" thickBot="1" x14ac:dyDescent="0.55000000000000004">
      <c r="A32" s="45"/>
      <c r="B32" s="46"/>
      <c r="C32" s="46"/>
      <c r="D32" s="46"/>
      <c r="E32" s="40"/>
      <c r="F32" s="46"/>
      <c r="G32" s="41"/>
    </row>
    <row r="33" spans="1:7" s="21" customFormat="1" ht="45" x14ac:dyDescent="0.5">
      <c r="A33" s="58">
        <f>G23+1</f>
        <v>45368</v>
      </c>
      <c r="B33" s="59">
        <f t="shared" ref="B33:G33" si="3">A33+1</f>
        <v>45369</v>
      </c>
      <c r="C33" s="59">
        <f t="shared" si="3"/>
        <v>45370</v>
      </c>
      <c r="D33" s="59">
        <f t="shared" si="3"/>
        <v>45371</v>
      </c>
      <c r="E33" s="60">
        <f t="shared" si="3"/>
        <v>45372</v>
      </c>
      <c r="F33" s="59">
        <f t="shared" si="3"/>
        <v>45373</v>
      </c>
      <c r="G33" s="61">
        <f t="shared" si="3"/>
        <v>45374</v>
      </c>
    </row>
    <row r="34" spans="1:7" s="20" customFormat="1" ht="36" customHeight="1" x14ac:dyDescent="0.5">
      <c r="A34" s="28" t="str">
        <f>TEXT(VLOOKUP(A33,Panchanga!$A$3:$AC$463,3,TRUE),"HH:MM AM/PM")&amp;" - "&amp;TEXT(VLOOKUP(A33,Panchanga!$A$3:$AC$463,4,TRUE),"HH:MM AM/PM")</f>
        <v>06:16 AM - 06:19 PM</v>
      </c>
      <c r="B34" s="29" t="str">
        <f>TEXT(VLOOKUP(B33,Panchanga!$A$3:$AC$463,3,TRUE),"HH:MM AM/PM")&amp;" - "&amp;TEXT(VLOOKUP(B33,Panchanga!$A$3:$AC$463,4,TRUE),"HH:MM AM/PM")</f>
        <v>06:15 AM - 06:19 PM</v>
      </c>
      <c r="C34" s="29" t="str">
        <f>TEXT(VLOOKUP(C33,Panchanga!$A$3:$AC$463,3,TRUE),"HH:MM AM/PM")&amp;" - "&amp;TEXT(VLOOKUP(C33,Panchanga!$A$3:$AC$463,4,TRUE),"HH:MM AM/PM")</f>
        <v>06:15 AM - 06:19 PM</v>
      </c>
      <c r="D34" s="29" t="str">
        <f>TEXT(VLOOKUP(D33,Panchanga!$A$3:$AC$463,3,TRUE),"HH:MM AM/PM")&amp;" - "&amp;TEXT(VLOOKUP(D33,Panchanga!$A$3:$AC$463,4,TRUE),"HH:MM AM/PM")</f>
        <v>06:14 AM - 06:19 PM</v>
      </c>
      <c r="E34" s="50" t="str">
        <f>TEXT(VLOOKUP(E33,Panchanga!$A$3:$AC$463,3,TRUE),"HH:MM AM/PM")&amp;" - "&amp;TEXT(VLOOKUP(E33,Panchanga!$A$3:$AC$463,4,TRUE),"HH:MM AM/PM")</f>
        <v>06:13 AM - 06:19 PM</v>
      </c>
      <c r="F34" s="29" t="str">
        <f>TEXT(VLOOKUP(F33,Panchanga!$A$3:$AC$463,3,TRUE),"HH:MM AM/PM")&amp;" - "&amp;TEXT(VLOOKUP(F33,Panchanga!$A$3:$AC$463,4,TRUE),"HH:MM AM/PM")</f>
        <v>06:13 AM - 06:19 PM</v>
      </c>
      <c r="G34" s="52" t="str">
        <f>TEXT(VLOOKUP(G33,Panchanga!$A$3:$AC$463,3,TRUE),"HH:MM AM/PM")&amp;" - "&amp;TEXT(VLOOKUP(G33,Panchanga!$A$3:$AC$463,4,TRUE),"HH:MM AM/PM")</f>
        <v>06:12 AM - 06:19 PM</v>
      </c>
    </row>
    <row r="35" spans="1:7" s="20" customFormat="1" ht="36" customHeight="1" x14ac:dyDescent="0.5">
      <c r="A35" s="31" t="str">
        <f>"Su="&amp;VLOOKUP(A33,Panchanga!$A$3:$AC$463,6,TRUE)&amp;",Mo="&amp;VLOOKUP(A33,Panchanga!$A$3:$AC$463,7,TRUE)</f>
        <v>Su=45369.0562154797,Mo=45368.0323619581</v>
      </c>
      <c r="B35" s="32" t="str">
        <f>"Su="&amp;VLOOKUP(B33,Panchanga!$A$3:$AC$463,6,TRUE)&amp;",Mo="&amp;VLOOKUP(B33,Panchanga!$A$3:$AC$463,7,TRUE)</f>
        <v>Su=45370.0929093465,Mo=45369.0318978494</v>
      </c>
      <c r="C35" s="32" t="str">
        <f>"Su="&amp;VLOOKUP(C33,Panchanga!$A$3:$AC$463,6,TRUE)&amp;",Mo="&amp;VLOOKUP(C33,Panchanga!$A$3:$AC$463,7,TRUE)</f>
        <v>Su=45371.1262568647,Mo=45370.0314316092</v>
      </c>
      <c r="D35" s="32" t="str">
        <f>"Su="&amp;VLOOKUP(D33,Panchanga!$A$3:$AC$463,6,TRUE)&amp;",Mo="&amp;VLOOKUP(D33,Panchanga!$A$3:$AC$463,7,TRUE)</f>
        <v>Su=45372.1563233148,Mo=45371.0309635298</v>
      </c>
      <c r="E35" s="51" t="str">
        <f>"Su="&amp;VLOOKUP(E33,Panchanga!$A$3:$AC$463,6,TRUE)&amp;",Mo="&amp;VLOOKUP(E33,Panchanga!$A$3:$AC$463,7,TRUE)</f>
        <v>Su=45373.1835806516,Mo=45372.0304939066</v>
      </c>
      <c r="F35" s="32" t="str">
        <f>"Su="&amp;VLOOKUP(F33,Panchanga!$A$3:$AC$463,6,TRUE)&amp;",Mo="&amp;VLOOKUP(F33,Panchanga!$A$3:$AC$463,7,TRUE)</f>
        <v>Su=45374.2087012126,Mo=45373.030023036</v>
      </c>
      <c r="G35" s="53" t="str">
        <f>"Su="&amp;VLOOKUP(G33,Panchanga!$A$3:$AC$463,6,TRUE)&amp;",Mo="&amp;VLOOKUP(G33,Panchanga!$A$3:$AC$463,7,TRUE)</f>
        <v>Su=45375.2324207888,Mo=45374.0295512182</v>
      </c>
    </row>
    <row r="36" spans="1:7" s="20" customFormat="1" ht="36" customHeight="1" x14ac:dyDescent="0.5">
      <c r="A36" s="34" t="str">
        <f>VLOOKUP(A33,Panchanga!$A$3:$AC$463,9,TRUE)&amp;"-" &amp; TEXT(VLOOKUP(A33,Panchanga!$A$3:$AC$463,10,TRUE)," HH:MM AM/PM")</f>
        <v>2s1.04- 12:46 AM</v>
      </c>
      <c r="B36" s="35" t="str">
        <f>VLOOKUP(B33,Panchanga!$A$3:$AC$463,9,TRUE)&amp;"-" &amp; TEXT(VLOOKUP(B33,Panchanga!$A$3:$AC$463,10,TRUE)," HH:MM AM/PM")</f>
        <v>2s13.79- 12:45 AM</v>
      </c>
      <c r="C36" s="35" t="str">
        <f>VLOOKUP(C33,Panchanga!$A$3:$AC$463,9,TRUE)&amp;"-" &amp; TEXT(VLOOKUP(C33,Panchanga!$A$3:$AC$463,10,TRUE)," HH:MM AM/PM")</f>
        <v>2s26.23- 12:45 AM</v>
      </c>
      <c r="D36" s="35" t="str">
        <f>VLOOKUP(D33,Panchanga!$A$3:$AC$463,9,TRUE)&amp;"-" &amp; TEXT(VLOOKUP(D33,Panchanga!$A$3:$AC$463,10,TRUE)," HH:MM AM/PM")</f>
        <v>3s8.44- 12:44 AM</v>
      </c>
      <c r="E36" s="43" t="str">
        <f>VLOOKUP(E33,Panchanga!$A$3:$AC$463,9,TRUE)&amp;"-" &amp; TEXT(VLOOKUP(E33,Panchanga!$A$3:$AC$463,10,TRUE)," HH:MM AM/PM")</f>
        <v>3s20.46- 12:43 AM</v>
      </c>
      <c r="F36" s="35" t="str">
        <f>VLOOKUP(F33,Panchanga!$A$3:$AC$463,9,TRUE)&amp;"-" &amp; TEXT(VLOOKUP(F33,Panchanga!$A$3:$AC$463,10,TRUE)," HH:MM AM/PM")</f>
        <v>4s2.37- 12:43 AM</v>
      </c>
      <c r="G36" s="54" t="str">
        <f>VLOOKUP(G33,Panchanga!$A$3:$AC$463,9,TRUE)&amp;"-" &amp; TEXT(VLOOKUP(G33,Panchanga!$A$3:$AC$463,10,TRUE)," HH:MM AM/PM")</f>
        <v>4s14.2- 12:42 AM</v>
      </c>
    </row>
    <row r="37" spans="1:7" s="20" customFormat="1" ht="36" customHeight="1" x14ac:dyDescent="0.5">
      <c r="A37" s="34" t="str">
        <f>VLOOKUP(A33,Panchanga!$A$3:$AC$463,11,TRUE)&amp;" " &amp;VLOOKUP(A33,Panchanga!$A$3:$AC$463,27,TRUE)</f>
        <v>Mrigashira 317.663114029653</v>
      </c>
      <c r="B37" s="35" t="str">
        <f>VLOOKUP(B33,Panchanga!$A$3:$AC$463,11,TRUE)&amp;" " &amp;VLOOKUP(B33,Panchanga!$A$3:$AC$463,27,TRUE)</f>
        <v>Ardra 317.782325449378</v>
      </c>
      <c r="C37" s="35" t="str">
        <f>VLOOKUP(C33,Panchanga!$A$3:$AC$463,11,TRUE)&amp;" " &amp;VLOOKUP(C33,Panchanga!$A$3:$AC$463,27,TRUE)</f>
        <v>Punarvasu 317.901193528009</v>
      </c>
      <c r="D37" s="35" t="str">
        <f>VLOOKUP(D33,Panchanga!$A$3:$AC$463,11,TRUE)&amp;" " &amp;VLOOKUP(D33,Panchanga!$A$3:$AC$463,27,TRUE)</f>
        <v>Pushya 318.019701089956</v>
      </c>
      <c r="E37" s="43" t="str">
        <f>VLOOKUP(E33,Panchanga!$A$3:$AC$463,11,TRUE)&amp;" " &amp;VLOOKUP(E33,Panchanga!$A$3:$AC$463,27,TRUE)</f>
        <v>Aslesha 318.137831206456</v>
      </c>
      <c r="F37" s="35" t="str">
        <f>VLOOKUP(F33,Panchanga!$A$3:$AC$463,11,TRUE)&amp;" " &amp;VLOOKUP(F33,Panchanga!$A$3:$AC$463,27,TRUE)</f>
        <v>Makha 318.255567151622</v>
      </c>
      <c r="G37" s="54" t="str">
        <f>VLOOKUP(G33,Panchanga!$A$3:$AC$463,11,TRUE)&amp;" " &amp;VLOOKUP(G33,Panchanga!$A$3:$AC$463,27,TRUE)</f>
        <v>Purva Phalguni 318.37289234786</v>
      </c>
    </row>
    <row r="38" spans="1:7" s="20" customFormat="1" ht="36" customHeight="1" x14ac:dyDescent="0.5">
      <c r="A38" s="37" t="str">
        <f>VLOOKUP(A33,Panchanga!$A$3:$AC$463,13,TRUE)</f>
        <v>S8 (7.36)</v>
      </c>
      <c r="B38" s="38" t="str">
        <f>VLOOKUP(B33,Panchanga!$A$3:$AC$463,13,TRUE)</f>
        <v>S9 (8.34)</v>
      </c>
      <c r="C38" s="38" t="str">
        <f>VLOOKUP(C33,Panchanga!$A$3:$AC$463,13,TRUE)</f>
        <v>S10 (9.29)</v>
      </c>
      <c r="D38" s="38" t="str">
        <f>VLOOKUP(D33,Panchanga!$A$3:$AC$463,13,TRUE)</f>
        <v>S11 (10.23)</v>
      </c>
      <c r="E38" s="47" t="str">
        <f>VLOOKUP(E33,Panchanga!$A$3:$AC$463,13,TRUE)</f>
        <v>S12 (11.15)</v>
      </c>
      <c r="F38" s="38" t="str">
        <f>VLOOKUP(F33,Panchanga!$A$3:$AC$463,13,TRUE)</f>
        <v>S13 (12.06)</v>
      </c>
      <c r="G38" s="48" t="str">
        <f>VLOOKUP(G33,Panchanga!$A$3:$AC$463,13,TRUE)</f>
        <v>S13 (12.96)</v>
      </c>
    </row>
    <row r="39" spans="1:7" s="20" customFormat="1" ht="36" customHeight="1" x14ac:dyDescent="0.5">
      <c r="A39" s="37">
        <f>VLOOKUP(A33,Panchanga!$A$3:$AC$463,14,TRUE)</f>
        <v>6.7187999999999999</v>
      </c>
      <c r="B39" s="38">
        <f>VLOOKUP(B33,Panchanga!$A$3:$AC$463,14,TRUE)</f>
        <v>1.6775999999999982</v>
      </c>
      <c r="C39" s="38">
        <f>VLOOKUP(C33,Panchanga!$A$3:$AC$463,14,TRUE)</f>
        <v>3.5859999999999985</v>
      </c>
      <c r="D39" s="38">
        <f>VLOOKUP(D33,Panchanga!$A$3:$AC$463,14,TRUE)</f>
        <v>5.4542000000000002</v>
      </c>
      <c r="E39" s="47">
        <f>VLOOKUP(E33,Panchanga!$A$3:$AC$463,14,TRUE)</f>
        <v>0.29299999999999926</v>
      </c>
      <c r="F39" s="38">
        <f>VLOOKUP(F33,Panchanga!$A$3:$AC$463,14,TRUE)</f>
        <v>2.1113999999999997</v>
      </c>
      <c r="G39" s="48">
        <f>VLOOKUP(G33,Panchanga!$A$3:$AC$463,14,TRUE)</f>
        <v>3.9179999999999993</v>
      </c>
    </row>
    <row r="40" spans="1:7" s="20" customFormat="1" ht="36" customHeight="1" x14ac:dyDescent="0.25">
      <c r="A40" s="73">
        <f>VLOOKUP(A33,Panchanga!$A$3:$AC$463,18,TRUE)</f>
        <v>7.3593999999999999</v>
      </c>
      <c r="B40" s="69">
        <f>VLOOKUP(B33,Panchanga!$A$3:$AC$463,18,TRUE)</f>
        <v>8.3387999999999991</v>
      </c>
      <c r="C40" s="69">
        <f>VLOOKUP(C33,Panchanga!$A$3:$AC$463,18,TRUE)</f>
        <v>9.2929999999999993</v>
      </c>
      <c r="D40" s="69">
        <f>VLOOKUP(D33,Panchanga!$A$3:$AC$463,18,TRUE)</f>
        <v>10.2271</v>
      </c>
      <c r="E40" s="76">
        <f>VLOOKUP(E33,Panchanga!$A$3:$AC$463,18,TRUE)</f>
        <v>11.1465</v>
      </c>
      <c r="F40" s="69">
        <f>VLOOKUP(F33,Panchanga!$A$3:$AC$463,18,TRUE)</f>
        <v>12.0557</v>
      </c>
      <c r="G40" s="74">
        <f>VLOOKUP(G33,Panchanga!$A$3:$AC$463,18,TRUE)</f>
        <v>12.959</v>
      </c>
    </row>
    <row r="41" spans="1:7" s="20" customFormat="1" ht="36" customHeight="1" x14ac:dyDescent="0.25">
      <c r="A41" s="73"/>
      <c r="B41" s="70"/>
      <c r="C41" s="70"/>
      <c r="D41" s="70"/>
      <c r="E41" s="77"/>
      <c r="F41" s="70"/>
      <c r="G41" s="75"/>
    </row>
    <row r="42" spans="1:7" ht="14.25" customHeight="1" thickBot="1" x14ac:dyDescent="0.55000000000000004">
      <c r="A42" s="45"/>
      <c r="B42" s="46"/>
      <c r="C42" s="46"/>
      <c r="D42" s="46"/>
      <c r="E42" s="40"/>
      <c r="F42" s="46"/>
      <c r="G42" s="41"/>
    </row>
    <row r="43" spans="1:7" s="21" customFormat="1" ht="45" x14ac:dyDescent="0.5">
      <c r="A43" s="58">
        <f>G33+1</f>
        <v>45375</v>
      </c>
      <c r="B43" s="59">
        <f t="shared" ref="B43:G43" si="4">A43+1</f>
        <v>45376</v>
      </c>
      <c r="C43" s="59">
        <f t="shared" si="4"/>
        <v>45377</v>
      </c>
      <c r="D43" s="59">
        <f t="shared" si="4"/>
        <v>45378</v>
      </c>
      <c r="E43" s="60">
        <f t="shared" si="4"/>
        <v>45379</v>
      </c>
      <c r="F43" s="59">
        <f t="shared" si="4"/>
        <v>45380</v>
      </c>
      <c r="G43" s="61">
        <f t="shared" si="4"/>
        <v>45381</v>
      </c>
    </row>
    <row r="44" spans="1:7" s="20" customFormat="1" ht="36" customHeight="1" x14ac:dyDescent="0.5">
      <c r="A44" s="28" t="str">
        <f>TEXT(VLOOKUP(A43,Panchanga!$A$3:$AC$463,3,TRUE),"HH:MM AM/PM")&amp;" - "&amp;TEXT(VLOOKUP(A43,Panchanga!$A$3:$AC$463,4,TRUE),"HH:MM AM/PM")</f>
        <v>06:11 AM - 06:19 PM</v>
      </c>
      <c r="B44" s="29" t="str">
        <f>TEXT(VLOOKUP(B43,Panchanga!$A$3:$AC$463,3,TRUE),"HH:MM AM/PM")&amp;" - "&amp;TEXT(VLOOKUP(B43,Panchanga!$A$3:$AC$463,4,TRUE),"HH:MM AM/PM")</f>
        <v>06:11 AM - 06:19 PM</v>
      </c>
      <c r="C44" s="29" t="str">
        <f>TEXT(VLOOKUP(C43,Panchanga!$A$3:$AC$463,3,TRUE),"HH:MM AM/PM")&amp;" - "&amp;TEXT(VLOOKUP(C43,Panchanga!$A$3:$AC$463,4,TRUE),"HH:MM AM/PM")</f>
        <v>06:10 AM - 06:19 PM</v>
      </c>
      <c r="D44" s="29" t="str">
        <f>TEXT(VLOOKUP(D43,Panchanga!$A$3:$AC$463,3,TRUE),"HH:MM AM/PM")&amp;" - "&amp;TEXT(VLOOKUP(D43,Panchanga!$A$3:$AC$463,4,TRUE),"HH:MM AM/PM")</f>
        <v>06:09 AM - 06:20 PM</v>
      </c>
      <c r="E44" s="50" t="str">
        <f>TEXT(VLOOKUP(E43,Panchanga!$A$3:$AC$463,3,TRUE),"HH:MM AM/PM")&amp;" - "&amp;TEXT(VLOOKUP(E43,Panchanga!$A$3:$AC$463,4,TRUE),"HH:MM AM/PM")</f>
        <v>06:09 AM - 06:20 PM</v>
      </c>
      <c r="F44" s="29" t="str">
        <f>TEXT(VLOOKUP(F43,Panchanga!$A$3:$AC$463,3,TRUE),"HH:MM AM/PM")&amp;" - "&amp;TEXT(VLOOKUP(F43,Panchanga!$A$3:$AC$463,4,TRUE),"HH:MM AM/PM")</f>
        <v>06:08 AM - 06:20 PM</v>
      </c>
      <c r="G44" s="52" t="str">
        <f>TEXT(VLOOKUP(G43,Panchanga!$A$3:$AC$463,3,TRUE),"HH:MM AM/PM")&amp;" - "&amp;TEXT(VLOOKUP(G43,Panchanga!$A$3:$AC$463,4,TRUE),"HH:MM AM/PM")</f>
        <v>06:07 AM - 06:20 PM</v>
      </c>
    </row>
    <row r="45" spans="1:7" s="20" customFormat="1" ht="36" customHeight="1" x14ac:dyDescent="0.5">
      <c r="A45" s="31" t="str">
        <f>"Su="&amp;VLOOKUP(A43,Panchanga!$A$3:$AC$463,6,TRUE)&amp;",Mo="&amp;VLOOKUP(A43,Panchanga!$A$3:$AC$463,7,TRUE)</f>
        <v>Su=45376.2554802216,Mo=45375.0290787541</v>
      </c>
      <c r="B45" s="32" t="str">
        <f>"Su="&amp;VLOOKUP(B43,Panchanga!$A$3:$AC$463,6,TRUE)&amp;",Mo="&amp;VLOOKUP(B43,Panchanga!$A$3:$AC$463,7,TRUE)</f>
        <v>Su=45377.2786181915,Mo=45376.0286059454</v>
      </c>
      <c r="C45" s="32" t="str">
        <f>"Su="&amp;VLOOKUP(C43,Panchanga!$A$3:$AC$463,6,TRUE)&amp;",Mo="&amp;VLOOKUP(C43,Panchanga!$A$3:$AC$463,7,TRUE)</f>
        <v>Su=45378.302587181,Mo=45377.0281330943</v>
      </c>
      <c r="D45" s="32" t="str">
        <f>"Su="&amp;VLOOKUP(D43,Panchanga!$A$3:$AC$463,6,TRUE)&amp;",Mo="&amp;VLOOKUP(D43,Panchanga!$A$3:$AC$463,7,TRUE)</f>
        <v>Su=45379.3281692538,Mo=45378.0276605021</v>
      </c>
      <c r="E45" s="51" t="str">
        <f>"Su="&amp;VLOOKUP(E43,Panchanga!$A$3:$AC$463,6,TRUE)&amp;",Mo="&amp;VLOOKUP(E43,Panchanga!$A$3:$AC$463,7,TRUE)</f>
        <v>Su=45380.3561651415,Mo=45379.0271884687</v>
      </c>
      <c r="F45" s="32" t="str">
        <f>"Su="&amp;VLOOKUP(F43,Panchanga!$A$3:$AC$463,6,TRUE)&amp;",Mo="&amp;VLOOKUP(F43,Panchanga!$A$3:$AC$463,7,TRUE)</f>
        <v>Su=45381.3873189657,Mo=45380.0267172926</v>
      </c>
      <c r="G45" s="53" t="str">
        <f>"Su="&amp;VLOOKUP(G43,Panchanga!$A$3:$AC$463,6,TRUE)&amp;",Mo="&amp;VLOOKUP(G43,Panchanga!$A$3:$AC$463,7,TRUE)</f>
        <v>Su=45382.4221380978,Mo=45381.026247269</v>
      </c>
    </row>
    <row r="46" spans="1:7" s="20" customFormat="1" ht="36" customHeight="1" x14ac:dyDescent="0.5">
      <c r="A46" s="34" t="str">
        <f>VLOOKUP(A43,Panchanga!$A$3:$AC$463,9,TRUE)&amp;"-" &amp; TEXT(VLOOKUP(A43,Panchanga!$A$3:$AC$463,10,TRUE)," HH:MM AM/PM")</f>
        <v>4s26- 12:41 AM</v>
      </c>
      <c r="B46" s="35" t="str">
        <f>VLOOKUP(B43,Panchanga!$A$3:$AC$463,9,TRUE)&amp;"-" &amp; TEXT(VLOOKUP(B43,Panchanga!$A$3:$AC$463,10,TRUE)," HH:MM AM/PM")</f>
        <v>5s7.81- 12:41 AM</v>
      </c>
      <c r="C46" s="35" t="str">
        <f>VLOOKUP(C43,Panchanga!$A$3:$AC$463,9,TRUE)&amp;"-" &amp; TEXT(VLOOKUP(C43,Panchanga!$A$3:$AC$463,10,TRUE)," HH:MM AM/PM")</f>
        <v>5s19.67- 12:40 AM</v>
      </c>
      <c r="D46" s="35" t="str">
        <f>VLOOKUP(D43,Panchanga!$A$3:$AC$463,9,TRUE)&amp;"-" &amp; TEXT(VLOOKUP(D43,Panchanga!$A$3:$AC$463,10,TRUE)," HH:MM AM/PM")</f>
        <v>6s1.61- 12:39 AM</v>
      </c>
      <c r="E46" s="43" t="str">
        <f>VLOOKUP(E43,Panchanga!$A$3:$AC$463,9,TRUE)&amp;"-" &amp; TEXT(VLOOKUP(E43,Panchanga!$A$3:$AC$463,10,TRUE)," HH:MM AM/PM")</f>
        <v>6s13.67- 12:39 AM</v>
      </c>
      <c r="F46" s="35" t="str">
        <f>VLOOKUP(F43,Panchanga!$A$3:$AC$463,9,TRUE)&amp;"-" &amp; TEXT(VLOOKUP(F43,Panchanga!$A$3:$AC$463,10,TRUE)," HH:MM AM/PM")</f>
        <v>6s25.88- 12:38 AM</v>
      </c>
      <c r="G46" s="54" t="str">
        <f>VLOOKUP(G43,Panchanga!$A$3:$AC$463,9,TRUE)&amp;"-" &amp; TEXT(VLOOKUP(G43,Panchanga!$A$3:$AC$463,10,TRUE)," HH:MM AM/PM")</f>
        <v>7s8.3- 12:37 AM</v>
      </c>
    </row>
    <row r="47" spans="1:7" s="20" customFormat="1" ht="36" customHeight="1" x14ac:dyDescent="0.5">
      <c r="A47" s="34" t="str">
        <f>VLOOKUP(A43,Panchanga!$A$3:$AC$463,11,TRUE)&amp;" " &amp;VLOOKUP(A43,Panchanga!$A$3:$AC$463,27,TRUE)</f>
        <v>Purva Phalguni 318.489790323469</v>
      </c>
      <c r="B47" s="35" t="str">
        <f>VLOOKUP(B43,Panchanga!$A$3:$AC$463,11,TRUE)&amp;" " &amp;VLOOKUP(B43,Panchanga!$A$3:$AC$463,27,TRUE)</f>
        <v>Uttara Phalguni 318.606244661097</v>
      </c>
      <c r="C47" s="35" t="str">
        <f>VLOOKUP(C43,Panchanga!$A$3:$AC$463,11,TRUE)&amp;" " &amp;VLOOKUP(C43,Panchanga!$A$3:$AC$463,27,TRUE)</f>
        <v>Hasta 318.722238956541</v>
      </c>
      <c r="D47" s="35" t="str">
        <f>VLOOKUP(D43,Panchanga!$A$3:$AC$463,11,TRUE)&amp;" " &amp;VLOOKUP(D43,Panchanga!$A$3:$AC$463,27,TRUE)</f>
        <v>Chitra 318.837756776285</v>
      </c>
      <c r="E47" s="43" t="str">
        <f>VLOOKUP(E43,Panchanga!$A$3:$AC$463,11,TRUE)&amp;" " &amp;VLOOKUP(E43,Panchanga!$A$3:$AC$463,27,TRUE)</f>
        <v>Swati 318.952781613372</v>
      </c>
      <c r="F47" s="35" t="str">
        <f>VLOOKUP(F43,Panchanga!$A$3:$AC$463,11,TRUE)&amp;" " &amp;VLOOKUP(F43,Panchanga!$A$3:$AC$463,27,TRUE)</f>
        <v>Visakha 319.067296836758</v>
      </c>
      <c r="G47" s="54" t="str">
        <f>VLOOKUP(G43,Panchanga!$A$3:$AC$463,11,TRUE)&amp;" " &amp;VLOOKUP(G43,Panchanga!$A$3:$AC$463,27,TRUE)</f>
        <v>Anuradha 319.181285635498</v>
      </c>
    </row>
    <row r="48" spans="1:7" s="20" customFormat="1" ht="36" customHeight="1" x14ac:dyDescent="0.5">
      <c r="A48" s="37" t="str">
        <f>VLOOKUP(A43,Panchanga!$A$3:$AC$463,13,TRUE)</f>
        <v>S14 (13.86)</v>
      </c>
      <c r="B48" s="38" t="str">
        <f>VLOOKUP(B43,Panchanga!$A$3:$AC$463,13,TRUE)</f>
        <v>S15 (14.76)</v>
      </c>
      <c r="C48" s="38" t="str">
        <f>VLOOKUP(C43,Panchanga!$A$3:$AC$463,13,TRUE)</f>
        <v>K1 (15.67)</v>
      </c>
      <c r="D48" s="38" t="str">
        <f>VLOOKUP(D43,Panchanga!$A$3:$AC$463,13,TRUE)</f>
        <v>K2 (16.58)</v>
      </c>
      <c r="E48" s="47" t="str">
        <f>VLOOKUP(E43,Panchanga!$A$3:$AC$463,13,TRUE)</f>
        <v>K3 (17.5)</v>
      </c>
      <c r="F48" s="38" t="str">
        <f>VLOOKUP(F43,Panchanga!$A$3:$AC$463,13,TRUE)</f>
        <v>K4 (18.44)</v>
      </c>
      <c r="G48" s="48" t="str">
        <f>VLOOKUP(G43,Panchanga!$A$3:$AC$463,13,TRUE)</f>
        <v>K5 (19.39)</v>
      </c>
    </row>
    <row r="49" spans="1:7" s="20" customFormat="1" ht="36" customHeight="1" x14ac:dyDescent="0.5">
      <c r="A49" s="37">
        <f>VLOOKUP(A43,Panchanga!$A$3:$AC$463,14,TRUE)</f>
        <v>5.7199999999999989</v>
      </c>
      <c r="B49" s="38">
        <f>VLOOKUP(B43,Panchanga!$A$3:$AC$463,14,TRUE)</f>
        <v>0.52379999999999782</v>
      </c>
      <c r="C49" s="38">
        <f>VLOOKUP(C43,Panchanga!$A$3:$AC$463,14,TRUE)</f>
        <v>2.3355999999999995</v>
      </c>
      <c r="D49" s="38">
        <f>VLOOKUP(D43,Panchanga!$A$3:$AC$463,14,TRUE)</f>
        <v>4.1606000000000023</v>
      </c>
      <c r="E49" s="47">
        <f>VLOOKUP(E43,Panchanga!$A$3:$AC$463,14,TRUE)</f>
        <v>6.0054000000000016</v>
      </c>
      <c r="F49" s="38">
        <f>VLOOKUP(F43,Panchanga!$A$3:$AC$463,14,TRUE)</f>
        <v>0.8761999999999972</v>
      </c>
      <c r="G49" s="48">
        <f>VLOOKUP(G43,Panchanga!$A$3:$AC$463,14,TRUE)</f>
        <v>2.7804000000000002</v>
      </c>
    </row>
    <row r="50" spans="1:7" s="20" customFormat="1" ht="36" customHeight="1" x14ac:dyDescent="0.25">
      <c r="A50" s="73">
        <f>VLOOKUP(A43,Panchanga!$A$3:$AC$463,18,TRUE)</f>
        <v>13.86</v>
      </c>
      <c r="B50" s="69">
        <f>VLOOKUP(B43,Panchanga!$A$3:$AC$463,18,TRUE)</f>
        <v>14.761899999999999</v>
      </c>
      <c r="C50" s="69">
        <f>VLOOKUP(C43,Panchanga!$A$3:$AC$463,18,TRUE)</f>
        <v>15.6678</v>
      </c>
      <c r="D50" s="69">
        <f>VLOOKUP(D43,Panchanga!$A$3:$AC$463,18,TRUE)</f>
        <v>16.580300000000001</v>
      </c>
      <c r="E50" s="76">
        <f>VLOOKUP(E43,Panchanga!$A$3:$AC$463,18,TRUE)</f>
        <v>17.502700000000001</v>
      </c>
      <c r="F50" s="69">
        <f>VLOOKUP(F43,Panchanga!$A$3:$AC$463,18,TRUE)</f>
        <v>18.438099999999999</v>
      </c>
      <c r="G50" s="74">
        <f>VLOOKUP(G43,Panchanga!$A$3:$AC$463,18,TRUE)</f>
        <v>19.3902</v>
      </c>
    </row>
    <row r="51" spans="1:7" s="20" customFormat="1" ht="36" customHeight="1" x14ac:dyDescent="0.25">
      <c r="A51" s="73"/>
      <c r="B51" s="70"/>
      <c r="C51" s="70"/>
      <c r="D51" s="70"/>
      <c r="E51" s="77"/>
      <c r="F51" s="70"/>
      <c r="G51" s="75"/>
    </row>
    <row r="52" spans="1:7" ht="14.25" customHeight="1" thickBot="1" x14ac:dyDescent="0.55000000000000004">
      <c r="A52" s="45"/>
      <c r="B52" s="46"/>
      <c r="C52" s="46"/>
      <c r="D52" s="46"/>
      <c r="E52" s="40"/>
      <c r="F52" s="46"/>
      <c r="G52" s="41"/>
    </row>
    <row r="53" spans="1:7" s="21" customFormat="1" ht="45" x14ac:dyDescent="0.5">
      <c r="A53" s="58">
        <f>G43+1</f>
        <v>45382</v>
      </c>
      <c r="B53" s="59">
        <f>A53+1</f>
        <v>45383</v>
      </c>
      <c r="C53" s="59"/>
      <c r="D53" s="59"/>
      <c r="E53" s="59"/>
      <c r="F53" s="59"/>
      <c r="G53" s="66"/>
    </row>
    <row r="54" spans="1:7" s="20" customFormat="1" ht="36" customHeight="1" x14ac:dyDescent="0.5">
      <c r="A54" s="28" t="str">
        <f>TEXT(VLOOKUP(A53,Panchanga!$A$3:$AC$463,3,TRUE),"HH:MM AM/PM")&amp;" - "&amp;TEXT(VLOOKUP(A53,Panchanga!$A$3:$AC$463,4,TRUE),"HH:MM AM/PM")</f>
        <v>06:07 AM - 06:20 PM</v>
      </c>
      <c r="B54" s="29" t="str">
        <f>TEXT(VLOOKUP(B53,Panchanga!$A$3:$AC$463,3,TRUE),"HH:MM AM/PM")&amp;" - "&amp;TEXT(VLOOKUP(B53,Panchanga!$A$3:$AC$463,4,TRUE),"HH:MM AM/PM")</f>
        <v>06:06 AM - 06:20 PM</v>
      </c>
      <c r="C54" s="29" t="s">
        <v>33</v>
      </c>
      <c r="D54" s="29"/>
      <c r="E54" s="29"/>
      <c r="F54" s="29"/>
      <c r="G54" s="30"/>
    </row>
    <row r="55" spans="1:7" s="20" customFormat="1" ht="36" customHeight="1" x14ac:dyDescent="0.5">
      <c r="A55" s="31" t="str">
        <f>"Su="&amp;VLOOKUP(A53,Panchanga!$A$3:$AC$463,6,TRUE)&amp;",Mo="&amp;VLOOKUP(A53,Panchanga!$A$3:$AC$463,7,TRUE)</f>
        <v>Su=45383.4606190758,Mo=45382.0257786889</v>
      </c>
      <c r="B55" s="32" t="str">
        <f>"Su="&amp;VLOOKUP(B53,Panchanga!$A$3:$AC$463,6,TRUE)&amp;",Mo="&amp;VLOOKUP(B53,Panchanga!$A$3:$AC$463,7,TRUE)</f>
        <v>Su=45383.4606191191,Mo=45383.0253118411</v>
      </c>
      <c r="C55" s="32" t="s">
        <v>34</v>
      </c>
      <c r="D55" s="32"/>
      <c r="E55" s="32"/>
      <c r="F55" s="32"/>
      <c r="G55" s="33"/>
    </row>
    <row r="56" spans="1:7" s="20" customFormat="1" ht="36" customHeight="1" x14ac:dyDescent="0.5">
      <c r="A56" s="34" t="str">
        <f>VLOOKUP(A53,Panchanga!$A$3:$AC$463,9,TRUE)&amp;"-" &amp; TEXT(VLOOKUP(A53,Panchanga!$A$3:$AC$463,10,TRUE)," HH:MM AM/PM")</f>
        <v>7s20.95- 12:37 AM</v>
      </c>
      <c r="B56" s="35" t="str">
        <f>VLOOKUP(B53,Panchanga!$A$3:$AC$463,9,TRUE)&amp;"-" &amp; TEXT(VLOOKUP(B53,Panchanga!$A$3:$AC$463,10,TRUE)," HH:MM AM/PM")</f>
        <v>8s3.91- 12:36 AM</v>
      </c>
      <c r="C56" s="35" t="s">
        <v>29</v>
      </c>
      <c r="D56" s="35"/>
      <c r="E56" s="35"/>
      <c r="F56" s="35"/>
      <c r="G56" s="36"/>
    </row>
    <row r="57" spans="1:7" s="20" customFormat="1" ht="36" customHeight="1" x14ac:dyDescent="0.5">
      <c r="A57" s="34" t="str">
        <f>VLOOKUP(A53,Panchanga!$A$3:$AC$463,11,TRUE)&amp;" " &amp;VLOOKUP(A53,Panchanga!$A$3:$AC$463,27,TRUE)</f>
        <v>Jyestha 319.294730954269</v>
      </c>
      <c r="B57" s="35" t="str">
        <f>VLOOKUP(B53,Panchanga!$A$3:$AC$463,11,TRUE)&amp;" " &amp;VLOOKUP(B53,Panchanga!$A$3:$AC$463,27,TRUE)</f>
        <v>Moola 319.407615440334</v>
      </c>
      <c r="C57" s="35" t="s">
        <v>35</v>
      </c>
      <c r="D57" s="35"/>
      <c r="E57" s="35"/>
      <c r="F57" s="35"/>
      <c r="G57" s="36"/>
    </row>
    <row r="58" spans="1:7" s="20" customFormat="1" ht="36" customHeight="1" x14ac:dyDescent="0.5">
      <c r="A58" s="37" t="str">
        <f>VLOOKUP(A53,Panchanga!$A$3:$AC$463,13,TRUE)</f>
        <v>K6 (20.36)</v>
      </c>
      <c r="B58" s="38" t="str">
        <f>VLOOKUP(B53,Panchanga!$A$3:$AC$463,13,TRUE)</f>
        <v>K7 (21.36)</v>
      </c>
      <c r="C58" s="38" t="s">
        <v>30</v>
      </c>
      <c r="D58" s="38"/>
      <c r="E58" s="38"/>
      <c r="F58" s="38"/>
      <c r="G58" s="39"/>
    </row>
    <row r="59" spans="1:7" s="20" customFormat="1" ht="36" customHeight="1" x14ac:dyDescent="0.5">
      <c r="A59" s="37">
        <f>VLOOKUP(A53,Panchanga!$A$3:$AC$463,14,TRUE)</f>
        <v>4.7256</v>
      </c>
      <c r="B59" s="38">
        <f>VLOOKUP(B53,Panchanga!$A$3:$AC$463,14,TRUE)</f>
        <v>6.7195999999999998</v>
      </c>
      <c r="C59" s="38" t="s">
        <v>15</v>
      </c>
      <c r="D59" s="38"/>
      <c r="E59" s="38"/>
      <c r="F59" s="38"/>
      <c r="G59" s="39"/>
    </row>
    <row r="60" spans="1:7" s="20" customFormat="1" ht="36" customHeight="1" x14ac:dyDescent="0.25">
      <c r="A60" s="73">
        <f>VLOOKUP(A53,Panchanga!$A$3:$AC$463,18,TRUE)</f>
        <v>20.3628</v>
      </c>
      <c r="B60" s="69">
        <f>VLOOKUP(B53,Panchanga!$A$3:$AC$463,18,TRUE)</f>
        <v>21.3598</v>
      </c>
      <c r="C60" s="69" t="s">
        <v>36</v>
      </c>
      <c r="D60" s="69"/>
      <c r="E60" s="69"/>
      <c r="F60" s="69"/>
      <c r="G60" s="71"/>
    </row>
    <row r="61" spans="1:7" s="20" customFormat="1" ht="36" customHeight="1" x14ac:dyDescent="0.25">
      <c r="A61" s="73"/>
      <c r="B61" s="70"/>
      <c r="C61" s="70"/>
      <c r="D61" s="70"/>
      <c r="E61" s="70"/>
      <c r="F61" s="70"/>
      <c r="G61" s="72"/>
    </row>
    <row r="62" spans="1:7" ht="14.25" customHeight="1" thickBot="1" x14ac:dyDescent="0.55000000000000004">
      <c r="A62" s="45"/>
      <c r="B62" s="46"/>
      <c r="C62" s="46"/>
      <c r="D62" s="46"/>
      <c r="E62" s="46"/>
      <c r="F62" s="46"/>
      <c r="G62" s="67"/>
    </row>
    <row r="63" spans="1:7" ht="39" customHeight="1" thickBot="1" x14ac:dyDescent="0.55000000000000004">
      <c r="A63" s="42" t="s">
        <v>37</v>
      </c>
      <c r="B63" s="43"/>
      <c r="C63" s="43"/>
      <c r="D63" s="43"/>
      <c r="E63" s="43"/>
      <c r="F63" s="43"/>
      <c r="G63" s="44"/>
    </row>
    <row r="64" spans="1:7" ht="39" customHeight="1" thickBot="1" x14ac:dyDescent="0.5">
      <c r="A64" s="62" t="s">
        <v>28</v>
      </c>
      <c r="B64" s="63">
        <f>Lat</f>
        <v>13.5</v>
      </c>
      <c r="C64" s="64" t="s">
        <v>27</v>
      </c>
      <c r="D64" s="63">
        <f>Long</f>
        <v>80.23</v>
      </c>
      <c r="E64" s="64" t="s">
        <v>0</v>
      </c>
      <c r="F64" s="65">
        <f>TimeZone</f>
        <v>5.5</v>
      </c>
      <c r="G64" s="44"/>
    </row>
    <row r="65" spans="1:7" ht="34.5" thickBot="1" x14ac:dyDescent="0.55000000000000004">
      <c r="A65" s="42"/>
      <c r="B65" s="43"/>
      <c r="C65" s="43"/>
      <c r="D65" s="43"/>
      <c r="E65" s="43"/>
      <c r="F65" s="43"/>
      <c r="G65" s="44"/>
    </row>
    <row r="66" spans="1:7" s="21" customFormat="1" ht="173.25" customHeight="1" thickBot="1" x14ac:dyDescent="1.25">
      <c r="A66" s="78">
        <f>DATE(YEAR(A1),MONTH(A1)+1,1)</f>
        <v>45383</v>
      </c>
      <c r="B66" s="79"/>
      <c r="C66" s="79"/>
      <c r="D66" s="79"/>
      <c r="E66" s="79"/>
      <c r="F66" s="79"/>
      <c r="G66" s="80"/>
    </row>
    <row r="67" spans="1:7" s="23" customFormat="1" ht="45.75" thickBot="1" x14ac:dyDescent="0.5">
      <c r="A67" s="55">
        <v>1</v>
      </c>
      <c r="B67" s="56">
        <v>2</v>
      </c>
      <c r="C67" s="56">
        <v>3</v>
      </c>
      <c r="D67" s="56">
        <v>4</v>
      </c>
      <c r="E67" s="56">
        <v>5</v>
      </c>
      <c r="F67" s="56">
        <v>6</v>
      </c>
      <c r="G67" s="57">
        <v>7</v>
      </c>
    </row>
    <row r="68" spans="1:7" s="21" customFormat="1" ht="45" x14ac:dyDescent="0.5">
      <c r="A68" s="58">
        <f>A66-WEEKDAY(A66)+1</f>
        <v>45382</v>
      </c>
      <c r="B68" s="59">
        <f t="shared" ref="B68" si="5">A68+1</f>
        <v>45383</v>
      </c>
      <c r="C68" s="59">
        <f t="shared" ref="C68" si="6">B68+1</f>
        <v>45384</v>
      </c>
      <c r="D68" s="59">
        <f t="shared" ref="D68" si="7">C68+1</f>
        <v>45385</v>
      </c>
      <c r="E68" s="60">
        <f t="shared" ref="E68" si="8">D68+1</f>
        <v>45386</v>
      </c>
      <c r="F68" s="59">
        <f t="shared" ref="F68" si="9">E68+1</f>
        <v>45387</v>
      </c>
      <c r="G68" s="61">
        <f t="shared" ref="G68" si="10">F68+1</f>
        <v>45388</v>
      </c>
    </row>
    <row r="69" spans="1:7" s="20" customFormat="1" ht="36" customHeight="1" x14ac:dyDescent="0.5">
      <c r="A69" s="28" t="str">
        <f>TEXT(VLOOKUP(A68,Panchanga!$A$3:$AC$463,3,TRUE),"HH:MM AM/PM")&amp;" - "&amp;TEXT(VLOOKUP(A68,Panchanga!$A$3:$AC$463,4,TRUE),"HH:MM AM/PM")</f>
        <v>06:07 AM - 06:20 PM</v>
      </c>
      <c r="B69" s="29" t="str">
        <f>TEXT(VLOOKUP(B68,Panchanga!$A$3:$AC$463,3,TRUE),"HH:MM AM/PM")&amp;" - "&amp;TEXT(VLOOKUP(B68,Panchanga!$A$3:$AC$463,4,TRUE),"HH:MM AM/PM")</f>
        <v>06:06 AM - 06:20 PM</v>
      </c>
      <c r="C69" s="29" t="str">
        <f>TEXT(VLOOKUP(C68,Panchanga!$A$3:$AC$463,3,TRUE),"HH:MM AM/PM")&amp;" - "&amp;TEXT(VLOOKUP(C68,Panchanga!$A$3:$AC$463,4,TRUE),"HH:MM AM/PM")</f>
        <v>06:05 AM - 06:20 PM</v>
      </c>
      <c r="D69" s="29" t="str">
        <f>TEXT(VLOOKUP(D68,Panchanga!$A$3:$AC$463,3,TRUE),"HH:MM AM/PM")&amp;" - "&amp;TEXT(VLOOKUP(D68,Panchanga!$A$3:$AC$463,4,TRUE),"HH:MM AM/PM")</f>
        <v>06:05 AM - 06:20 PM</v>
      </c>
      <c r="E69" s="50" t="str">
        <f>TEXT(VLOOKUP(E68,Panchanga!$A$3:$AC$463,3,TRUE),"HH:MM AM/PM")&amp;" - "&amp;TEXT(VLOOKUP(E68,Panchanga!$A$3:$AC$463,4,TRUE),"HH:MM AM/PM")</f>
        <v>06:04 AM - 06:20 PM</v>
      </c>
      <c r="F69" s="29" t="str">
        <f>TEXT(VLOOKUP(F68,Panchanga!$A$3:$AC$463,3,TRUE),"HH:MM AM/PM")&amp;" - "&amp;TEXT(VLOOKUP(F68,Panchanga!$A$3:$AC$463,4,TRUE),"HH:MM AM/PM")</f>
        <v>06:03 AM - 06:20 PM</v>
      </c>
      <c r="G69" s="52" t="str">
        <f>TEXT(VLOOKUP(G68,Panchanga!$A$3:$AC$463,3,TRUE),"HH:MM AM/PM")&amp;" - "&amp;TEXT(VLOOKUP(G68,Panchanga!$A$3:$AC$463,4,TRUE),"HH:MM AM/PM")</f>
        <v>06:03 AM - 06:20 PM</v>
      </c>
    </row>
    <row r="70" spans="1:7" s="20" customFormat="1" ht="36" customHeight="1" x14ac:dyDescent="0.5">
      <c r="A70" s="31" t="str">
        <f>"Su="&amp;VLOOKUP(A68,Panchanga!$A$3:$AC$463,6,TRUE)&amp;",Mo="&amp;VLOOKUP(A68,Panchanga!$A$3:$AC$463,7,TRUE)</f>
        <v>Su=45383.4606190758,Mo=45382.0257786889</v>
      </c>
      <c r="B70" s="32" t="str">
        <f>"Su="&amp;VLOOKUP(B68,Panchanga!$A$3:$AC$463,6,TRUE)&amp;",Mo="&amp;VLOOKUP(B68,Panchanga!$A$3:$AC$463,7,TRUE)</f>
        <v>Su=45383.4606191191,Mo=45383.0253118411</v>
      </c>
      <c r="C70" s="32" t="str">
        <f>"Su="&amp;VLOOKUP(C68,Panchanga!$A$3:$AC$463,6,TRUE)&amp;",Mo="&amp;VLOOKUP(C68,Panchanga!$A$3:$AC$463,7,TRUE)</f>
        <v>Su=45384.5020347728,Mo=45384.0248470068</v>
      </c>
      <c r="D70" s="32" t="str">
        <f>"Su="&amp;VLOOKUP(D68,Panchanga!$A$3:$AC$463,6,TRUE)&amp;",Mo="&amp;VLOOKUP(D68,Panchanga!$A$3:$AC$463,7,TRUE)</f>
        <v>Su=45385.5450514459,Mo=45385.0243844632</v>
      </c>
      <c r="E70" s="51" t="str">
        <f>"Su="&amp;VLOOKUP(E68,Panchanga!$A$3:$AC$463,6,TRUE)&amp;",Mo="&amp;VLOOKUP(E68,Panchanga!$A$3:$AC$463,7,TRUE)</f>
        <v>Su=45386.5882437482,Mo=45386.0239244769</v>
      </c>
      <c r="F70" s="32" t="str">
        <f>"Su="&amp;VLOOKUP(F68,Panchanga!$A$3:$AC$463,6,TRUE)&amp;",Mo="&amp;VLOOKUP(F68,Panchanga!$A$3:$AC$463,7,TRUE)</f>
        <v>Su=45387.6306603748,Mo=45387.0234673074</v>
      </c>
      <c r="G70" s="53" t="str">
        <f>"Su="&amp;VLOOKUP(G68,Panchanga!$A$3:$AC$463,6,TRUE)&amp;",Mo="&amp;VLOOKUP(G68,Panchanga!$A$3:$AC$463,7,TRUE)</f>
        <v>Su=45388.6720555021,Mo=45388.0230131982</v>
      </c>
    </row>
    <row r="71" spans="1:7" s="20" customFormat="1" ht="36" customHeight="1" x14ac:dyDescent="0.5">
      <c r="A71" s="34" t="str">
        <f>VLOOKUP(A68,Panchanga!$A$3:$AC$463,9,TRUE)&amp;"-" &amp; TEXT(VLOOKUP(A68,Panchanga!$A$3:$AC$463,10,TRUE)," HH:MM AM/PM")</f>
        <v>7s20.95- 12:37 AM</v>
      </c>
      <c r="B71" s="35" t="str">
        <f>VLOOKUP(B68,Panchanga!$A$3:$AC$463,9,TRUE)&amp;"-" &amp; TEXT(VLOOKUP(B68,Panchanga!$A$3:$AC$463,10,TRUE)," HH:MM AM/PM")</f>
        <v>8s3.91- 12:36 AM</v>
      </c>
      <c r="C71" s="35" t="str">
        <f>VLOOKUP(C68,Panchanga!$A$3:$AC$463,9,TRUE)&amp;"-" &amp; TEXT(VLOOKUP(C68,Panchanga!$A$3:$AC$463,10,TRUE)," HH:MM AM/PM")</f>
        <v>8s17.19- 12:35 AM</v>
      </c>
      <c r="D71" s="35" t="str">
        <f>VLOOKUP(D68,Panchanga!$A$3:$AC$463,9,TRUE)&amp;"-" &amp; TEXT(VLOOKUP(D68,Panchanga!$A$3:$AC$463,10,TRUE)," HH:MM AM/PM")</f>
        <v>9s0.85- 12:35 AM</v>
      </c>
      <c r="E71" s="43" t="str">
        <f>VLOOKUP(E68,Panchanga!$A$3:$AC$463,9,TRUE)&amp;"-" &amp; TEXT(VLOOKUP(E68,Panchanga!$A$3:$AC$463,10,TRUE)," HH:MM AM/PM")</f>
        <v>9s14.9- 12:34 AM</v>
      </c>
      <c r="F71" s="35" t="str">
        <f>VLOOKUP(F68,Panchanga!$A$3:$AC$463,9,TRUE)&amp;"-" &amp; TEXT(VLOOKUP(F68,Panchanga!$A$3:$AC$463,10,TRUE)," HH:MM AM/PM")</f>
        <v>9s29.31- 12:33 AM</v>
      </c>
      <c r="G71" s="54" t="str">
        <f>VLOOKUP(G68,Panchanga!$A$3:$AC$463,9,TRUE)&amp;"-" &amp; TEXT(VLOOKUP(G68,Panchanga!$A$3:$AC$463,10,TRUE)," HH:MM AM/PM")</f>
        <v>10s14.04- 12:33 AM</v>
      </c>
    </row>
    <row r="72" spans="1:7" s="20" customFormat="1" ht="36" customHeight="1" x14ac:dyDescent="0.5">
      <c r="A72" s="34" t="str">
        <f>VLOOKUP(A68,Panchanga!$A$3:$AC$463,11,TRUE)&amp;" " &amp;VLOOKUP(A68,Panchanga!$A$3:$AC$463,27,TRUE)</f>
        <v>Jyestha 319.294730954269</v>
      </c>
      <c r="B72" s="35" t="str">
        <f>VLOOKUP(B68,Panchanga!$A$3:$AC$463,11,TRUE)&amp;" " &amp;VLOOKUP(B68,Panchanga!$A$3:$AC$463,27,TRUE)</f>
        <v>Moola 319.407615440334</v>
      </c>
      <c r="C72" s="35" t="str">
        <f>VLOOKUP(C68,Panchanga!$A$3:$AC$463,11,TRUE)&amp;" " &amp;VLOOKUP(C68,Panchanga!$A$3:$AC$463,27,TRUE)</f>
        <v>Purva Asadha 319.519921388484</v>
      </c>
      <c r="D72" s="35" t="str">
        <f>VLOOKUP(D68,Panchanga!$A$3:$AC$463,11,TRUE)&amp;" " &amp;VLOOKUP(D68,Panchanga!$A$3:$AC$463,27,TRUE)</f>
        <v>Uttara Asadha 319.631630693846</v>
      </c>
      <c r="E72" s="43" t="str">
        <f>VLOOKUP(E68,Panchanga!$A$3:$AC$463,11,TRUE)&amp;" " &amp;VLOOKUP(E68,Panchanga!$A$3:$AC$463,27,TRUE)</f>
        <v>Sravana 319.742724810278</v>
      </c>
      <c r="F72" s="35" t="str">
        <f>VLOOKUP(F68,Panchanga!$A$3:$AC$463,11,TRUE)&amp;" " &amp;VLOOKUP(F68,Panchanga!$A$3:$AC$463,27,TRUE)</f>
        <v>Dhanistha 319.853184725458</v>
      </c>
      <c r="G72" s="54" t="str">
        <f>VLOOKUP(G68,Panchanga!$A$3:$AC$463,11,TRUE)&amp;" " &amp;VLOOKUP(G68,Panchanga!$A$3:$AC$463,27,TRUE)</f>
        <v>Satabhisaj 319.962990974405</v>
      </c>
    </row>
    <row r="73" spans="1:7" s="20" customFormat="1" ht="36" customHeight="1" x14ac:dyDescent="0.5">
      <c r="A73" s="37" t="str">
        <f>VLOOKUP(A68,Panchanga!$A$3:$AC$463,13,TRUE)</f>
        <v>K6 (20.36)</v>
      </c>
      <c r="B73" s="38" t="str">
        <f>VLOOKUP(B68,Panchanga!$A$3:$AC$463,13,TRUE)</f>
        <v>K7 (21.36)</v>
      </c>
      <c r="C73" s="38" t="str">
        <f>VLOOKUP(C68,Panchanga!$A$3:$AC$463,13,TRUE)</f>
        <v>K8 (22.39)</v>
      </c>
      <c r="D73" s="38" t="str">
        <f>VLOOKUP(D68,Panchanga!$A$3:$AC$463,13,TRUE)</f>
        <v>K9 (23.44)</v>
      </c>
      <c r="E73" s="47" t="str">
        <f>VLOOKUP(E68,Panchanga!$A$3:$AC$463,13,TRUE)</f>
        <v>K10 (24.53)</v>
      </c>
      <c r="F73" s="38" t="str">
        <f>VLOOKUP(F68,Panchanga!$A$3:$AC$463,13,TRUE)</f>
        <v>K11 (25.65)</v>
      </c>
      <c r="G73" s="48" t="str">
        <f>VLOOKUP(G68,Panchanga!$A$3:$AC$463,13,TRUE)</f>
        <v>K12 (26.79)</v>
      </c>
    </row>
    <row r="74" spans="1:7" s="20" customFormat="1" ht="36" customHeight="1" x14ac:dyDescent="0.5">
      <c r="A74" s="37">
        <f>VLOOKUP(A68,Panchanga!$A$3:$AC$463,14,TRUE)</f>
        <v>4.7256</v>
      </c>
      <c r="B74" s="38">
        <f>VLOOKUP(B68,Panchanga!$A$3:$AC$463,14,TRUE)</f>
        <v>6.7195999999999998</v>
      </c>
      <c r="C74" s="38">
        <f>VLOOKUP(C68,Panchanga!$A$3:$AC$463,14,TRUE)</f>
        <v>1.769999999999996</v>
      </c>
      <c r="D74" s="38">
        <f>VLOOKUP(D68,Panchanga!$A$3:$AC$463,14,TRUE)</f>
        <v>3.8821999999999974</v>
      </c>
      <c r="E74" s="47">
        <f>VLOOKUP(E68,Panchanga!$A$3:$AC$463,14,TRUE)</f>
        <v>6.0585999999999984</v>
      </c>
      <c r="F74" s="38">
        <f>VLOOKUP(F68,Panchanga!$A$3:$AC$463,14,TRUE)</f>
        <v>1.2963999999999984</v>
      </c>
      <c r="G74" s="48">
        <f>VLOOKUP(G68,Panchanga!$A$3:$AC$463,14,TRUE)</f>
        <v>3.5872000000000028</v>
      </c>
    </row>
    <row r="75" spans="1:7" s="49" customFormat="1" ht="36" customHeight="1" x14ac:dyDescent="0.25">
      <c r="A75" s="73">
        <f>VLOOKUP(A68,Panchanga!$A$3:$AC$463,18,TRUE)</f>
        <v>20.3628</v>
      </c>
      <c r="B75" s="69">
        <f>VLOOKUP(B68,Panchanga!$A$3:$AC$463,18,TRUE)</f>
        <v>21.3598</v>
      </c>
      <c r="C75" s="69">
        <f>VLOOKUP(C68,Panchanga!$A$3:$AC$463,18,TRUE)</f>
        <v>22.384999999999998</v>
      </c>
      <c r="D75" s="69">
        <f>VLOOKUP(D68,Panchanga!$A$3:$AC$463,18,TRUE)</f>
        <v>23.441099999999999</v>
      </c>
      <c r="E75" s="76">
        <f>VLOOKUP(E68,Panchanga!$A$3:$AC$463,18,TRUE)</f>
        <v>24.529299999999999</v>
      </c>
      <c r="F75" s="69">
        <f>VLOOKUP(F68,Panchanga!$A$3:$AC$463,18,TRUE)</f>
        <v>25.648199999999999</v>
      </c>
      <c r="G75" s="74">
        <f>VLOOKUP(G68,Panchanga!$A$3:$AC$463,18,TRUE)</f>
        <v>26.793600000000001</v>
      </c>
    </row>
    <row r="76" spans="1:7" s="49" customFormat="1" ht="36" customHeight="1" x14ac:dyDescent="0.25">
      <c r="A76" s="73"/>
      <c r="B76" s="70"/>
      <c r="C76" s="70"/>
      <c r="D76" s="70"/>
      <c r="E76" s="77"/>
      <c r="F76" s="70"/>
      <c r="G76" s="75"/>
    </row>
    <row r="77" spans="1:7" ht="14.25" customHeight="1" thickBot="1" x14ac:dyDescent="0.55000000000000004">
      <c r="A77" s="45"/>
      <c r="B77" s="46"/>
      <c r="C77" s="46"/>
      <c r="D77" s="46"/>
      <c r="E77" s="40"/>
      <c r="F77" s="46"/>
      <c r="G77" s="41"/>
    </row>
    <row r="78" spans="1:7" s="21" customFormat="1" ht="45" x14ac:dyDescent="0.5">
      <c r="A78" s="58">
        <f>G68+1</f>
        <v>45389</v>
      </c>
      <c r="B78" s="59">
        <f t="shared" ref="B78" si="11">A78+1</f>
        <v>45390</v>
      </c>
      <c r="C78" s="59">
        <f t="shared" ref="C78" si="12">B78+1</f>
        <v>45391</v>
      </c>
      <c r="D78" s="59">
        <f t="shared" ref="D78" si="13">C78+1</f>
        <v>45392</v>
      </c>
      <c r="E78" s="60">
        <f t="shared" ref="E78" si="14">D78+1</f>
        <v>45393</v>
      </c>
      <c r="F78" s="59">
        <f t="shared" ref="F78" si="15">E78+1</f>
        <v>45394</v>
      </c>
      <c r="G78" s="61">
        <f t="shared" ref="G78" si="16">F78+1</f>
        <v>45395</v>
      </c>
    </row>
    <row r="79" spans="1:7" s="20" customFormat="1" ht="36" customHeight="1" x14ac:dyDescent="0.5">
      <c r="A79" s="28" t="str">
        <f>TEXT(VLOOKUP(A78,Panchanga!$A$3:$AC$463,3,TRUE),"HH:MM AM/PM")&amp;" - "&amp;TEXT(VLOOKUP(A78,Panchanga!$A$3:$AC$463,4,TRUE),"HH:MM AM/PM")</f>
        <v>06:02 AM - 06:20 PM</v>
      </c>
      <c r="B79" s="29" t="str">
        <f>TEXT(VLOOKUP(B78,Panchanga!$A$3:$AC$463,3,TRUE),"HH:MM AM/PM")&amp;" - "&amp;TEXT(VLOOKUP(B78,Panchanga!$A$3:$AC$463,4,TRUE),"HH:MM AM/PM")</f>
        <v>06:01 AM - 06:21 PM</v>
      </c>
      <c r="C79" s="29" t="str">
        <f>TEXT(VLOOKUP(C78,Panchanga!$A$3:$AC$463,3,TRUE),"HH:MM AM/PM")&amp;" - "&amp;TEXT(VLOOKUP(C78,Panchanga!$A$3:$AC$463,4,TRUE),"HH:MM AM/PM")</f>
        <v>06:01 AM - 06:21 PM</v>
      </c>
      <c r="D79" s="29" t="str">
        <f>TEXT(VLOOKUP(D78,Panchanga!$A$3:$AC$463,3,TRUE),"HH:MM AM/PM")&amp;" - "&amp;TEXT(VLOOKUP(D78,Panchanga!$A$3:$AC$463,4,TRUE),"HH:MM AM/PM")</f>
        <v>06:00 AM - 06:21 PM</v>
      </c>
      <c r="E79" s="50" t="str">
        <f>TEXT(VLOOKUP(E78,Panchanga!$A$3:$AC$463,3,TRUE),"HH:MM AM/PM")&amp;" - "&amp;TEXT(VLOOKUP(E78,Panchanga!$A$3:$AC$463,4,TRUE),"HH:MM AM/PM")</f>
        <v>05:59 AM - 06:21 PM</v>
      </c>
      <c r="F79" s="29" t="str">
        <f>TEXT(VLOOKUP(F78,Panchanga!$A$3:$AC$463,3,TRUE),"HH:MM AM/PM")&amp;" - "&amp;TEXT(VLOOKUP(F78,Panchanga!$A$3:$AC$463,4,TRUE),"HH:MM AM/PM")</f>
        <v>05:59 AM - 06:21 PM</v>
      </c>
      <c r="G79" s="52" t="str">
        <f>TEXT(VLOOKUP(G78,Panchanga!$A$3:$AC$463,3,TRUE),"HH:MM AM/PM")&amp;" - "&amp;TEXT(VLOOKUP(G78,Panchanga!$A$3:$AC$463,4,TRUE),"HH:MM AM/PM")</f>
        <v>05:58 AM - 06:21 PM</v>
      </c>
    </row>
    <row r="80" spans="1:7" s="20" customFormat="1" ht="36" customHeight="1" x14ac:dyDescent="0.5">
      <c r="A80" s="31" t="str">
        <f>"Su="&amp;VLOOKUP(A78,Panchanga!$A$3:$AC$463,6,TRUE)&amp;",Mo="&amp;VLOOKUP(A78,Panchanga!$A$3:$AC$463,7,TRUE)</f>
        <v>Su=45389.7127671541,Mo=45389.0225623804</v>
      </c>
      <c r="B80" s="32" t="str">
        <f>"Su="&amp;VLOOKUP(B78,Panchanga!$A$3:$AC$463,6,TRUE)&amp;",Mo="&amp;VLOOKUP(B78,Panchanga!$A$3:$AC$463,7,TRUE)</f>
        <v>Su=45390.7534445898,Mo=45390.0221150689</v>
      </c>
      <c r="C80" s="32" t="str">
        <f>"Su="&amp;VLOOKUP(C78,Panchanga!$A$3:$AC$463,6,TRUE)&amp;",Mo="&amp;VLOOKUP(C78,Panchanga!$A$3:$AC$463,7,TRUE)</f>
        <v>Su=45391.7947580206,Mo=45391.0216714683</v>
      </c>
      <c r="D80" s="32" t="str">
        <f>"Su="&amp;VLOOKUP(D78,Panchanga!$A$3:$AC$463,6,TRUE)&amp;",Mo="&amp;VLOOKUP(D78,Panchanga!$A$3:$AC$463,7,TRUE)</f>
        <v>Su=45392.8371068199,Mo=45392.021231777</v>
      </c>
      <c r="E80" s="51" t="str">
        <f>"Su="&amp;VLOOKUP(E78,Panchanga!$A$3:$AC$463,6,TRUE)&amp;",Mo="&amp;VLOOKUP(E78,Panchanga!$A$3:$AC$463,7,TRUE)</f>
        <v>Su=45393.8803342685,Mo=45393.0207961932</v>
      </c>
      <c r="F80" s="32" t="str">
        <f>"Su="&amp;VLOOKUP(F78,Panchanga!$A$3:$AC$463,6,TRUE)&amp;",Mo="&amp;VLOOKUP(F78,Panchanga!$A$3:$AC$463,7,TRUE)</f>
        <v>Su=45394.923567637,Mo=45394.020364921</v>
      </c>
      <c r="G80" s="53" t="str">
        <f>"Su="&amp;VLOOKUP(G78,Panchanga!$A$3:$AC$463,6,TRUE)&amp;",Mo="&amp;VLOOKUP(G78,Panchanga!$A$3:$AC$463,7,TRUE)</f>
        <v>Su=45395.9653955816,Mo=45395.0199381723</v>
      </c>
    </row>
    <row r="81" spans="1:7" s="20" customFormat="1" ht="36" customHeight="1" x14ac:dyDescent="0.5">
      <c r="A81" s="34" t="str">
        <f>VLOOKUP(A78,Panchanga!$A$3:$AC$463,9,TRUE)&amp;"-" &amp; TEXT(VLOOKUP(A78,Panchanga!$A$3:$AC$463,10,TRUE)," HH:MM AM/PM")</f>
        <v>10s28.99- 12:32 AM</v>
      </c>
      <c r="B81" s="35" t="str">
        <f>VLOOKUP(B78,Panchanga!$A$3:$AC$463,9,TRUE)&amp;"-" &amp; TEXT(VLOOKUP(B78,Panchanga!$A$3:$AC$463,10,TRUE)," HH:MM AM/PM")</f>
        <v>11s14.05- 12:31 AM</v>
      </c>
      <c r="C81" s="35" t="str">
        <f>VLOOKUP(C78,Panchanga!$A$3:$AC$463,9,TRUE)&amp;"-" &amp; TEXT(VLOOKUP(C78,Panchanga!$A$3:$AC$463,10,TRUE)," HH:MM AM/PM")</f>
        <v>11s29.06- 12:31 AM</v>
      </c>
      <c r="D81" s="35" t="str">
        <f>VLOOKUP(D78,Panchanga!$A$3:$AC$463,9,TRUE)&amp;"-" &amp; TEXT(VLOOKUP(D78,Panchanga!$A$3:$AC$463,10,TRUE)," HH:MM AM/PM")</f>
        <v>0s13.89- 12:30 AM</v>
      </c>
      <c r="E81" s="43" t="str">
        <f>VLOOKUP(E78,Panchanga!$A$3:$AC$463,9,TRUE)&amp;"-" &amp; TEXT(VLOOKUP(E78,Panchanga!$A$3:$AC$463,10,TRUE)," HH:MM AM/PM")</f>
        <v>0s28.41- 12:29 AM</v>
      </c>
      <c r="F81" s="35" t="str">
        <f>VLOOKUP(F78,Panchanga!$A$3:$AC$463,9,TRUE)&amp;"-" &amp; TEXT(VLOOKUP(F78,Panchanga!$A$3:$AC$463,10,TRUE)," HH:MM AM/PM")</f>
        <v>1s12.54- 12:29 AM</v>
      </c>
      <c r="G81" s="54" t="str">
        <f>VLOOKUP(G78,Panchanga!$A$3:$AC$463,9,TRUE)&amp;"-" &amp; TEXT(VLOOKUP(G78,Panchanga!$A$3:$AC$463,10,TRUE)," HH:MM AM/PM")</f>
        <v>1s26.23- 12:28 AM</v>
      </c>
    </row>
    <row r="82" spans="1:7" s="20" customFormat="1" ht="36" customHeight="1" x14ac:dyDescent="0.5">
      <c r="A82" s="34" t="str">
        <f>VLOOKUP(A78,Panchanga!$A$3:$AC$463,11,TRUE)&amp;" " &amp;VLOOKUP(A78,Panchanga!$A$3:$AC$463,27,TRUE)</f>
        <v>Purva Bhadrapada 320.072123732243</v>
      </c>
      <c r="B82" s="35" t="str">
        <f>VLOOKUP(B78,Panchanga!$A$3:$AC$463,11,TRUE)&amp;" " &amp;VLOOKUP(B78,Panchanga!$A$3:$AC$463,27,TRUE)</f>
        <v>Uttara Bhadrapada 320.180563001907</v>
      </c>
      <c r="C82" s="35" t="str">
        <f>VLOOKUP(C78,Panchanga!$A$3:$AC$463,11,TRUE)&amp;" " &amp;VLOOKUP(C78,Panchanga!$A$3:$AC$463,27,TRUE)</f>
        <v>Revati 320.288288881899</v>
      </c>
      <c r="D82" s="35" t="str">
        <f>VLOOKUP(D78,Panchanga!$A$3:$AC$463,11,TRUE)&amp;" " &amp;VLOOKUP(D78,Panchanga!$A$3:$AC$463,27,TRUE)</f>
        <v>Bharani 320.395281842506</v>
      </c>
      <c r="E82" s="43" t="str">
        <f>VLOOKUP(E78,Panchanga!$A$3:$AC$463,11,TRUE)&amp;" " &amp;VLOOKUP(E78,Panchanga!$A$3:$AC$463,27,TRUE)</f>
        <v>Krittika 320.501522955062</v>
      </c>
      <c r="F82" s="35" t="str">
        <f>VLOOKUP(F78,Panchanga!$A$3:$AC$463,11,TRUE)&amp;" " &amp;VLOOKUP(F78,Panchanga!$A$3:$AC$463,27,TRUE)</f>
        <v>Rohini 320.60699400121</v>
      </c>
      <c r="G82" s="54" t="str">
        <f>VLOOKUP(G78,Panchanga!$A$3:$AC$463,11,TRUE)&amp;" " &amp;VLOOKUP(G78,Panchanga!$A$3:$AC$463,27,TRUE)</f>
        <v>Mrigashira 320.711677469099</v>
      </c>
    </row>
    <row r="83" spans="1:7" s="20" customFormat="1" ht="36" customHeight="1" x14ac:dyDescent="0.5">
      <c r="A83" s="37" t="str">
        <f>VLOOKUP(A78,Panchanga!$A$3:$AC$463,13,TRUE)</f>
        <v>K13 (27.96)</v>
      </c>
      <c r="B83" s="38" t="str">
        <f>VLOOKUP(B78,Panchanga!$A$3:$AC$463,13,TRUE)</f>
        <v>K15 (29.13)</v>
      </c>
      <c r="C83" s="38" t="str">
        <f>VLOOKUP(C78,Panchanga!$A$3:$AC$463,13,TRUE)</f>
        <v>S1 (0.3)</v>
      </c>
      <c r="D83" s="38" t="str">
        <f>VLOOKUP(D78,Panchanga!$A$3:$AC$463,13,TRUE)</f>
        <v>S2 (1.45)</v>
      </c>
      <c r="E83" s="47" t="str">
        <f>VLOOKUP(E78,Panchanga!$A$3:$AC$463,13,TRUE)</f>
        <v>S3 (2.58)</v>
      </c>
      <c r="F83" s="38" t="str">
        <f>VLOOKUP(F78,Panchanga!$A$3:$AC$463,13,TRUE)</f>
        <v>S4 (3.68)</v>
      </c>
      <c r="G83" s="48" t="str">
        <f>VLOOKUP(G78,Panchanga!$A$3:$AC$463,13,TRUE)</f>
        <v>S5 (4.74)</v>
      </c>
    </row>
    <row r="84" spans="1:7" s="20" customFormat="1" ht="36" customHeight="1" x14ac:dyDescent="0.5">
      <c r="A84" s="37">
        <f>VLOOKUP(A78,Panchanga!$A$3:$AC$463,14,TRUE)</f>
        <v>5.9155999999999977</v>
      </c>
      <c r="B84" s="38">
        <f>VLOOKUP(B78,Panchanga!$A$3:$AC$463,14,TRUE)</f>
        <v>8.2612000000000023</v>
      </c>
      <c r="C84" s="38">
        <f>VLOOKUP(C78,Panchanga!$A$3:$AC$463,14,TRUE)</f>
        <v>10.599600000000002</v>
      </c>
      <c r="D84" s="38">
        <f>VLOOKUP(D78,Panchanga!$A$3:$AC$463,14,TRUE)</f>
        <v>1.9074</v>
      </c>
      <c r="E84" s="47">
        <f>VLOOKUP(E78,Panchanga!$A$3:$AC$463,14,TRUE)</f>
        <v>4.1640000000000006</v>
      </c>
      <c r="F84" s="38">
        <f>VLOOKUP(F78,Panchanga!$A$3:$AC$463,14,TRUE)</f>
        <v>6.3552000000000008</v>
      </c>
      <c r="G84" s="48">
        <f>VLOOKUP(G78,Panchanga!$A$3:$AC$463,14,TRUE)</f>
        <v>1.4733999999999998</v>
      </c>
    </row>
    <row r="85" spans="1:7" s="20" customFormat="1" ht="36" customHeight="1" x14ac:dyDescent="0.25">
      <c r="A85" s="73">
        <f>VLOOKUP(A78,Panchanga!$A$3:$AC$463,18,TRUE)</f>
        <v>27.957799999999999</v>
      </c>
      <c r="B85" s="69">
        <f>VLOOKUP(B78,Panchanga!$A$3:$AC$463,18,TRUE)</f>
        <v>29.130600000000001</v>
      </c>
      <c r="C85" s="69">
        <f>VLOOKUP(C78,Panchanga!$A$3:$AC$463,18,TRUE)</f>
        <v>0.29980000000000001</v>
      </c>
      <c r="D85" s="69">
        <f>VLOOKUP(D78,Panchanga!$A$3:$AC$463,18,TRUE)</f>
        <v>1.4537</v>
      </c>
      <c r="E85" s="76">
        <f>VLOOKUP(E78,Panchanga!$A$3:$AC$463,18,TRUE)</f>
        <v>2.5820000000000003</v>
      </c>
      <c r="F85" s="69">
        <f>VLOOKUP(F78,Panchanga!$A$3:$AC$463,18,TRUE)</f>
        <v>3.6776000000000004</v>
      </c>
      <c r="G85" s="74">
        <f>VLOOKUP(G78,Panchanga!$A$3:$AC$463,18,TRUE)</f>
        <v>4.7366999999999999</v>
      </c>
    </row>
    <row r="86" spans="1:7" s="20" customFormat="1" ht="36" customHeight="1" x14ac:dyDescent="0.25">
      <c r="A86" s="73"/>
      <c r="B86" s="70"/>
      <c r="C86" s="70"/>
      <c r="D86" s="70"/>
      <c r="E86" s="77"/>
      <c r="F86" s="70"/>
      <c r="G86" s="75"/>
    </row>
    <row r="87" spans="1:7" ht="14.25" customHeight="1" thickBot="1" x14ac:dyDescent="0.55000000000000004">
      <c r="A87" s="45"/>
      <c r="B87" s="46"/>
      <c r="C87" s="46"/>
      <c r="D87" s="46"/>
      <c r="E87" s="40"/>
      <c r="F87" s="46"/>
      <c r="G87" s="41"/>
    </row>
    <row r="88" spans="1:7" s="22" customFormat="1" ht="45" x14ac:dyDescent="0.35">
      <c r="A88" s="58">
        <f>G78+1</f>
        <v>45396</v>
      </c>
      <c r="B88" s="59">
        <f t="shared" ref="B88" si="17">A88+1</f>
        <v>45397</v>
      </c>
      <c r="C88" s="59">
        <f t="shared" ref="C88" si="18">B88+1</f>
        <v>45398</v>
      </c>
      <c r="D88" s="59">
        <f t="shared" ref="D88" si="19">C88+1</f>
        <v>45399</v>
      </c>
      <c r="E88" s="60">
        <f t="shared" ref="E88" si="20">D88+1</f>
        <v>45400</v>
      </c>
      <c r="F88" s="59">
        <f t="shared" ref="F88" si="21">E88+1</f>
        <v>45401</v>
      </c>
      <c r="G88" s="61">
        <f t="shared" ref="G88" si="22">F88+1</f>
        <v>45402</v>
      </c>
    </row>
    <row r="89" spans="1:7" s="20" customFormat="1" ht="36" customHeight="1" x14ac:dyDescent="0.5">
      <c r="A89" s="28" t="str">
        <f>TEXT(VLOOKUP(A88,Panchanga!$A$3:$AC$463,3,TRUE),"HH:MM AM/PM")&amp;" - "&amp;TEXT(VLOOKUP(A88,Panchanga!$A$3:$AC$463,4,TRUE),"HH:MM AM/PM")</f>
        <v>05:58 AM - 06:21 PM</v>
      </c>
      <c r="B89" s="29" t="str">
        <f>TEXT(VLOOKUP(B88,Panchanga!$A$3:$AC$463,3,TRUE),"HH:MM AM/PM")&amp;" - "&amp;TEXT(VLOOKUP(B88,Panchanga!$A$3:$AC$463,4,TRUE),"HH:MM AM/PM")</f>
        <v>05:57 AM - 06:21 PM</v>
      </c>
      <c r="C89" s="29" t="str">
        <f>TEXT(VLOOKUP(C88,Panchanga!$A$3:$AC$463,3,TRUE),"HH:MM AM/PM")&amp;" - "&amp;TEXT(VLOOKUP(C88,Panchanga!$A$3:$AC$463,4,TRUE),"HH:MM AM/PM")</f>
        <v>05:56 AM - 06:21 PM</v>
      </c>
      <c r="D89" s="29" t="str">
        <f>TEXT(VLOOKUP(D88,Panchanga!$A$3:$AC$463,3,TRUE),"HH:MM AM/PM")&amp;" - "&amp;TEXT(VLOOKUP(D88,Panchanga!$A$3:$AC$463,4,TRUE),"HH:MM AM/PM")</f>
        <v>05:56 AM - 06:21 PM</v>
      </c>
      <c r="E89" s="50" t="str">
        <f>TEXT(VLOOKUP(E88,Panchanga!$A$3:$AC$463,3,TRUE),"HH:MM AM/PM")&amp;" - "&amp;TEXT(VLOOKUP(E88,Panchanga!$A$3:$AC$463,4,TRUE),"HH:MM AM/PM")</f>
        <v>05:55 AM - 06:22 PM</v>
      </c>
      <c r="F89" s="29" t="str">
        <f>TEXT(VLOOKUP(F88,Panchanga!$A$3:$AC$463,3,TRUE),"HH:MM AM/PM")&amp;" - "&amp;TEXT(VLOOKUP(F88,Panchanga!$A$3:$AC$463,4,TRUE),"HH:MM AM/PM")</f>
        <v>05:55 AM - 06:22 PM</v>
      </c>
      <c r="G89" s="52" t="str">
        <f>TEXT(VLOOKUP(G88,Panchanga!$A$3:$AC$463,3,TRUE),"HH:MM AM/PM")&amp;" - "&amp;TEXT(VLOOKUP(G88,Panchanga!$A$3:$AC$463,4,TRUE),"HH:MM AM/PM")</f>
        <v>05:54 AM - 06:22 PM</v>
      </c>
    </row>
    <row r="90" spans="1:7" s="20" customFormat="1" ht="36" customHeight="1" x14ac:dyDescent="0.5">
      <c r="A90" s="31" t="str">
        <f>"Su="&amp;VLOOKUP(A88,Panchanga!$A$3:$AC$463,6,TRUE)&amp;",Mo="&amp;VLOOKUP(A88,Panchanga!$A$3:$AC$463,7,TRUE)</f>
        <v>Su=45397.0044142214,Mo=45396.0195161667</v>
      </c>
      <c r="B90" s="32" t="str">
        <f>"Su="&amp;VLOOKUP(B88,Panchanga!$A$3:$AC$463,6,TRUE)&amp;",Mo="&amp;VLOOKUP(B88,Panchanga!$A$3:$AC$463,7,TRUE)</f>
        <v>Su=45398.0397855092,Mo=45397.0190991307</v>
      </c>
      <c r="C90" s="32" t="str">
        <f>"Su="&amp;VLOOKUP(C88,Panchanga!$A$3:$AC$463,6,TRUE)&amp;",Mo="&amp;VLOOKUP(C88,Panchanga!$A$3:$AC$463,7,TRUE)</f>
        <v>Su=45399.0714160406,Mo=45398.0186872933</v>
      </c>
      <c r="D90" s="32" t="str">
        <f>"Su="&amp;VLOOKUP(D88,Panchanga!$A$3:$AC$463,6,TRUE)&amp;",Mo="&amp;VLOOKUP(D88,Panchanga!$A$3:$AC$463,7,TRUE)</f>
        <v>Su=45400.0997700632,Mo=45399.0182808884</v>
      </c>
      <c r="E90" s="51" t="str">
        <f>"Su="&amp;VLOOKUP(E88,Panchanga!$A$3:$AC$463,6,TRUE)&amp;",Mo="&amp;VLOOKUP(E88,Panchanga!$A$3:$AC$463,7,TRUE)</f>
        <v>Su=45401.1255867525,Mo=45400.0178801501</v>
      </c>
      <c r="F90" s="32" t="str">
        <f>"Su="&amp;VLOOKUP(F88,Panchanga!$A$3:$AC$463,6,TRUE)&amp;",Mo="&amp;VLOOKUP(F88,Panchanga!$A$3:$AC$463,7,TRUE)</f>
        <v>Su=45402.1496830263,Mo=45401.017485314</v>
      </c>
      <c r="G90" s="53" t="str">
        <f>"Su="&amp;VLOOKUP(G88,Panchanga!$A$3:$AC$463,6,TRUE)&amp;",Mo="&amp;VLOOKUP(G88,Panchanga!$A$3:$AC$463,7,TRUE)</f>
        <v>Su=45403.1728673313,Mo=45402.0170966158</v>
      </c>
    </row>
    <row r="91" spans="1:7" s="20" customFormat="1" ht="36" customHeight="1" x14ac:dyDescent="0.5">
      <c r="A91" s="34" t="str">
        <f>VLOOKUP(A88,Panchanga!$A$3:$AC$463,9,TRUE)&amp;"-" &amp; TEXT(VLOOKUP(A88,Panchanga!$A$3:$AC$463,10,TRUE)," HH:MM AM/PM")</f>
        <v>2s9.48- 12:28 AM</v>
      </c>
      <c r="B91" s="35" t="str">
        <f>VLOOKUP(B88,Panchanga!$A$3:$AC$463,9,TRUE)&amp;"-" &amp; TEXT(VLOOKUP(B88,Panchanga!$A$3:$AC$463,10,TRUE)," HH:MM AM/PM")</f>
        <v>2s22.32- 12:27 AM</v>
      </c>
      <c r="C91" s="35" t="str">
        <f>VLOOKUP(C88,Panchanga!$A$3:$AC$463,9,TRUE)&amp;"-" &amp; TEXT(VLOOKUP(C88,Panchanga!$A$3:$AC$463,10,TRUE)," HH:MM AM/PM")</f>
        <v>3s4.81- 12:26 AM</v>
      </c>
      <c r="D91" s="35" t="str">
        <f>VLOOKUP(D88,Panchanga!$A$3:$AC$463,9,TRUE)&amp;"-" &amp; TEXT(VLOOKUP(D88,Panchanga!$A$3:$AC$463,10,TRUE)," HH:MM AM/PM")</f>
        <v>3s17.01- 12:26 AM</v>
      </c>
      <c r="E91" s="43" t="str">
        <f>VLOOKUP(E88,Panchanga!$A$3:$AC$463,9,TRUE)&amp;"-" &amp; TEXT(VLOOKUP(E88,Panchanga!$A$3:$AC$463,10,TRUE)," HH:MM AM/PM")</f>
        <v>3s29- 12:25 AM</v>
      </c>
      <c r="F91" s="35" t="str">
        <f>VLOOKUP(F88,Panchanga!$A$3:$AC$463,9,TRUE)&amp;"-" &amp; TEXT(VLOOKUP(F88,Panchanga!$A$3:$AC$463,10,TRUE)," HH:MM AM/PM")</f>
        <v>4s10.86- 12:25 AM</v>
      </c>
      <c r="G91" s="54" t="str">
        <f>VLOOKUP(G88,Panchanga!$A$3:$AC$463,9,TRUE)&amp;"-" &amp; TEXT(VLOOKUP(G88,Panchanga!$A$3:$AC$463,10,TRUE)," HH:MM AM/PM")</f>
        <v>4s22.66- 12:24 AM</v>
      </c>
    </row>
    <row r="92" spans="1:7" s="20" customFormat="1" ht="36" customHeight="1" x14ac:dyDescent="0.5">
      <c r="A92" s="34" t="str">
        <f>VLOOKUP(A88,Panchanga!$A$3:$AC$463,11,TRUE)&amp;" " &amp;VLOOKUP(A88,Panchanga!$A$3:$AC$463,27,TRUE)</f>
        <v>Ardra 320.815556463583</v>
      </c>
      <c r="B92" s="35" t="str">
        <f>VLOOKUP(B88,Panchanga!$A$3:$AC$463,11,TRUE)&amp;" " &amp;VLOOKUP(B88,Panchanga!$A$3:$AC$463,27,TRUE)</f>
        <v>Punarvasu 320.918614587125</v>
      </c>
      <c r="C92" s="35" t="str">
        <f>VLOOKUP(C88,Panchanga!$A$3:$AC$463,11,TRUE)&amp;" " &amp;VLOOKUP(C88,Panchanga!$A$3:$AC$463,27,TRUE)</f>
        <v>Pushya 321.020835831031</v>
      </c>
      <c r="D92" s="35" t="str">
        <f>VLOOKUP(D88,Panchanga!$A$3:$AC$463,11,TRUE)&amp;" " &amp;VLOOKUP(D88,Panchanga!$A$3:$AC$463,27,TRUE)</f>
        <v>Aslesha 321.122204488469</v>
      </c>
      <c r="E92" s="43" t="str">
        <f>VLOOKUP(E88,Panchanga!$A$3:$AC$463,11,TRUE)&amp;" " &amp;VLOOKUP(E88,Panchanga!$A$3:$AC$463,27,TRUE)</f>
        <v>Aslesha 321.222705090685</v>
      </c>
      <c r="F92" s="35" t="str">
        <f>VLOOKUP(F88,Panchanga!$A$3:$AC$463,11,TRUE)&amp;" " &amp;VLOOKUP(F88,Panchanga!$A$3:$AC$463,27,TRUE)</f>
        <v>Makha 321.322322356146</v>
      </c>
      <c r="G92" s="54" t="str">
        <f>VLOOKUP(G88,Panchanga!$A$3:$AC$463,11,TRUE)&amp;" " &amp;VLOOKUP(G88,Panchanga!$A$3:$AC$463,27,TRUE)</f>
        <v>Purva Phalguni 321.421041144758</v>
      </c>
    </row>
    <row r="93" spans="1:7" s="20" customFormat="1" ht="36" customHeight="1" x14ac:dyDescent="0.5">
      <c r="A93" s="37" t="str">
        <f>VLOOKUP(A88,Panchanga!$A$3:$AC$463,13,TRUE)</f>
        <v>S6 (5.76)</v>
      </c>
      <c r="B93" s="38" t="str">
        <f>VLOOKUP(B88,Panchanga!$A$3:$AC$463,13,TRUE)</f>
        <v>S7 (6.75)</v>
      </c>
      <c r="C93" s="38" t="str">
        <f>VLOOKUP(C88,Panchanga!$A$3:$AC$463,13,TRUE)</f>
        <v>S8 (7.71)</v>
      </c>
      <c r="D93" s="38" t="str">
        <f>VLOOKUP(D88,Panchanga!$A$3:$AC$463,13,TRUE)</f>
        <v>S9 (8.64)</v>
      </c>
      <c r="E93" s="47" t="str">
        <f>VLOOKUP(E88,Panchanga!$A$3:$AC$463,13,TRUE)</f>
        <v>S10 (9.56)</v>
      </c>
      <c r="F93" s="38" t="str">
        <f>VLOOKUP(F88,Panchanga!$A$3:$AC$463,13,TRUE)</f>
        <v>S11 (10.47)</v>
      </c>
      <c r="G93" s="48" t="str">
        <f>VLOOKUP(G88,Panchanga!$A$3:$AC$463,13,TRUE)</f>
        <v>S12 (11.37)</v>
      </c>
    </row>
    <row r="94" spans="1:7" s="20" customFormat="1" ht="36" customHeight="1" x14ac:dyDescent="0.5">
      <c r="A94" s="37">
        <f>VLOOKUP(A88,Panchanga!$A$3:$AC$463,14,TRUE)</f>
        <v>3.5185999999999993</v>
      </c>
      <c r="B94" s="38">
        <f>VLOOKUP(B88,Panchanga!$A$3:$AC$463,14,TRUE)</f>
        <v>5.4955999999999996</v>
      </c>
      <c r="C94" s="38">
        <f>VLOOKUP(C88,Panchanga!$A$3:$AC$463,14,TRUE)</f>
        <v>0.41380000000000017</v>
      </c>
      <c r="D94" s="38">
        <f>VLOOKUP(D88,Panchanga!$A$3:$AC$463,14,TRUE)</f>
        <v>2.2846000000000011</v>
      </c>
      <c r="E94" s="47">
        <f>VLOOKUP(E88,Panchanga!$A$3:$AC$463,14,TRUE)</f>
        <v>4.1205999999999996</v>
      </c>
      <c r="F94" s="38">
        <f>VLOOKUP(F88,Panchanga!$A$3:$AC$463,14,TRUE)</f>
        <v>5.9344000000000001</v>
      </c>
      <c r="G94" s="48">
        <f>VLOOKUP(G88,Panchanga!$A$3:$AC$463,14,TRUE)</f>
        <v>0.73799999999999955</v>
      </c>
    </row>
    <row r="95" spans="1:7" s="20" customFormat="1" ht="36" customHeight="1" x14ac:dyDescent="0.25">
      <c r="A95" s="73">
        <f>VLOOKUP(A88,Panchanga!$A$3:$AC$463,18,TRUE)</f>
        <v>5.7592999999999996</v>
      </c>
      <c r="B95" s="69">
        <f>VLOOKUP(B88,Panchanga!$A$3:$AC$463,18,TRUE)</f>
        <v>6.7477999999999998</v>
      </c>
      <c r="C95" s="69">
        <f>VLOOKUP(C88,Panchanga!$A$3:$AC$463,18,TRUE)</f>
        <v>7.7069000000000001</v>
      </c>
      <c r="D95" s="69">
        <f>VLOOKUP(D88,Panchanga!$A$3:$AC$463,18,TRUE)</f>
        <v>8.6423000000000005</v>
      </c>
      <c r="E95" s="76">
        <f>VLOOKUP(E88,Panchanga!$A$3:$AC$463,18,TRUE)</f>
        <v>9.5602999999999998</v>
      </c>
      <c r="F95" s="69">
        <f>VLOOKUP(F88,Panchanga!$A$3:$AC$463,18,TRUE)</f>
        <v>10.4672</v>
      </c>
      <c r="G95" s="74">
        <f>VLOOKUP(G88,Panchanga!$A$3:$AC$463,18,TRUE)</f>
        <v>11.369</v>
      </c>
    </row>
    <row r="96" spans="1:7" s="20" customFormat="1" ht="36" customHeight="1" x14ac:dyDescent="0.25">
      <c r="A96" s="73"/>
      <c r="B96" s="70"/>
      <c r="C96" s="70"/>
      <c r="D96" s="70"/>
      <c r="E96" s="77"/>
      <c r="F96" s="70"/>
      <c r="G96" s="75"/>
    </row>
    <row r="97" spans="1:7" ht="14.25" customHeight="1" thickBot="1" x14ac:dyDescent="0.55000000000000004">
      <c r="A97" s="45"/>
      <c r="B97" s="46"/>
      <c r="C97" s="46"/>
      <c r="D97" s="46"/>
      <c r="E97" s="40"/>
      <c r="F97" s="46"/>
      <c r="G97" s="41"/>
    </row>
    <row r="98" spans="1:7" s="21" customFormat="1" ht="45" x14ac:dyDescent="0.5">
      <c r="A98" s="58">
        <f>G88+1</f>
        <v>45403</v>
      </c>
      <c r="B98" s="59">
        <f t="shared" ref="B98" si="23">A98+1</f>
        <v>45404</v>
      </c>
      <c r="C98" s="59">
        <f t="shared" ref="C98" si="24">B98+1</f>
        <v>45405</v>
      </c>
      <c r="D98" s="59">
        <f t="shared" ref="D98" si="25">C98+1</f>
        <v>45406</v>
      </c>
      <c r="E98" s="60">
        <f t="shared" ref="E98" si="26">D98+1</f>
        <v>45407</v>
      </c>
      <c r="F98" s="59">
        <f t="shared" ref="F98" si="27">E98+1</f>
        <v>45408</v>
      </c>
      <c r="G98" s="61">
        <f t="shared" ref="G98" si="28">F98+1</f>
        <v>45409</v>
      </c>
    </row>
    <row r="99" spans="1:7" s="20" customFormat="1" ht="36" customHeight="1" x14ac:dyDescent="0.5">
      <c r="A99" s="28" t="str">
        <f>TEXT(VLOOKUP(A98,Panchanga!$A$3:$AC$463,3,TRUE),"HH:MM AM/PM")&amp;" - "&amp;TEXT(VLOOKUP(A98,Panchanga!$A$3:$AC$463,4,TRUE),"HH:MM AM/PM")</f>
        <v>05:54 AM - 06:22 PM</v>
      </c>
      <c r="B99" s="29" t="str">
        <f>TEXT(VLOOKUP(B98,Panchanga!$A$3:$AC$463,3,TRUE),"HH:MM AM/PM")&amp;" - "&amp;TEXT(VLOOKUP(B98,Panchanga!$A$3:$AC$463,4,TRUE),"HH:MM AM/PM")</f>
        <v>05:53 AM - 06:22 PM</v>
      </c>
      <c r="C99" s="29" t="str">
        <f>TEXT(VLOOKUP(C98,Panchanga!$A$3:$AC$463,3,TRUE),"HH:MM AM/PM")&amp;" - "&amp;TEXT(VLOOKUP(C98,Panchanga!$A$3:$AC$463,4,TRUE),"HH:MM AM/PM")</f>
        <v>05:53 AM - 06:22 PM</v>
      </c>
      <c r="D99" s="29" t="str">
        <f>TEXT(VLOOKUP(D98,Panchanga!$A$3:$AC$463,3,TRUE),"HH:MM AM/PM")&amp;" - "&amp;TEXT(VLOOKUP(D98,Panchanga!$A$3:$AC$463,4,TRUE),"HH:MM AM/PM")</f>
        <v>05:52 AM - 06:22 PM</v>
      </c>
      <c r="E99" s="50" t="str">
        <f>TEXT(VLOOKUP(E98,Panchanga!$A$3:$AC$463,3,TRUE),"HH:MM AM/PM")&amp;" - "&amp;TEXT(VLOOKUP(E98,Panchanga!$A$3:$AC$463,4,TRUE),"HH:MM AM/PM")</f>
        <v>05:51 AM - 06:23 PM</v>
      </c>
      <c r="F99" s="29" t="str">
        <f>TEXT(VLOOKUP(F98,Panchanga!$A$3:$AC$463,3,TRUE),"HH:MM AM/PM")&amp;" - "&amp;TEXT(VLOOKUP(F98,Panchanga!$A$3:$AC$463,4,TRUE),"HH:MM AM/PM")</f>
        <v>05:51 AM - 06:23 PM</v>
      </c>
      <c r="G99" s="52" t="str">
        <f>TEXT(VLOOKUP(G98,Panchanga!$A$3:$AC$463,3,TRUE),"HH:MM AM/PM")&amp;" - "&amp;TEXT(VLOOKUP(G98,Panchanga!$A$3:$AC$463,4,TRUE),"HH:MM AM/PM")</f>
        <v>05:50 AM - 06:23 PM</v>
      </c>
    </row>
    <row r="100" spans="1:7" s="20" customFormat="1" ht="36" customHeight="1" x14ac:dyDescent="0.5">
      <c r="A100" s="31" t="str">
        <f>"Su="&amp;VLOOKUP(A98,Panchanga!$A$3:$AC$463,6,TRUE)&amp;",Mo="&amp;VLOOKUP(A98,Panchanga!$A$3:$AC$463,7,TRUE)</f>
        <v>Su=45404.1959252168,Mo=45403.0167142911</v>
      </c>
      <c r="B100" s="32" t="str">
        <f>"Su="&amp;VLOOKUP(B98,Panchanga!$A$3:$AC$463,6,TRUE)&amp;",Mo="&amp;VLOOKUP(B98,Panchanga!$A$3:$AC$463,7,TRUE)</f>
        <v>Su=45405.2196364088,Mo=45404.0163385737</v>
      </c>
      <c r="C100" s="32" t="str">
        <f>"Su="&amp;VLOOKUP(C98,Panchanga!$A$3:$AC$463,6,TRUE)&amp;",Mo="&amp;VLOOKUP(C98,Panchanga!$A$3:$AC$463,7,TRUE)</f>
        <v>Su=45406.2447945188,Mo=45405.0159696983</v>
      </c>
      <c r="D100" s="32" t="str">
        <f>"Su="&amp;VLOOKUP(D98,Panchanga!$A$3:$AC$463,6,TRUE)&amp;",Mo="&amp;VLOOKUP(D98,Panchanga!$A$3:$AC$463,7,TRUE)</f>
        <v>Su=45407.2722025217,Mo=45406.0156078953</v>
      </c>
      <c r="E100" s="51" t="str">
        <f>"Su="&amp;VLOOKUP(E98,Panchanga!$A$3:$AC$463,6,TRUE)&amp;",Mo="&amp;VLOOKUP(E98,Panchanga!$A$3:$AC$463,7,TRUE)</f>
        <v>Su=45408.3026079104,Mo=45407.0152533948</v>
      </c>
      <c r="F100" s="32" t="str">
        <f>"Su="&amp;VLOOKUP(F98,Panchanga!$A$3:$AC$463,6,TRUE)&amp;",Mo="&amp;VLOOKUP(F98,Panchanga!$A$3:$AC$463,7,TRUE)</f>
        <v>Su=45409.3365369431,Mo=45408.0149064217</v>
      </c>
      <c r="G100" s="53" t="str">
        <f>"Su="&amp;VLOOKUP(G98,Panchanga!$A$3:$AC$463,6,TRUE)&amp;",Mo="&amp;VLOOKUP(G98,Panchanga!$A$3:$AC$463,7,TRUE)</f>
        <v>Su=45410.3740315239,Mo=45409.0145671977</v>
      </c>
    </row>
    <row r="101" spans="1:7" s="20" customFormat="1" ht="36" customHeight="1" x14ac:dyDescent="0.5">
      <c r="A101" s="34" t="str">
        <f>VLOOKUP(A98,Panchanga!$A$3:$AC$463,9,TRUE)&amp;"-" &amp; TEXT(VLOOKUP(A98,Panchanga!$A$3:$AC$463,10,TRUE)," HH:MM AM/PM")</f>
        <v>5s4.46- 12:24 AM</v>
      </c>
      <c r="B101" s="35" t="str">
        <f>VLOOKUP(B98,Panchanga!$A$3:$AC$463,9,TRUE)&amp;"-" &amp; TEXT(VLOOKUP(B98,Panchanga!$A$3:$AC$463,10,TRUE)," HH:MM AM/PM")</f>
        <v>5s16.32- 12:23 AM</v>
      </c>
      <c r="C101" s="35" t="str">
        <f>VLOOKUP(C98,Panchanga!$A$3:$AC$463,9,TRUE)&amp;"-" &amp; TEXT(VLOOKUP(C98,Panchanga!$A$3:$AC$463,10,TRUE)," HH:MM AM/PM")</f>
        <v>5s28.28- 12:23 AM</v>
      </c>
      <c r="D101" s="35" t="str">
        <f>VLOOKUP(D98,Panchanga!$A$3:$AC$463,9,TRUE)&amp;"-" &amp; TEXT(VLOOKUP(D98,Panchanga!$A$3:$AC$463,10,TRUE)," HH:MM AM/PM")</f>
        <v>6s10.39- 12:22 AM</v>
      </c>
      <c r="E101" s="43" t="str">
        <f>VLOOKUP(E98,Panchanga!$A$3:$AC$463,9,TRUE)&amp;"-" &amp; TEXT(VLOOKUP(E98,Panchanga!$A$3:$AC$463,10,TRUE)," HH:MM AM/PM")</f>
        <v>6s22.67- 12:21 AM</v>
      </c>
      <c r="F101" s="35" t="str">
        <f>VLOOKUP(F98,Panchanga!$A$3:$AC$463,9,TRUE)&amp;"-" &amp; TEXT(VLOOKUP(F98,Panchanga!$A$3:$AC$463,10,TRUE)," HH:MM AM/PM")</f>
        <v>7s5.15- 12:21 AM</v>
      </c>
      <c r="G101" s="54" t="str">
        <f>VLOOKUP(G98,Panchanga!$A$3:$AC$463,9,TRUE)&amp;"-" &amp; TEXT(VLOOKUP(G98,Panchanga!$A$3:$AC$463,10,TRUE)," HH:MM AM/PM")</f>
        <v>7s17.84- 12:20 AM</v>
      </c>
    </row>
    <row r="102" spans="1:7" s="20" customFormat="1" ht="36" customHeight="1" x14ac:dyDescent="0.5">
      <c r="A102" s="34" t="str">
        <f>VLOOKUP(A98,Panchanga!$A$3:$AC$463,11,TRUE)&amp;" " &amp;VLOOKUP(A98,Panchanga!$A$3:$AC$463,27,TRUE)</f>
        <v>Uttara Phalguni 321.518846423386</v>
      </c>
      <c r="B102" s="35" t="str">
        <f>VLOOKUP(B98,Panchanga!$A$3:$AC$463,11,TRUE)&amp;" " &amp;VLOOKUP(B98,Panchanga!$A$3:$AC$463,27,TRUE)</f>
        <v>Hasta 321.61572322771</v>
      </c>
      <c r="C102" s="35" t="str">
        <f>VLOOKUP(C98,Panchanga!$A$3:$AC$463,11,TRUE)&amp;" " &amp;VLOOKUP(C98,Panchanga!$A$3:$AC$463,27,TRUE)</f>
        <v>Chitra 321.711656635531</v>
      </c>
      <c r="D102" s="35" t="str">
        <f>VLOOKUP(D98,Panchanga!$A$3:$AC$463,11,TRUE)&amp;" " &amp;VLOOKUP(D98,Panchanga!$A$3:$AC$463,27,TRUE)</f>
        <v>Swati 321.806631721363</v>
      </c>
      <c r="E102" s="43" t="str">
        <f>VLOOKUP(E98,Panchanga!$A$3:$AC$463,11,TRUE)&amp;" " &amp;VLOOKUP(E98,Panchanga!$A$3:$AC$463,27,TRUE)</f>
        <v>Visakha 321.900633502903</v>
      </c>
      <c r="F102" s="35" t="str">
        <f>VLOOKUP(F98,Panchanga!$A$3:$AC$463,11,TRUE)&amp;" " &amp;VLOOKUP(F98,Panchanga!$A$3:$AC$463,27,TRUE)</f>
        <v>Anuradha 321.993646870754</v>
      </c>
      <c r="G102" s="54" t="str">
        <f>VLOOKUP(G98,Panchanga!$A$3:$AC$463,11,TRUE)&amp;" " &amp;VLOOKUP(G98,Panchanga!$A$3:$AC$463,27,TRUE)</f>
        <v>Jyestha 322.085656514409</v>
      </c>
    </row>
    <row r="103" spans="1:7" s="20" customFormat="1" ht="36" customHeight="1" x14ac:dyDescent="0.5">
      <c r="A103" s="37" t="str">
        <f>VLOOKUP(A98,Panchanga!$A$3:$AC$463,13,TRUE)</f>
        <v>S13 (12.27)</v>
      </c>
      <c r="B103" s="38" t="str">
        <f>VLOOKUP(B98,Panchanga!$A$3:$AC$463,13,TRUE)</f>
        <v>S14 (13.18)</v>
      </c>
      <c r="C103" s="38" t="str">
        <f>VLOOKUP(C98,Panchanga!$A$3:$AC$463,13,TRUE)</f>
        <v>S15 (14.09)</v>
      </c>
      <c r="D103" s="38" t="str">
        <f>VLOOKUP(D98,Panchanga!$A$3:$AC$463,13,TRUE)</f>
        <v>K1 (15.02)</v>
      </c>
      <c r="E103" s="47" t="str">
        <f>VLOOKUP(E98,Panchanga!$A$3:$AC$463,13,TRUE)</f>
        <v>K1 (15.96)</v>
      </c>
      <c r="F103" s="38" t="str">
        <f>VLOOKUP(F98,Panchanga!$A$3:$AC$463,13,TRUE)</f>
        <v>K2 (16.92)</v>
      </c>
      <c r="G103" s="48" t="str">
        <f>VLOOKUP(G98,Panchanga!$A$3:$AC$463,13,TRUE)</f>
        <v>K3 (17.9)</v>
      </c>
    </row>
    <row r="104" spans="1:7" s="20" customFormat="1" ht="36" customHeight="1" x14ac:dyDescent="0.5">
      <c r="A104" s="37">
        <f>VLOOKUP(A98,Panchanga!$A$3:$AC$463,14,TRUE)</f>
        <v>2.541999999999998</v>
      </c>
      <c r="B104" s="38">
        <f>VLOOKUP(B98,Panchanga!$A$3:$AC$463,14,TRUE)</f>
        <v>4.3562000000000012</v>
      </c>
      <c r="C104" s="38">
        <f>VLOOKUP(C98,Panchanga!$A$3:$AC$463,14,TRUE)</f>
        <v>6.1877999999999993</v>
      </c>
      <c r="D104" s="38">
        <f>VLOOKUP(D98,Panchanga!$A$3:$AC$463,14,TRUE)</f>
        <v>1.0435999999999979</v>
      </c>
      <c r="E104" s="47">
        <f>VLOOKUP(E98,Panchanga!$A$3:$AC$463,14,TRUE)</f>
        <v>2.9282000000000004</v>
      </c>
      <c r="F104" s="38">
        <f>VLOOKUP(F98,Panchanga!$A$3:$AC$463,14,TRUE)</f>
        <v>4.8451999999999984</v>
      </c>
      <c r="G104" s="48">
        <f>VLOOKUP(G98,Panchanga!$A$3:$AC$463,14,TRUE)</f>
        <v>6.7978000000000023</v>
      </c>
    </row>
    <row r="105" spans="1:7" s="20" customFormat="1" ht="36" customHeight="1" x14ac:dyDescent="0.25">
      <c r="A105" s="73">
        <f>VLOOKUP(A98,Panchanga!$A$3:$AC$463,18,TRUE)</f>
        <v>12.270999999999999</v>
      </c>
      <c r="B105" s="69">
        <f>VLOOKUP(B98,Panchanga!$A$3:$AC$463,18,TRUE)</f>
        <v>13.178100000000001</v>
      </c>
      <c r="C105" s="69">
        <f>VLOOKUP(C98,Panchanga!$A$3:$AC$463,18,TRUE)</f>
        <v>14.0939</v>
      </c>
      <c r="D105" s="69">
        <f>VLOOKUP(D98,Panchanga!$A$3:$AC$463,18,TRUE)</f>
        <v>15.021799999999999</v>
      </c>
      <c r="E105" s="76">
        <f>VLOOKUP(E98,Panchanga!$A$3:$AC$463,18,TRUE)</f>
        <v>15.9641</v>
      </c>
      <c r="F105" s="69">
        <f>VLOOKUP(F98,Panchanga!$A$3:$AC$463,18,TRUE)</f>
        <v>16.922599999999999</v>
      </c>
      <c r="G105" s="74">
        <f>VLOOKUP(G98,Panchanga!$A$3:$AC$463,18,TRUE)</f>
        <v>17.898900000000001</v>
      </c>
    </row>
    <row r="106" spans="1:7" s="20" customFormat="1" ht="36" customHeight="1" x14ac:dyDescent="0.25">
      <c r="A106" s="73"/>
      <c r="B106" s="70"/>
      <c r="C106" s="70"/>
      <c r="D106" s="70"/>
      <c r="E106" s="77"/>
      <c r="F106" s="70"/>
      <c r="G106" s="75"/>
    </row>
    <row r="107" spans="1:7" ht="14.25" customHeight="1" thickBot="1" x14ac:dyDescent="0.55000000000000004">
      <c r="A107" s="45"/>
      <c r="B107" s="46"/>
      <c r="C107" s="46"/>
      <c r="D107" s="46"/>
      <c r="E107" s="40"/>
      <c r="F107" s="46"/>
      <c r="G107" s="41"/>
    </row>
    <row r="108" spans="1:7" s="21" customFormat="1" ht="45" x14ac:dyDescent="0.5">
      <c r="A108" s="58">
        <f>G98+1</f>
        <v>45410</v>
      </c>
      <c r="B108" s="59">
        <f t="shared" ref="B108" si="29">A108+1</f>
        <v>45411</v>
      </c>
      <c r="C108" s="59">
        <f t="shared" ref="C108" si="30">B108+1</f>
        <v>45412</v>
      </c>
      <c r="D108" s="59">
        <f t="shared" ref="D108" si="31">C108+1</f>
        <v>45413</v>
      </c>
      <c r="E108" s="60">
        <f t="shared" ref="E108" si="32">D108+1</f>
        <v>45414</v>
      </c>
      <c r="F108" s="59">
        <f t="shared" ref="F108" si="33">E108+1</f>
        <v>45415</v>
      </c>
      <c r="G108" s="61">
        <f t="shared" ref="G108" si="34">F108+1</f>
        <v>45416</v>
      </c>
    </row>
    <row r="109" spans="1:7" s="20" customFormat="1" ht="36" customHeight="1" x14ac:dyDescent="0.5">
      <c r="A109" s="28" t="str">
        <f>TEXT(VLOOKUP(A108,Panchanga!$A$3:$AC$463,3,TRUE),"HH:MM AM/PM")&amp;" - "&amp;TEXT(VLOOKUP(A108,Panchanga!$A$3:$AC$463,4,TRUE),"HH:MM AM/PM")</f>
        <v>05:50 AM - 06:23 PM</v>
      </c>
      <c r="B109" s="29" t="str">
        <f>TEXT(VLOOKUP(B108,Panchanga!$A$3:$AC$463,3,TRUE),"HH:MM AM/PM")&amp;" - "&amp;TEXT(VLOOKUP(B108,Panchanga!$A$3:$AC$463,4,TRUE),"HH:MM AM/PM")</f>
        <v>05:50 AM - 06:23 PM</v>
      </c>
      <c r="C109" s="29" t="str">
        <f>TEXT(VLOOKUP(C108,Panchanga!$A$3:$AC$463,3,TRUE),"HH:MM AM/PM")&amp;" - "&amp;TEXT(VLOOKUP(C108,Panchanga!$A$3:$AC$463,4,TRUE),"HH:MM AM/PM")</f>
        <v>05:49 AM - 06:23 PM</v>
      </c>
      <c r="D109" s="29" t="str">
        <f>TEXT(VLOOKUP(D108,Panchanga!$A$3:$AC$463,3,TRUE),"HH:MM AM/PM")&amp;" - "&amp;TEXT(VLOOKUP(D108,Panchanga!$A$3:$AC$463,4,TRUE),"HH:MM AM/PM")</f>
        <v>05:49 AM - 06:24 PM</v>
      </c>
      <c r="E109" s="50" t="str">
        <f>TEXT(VLOOKUP(E108,Panchanga!$A$3:$AC$463,3,TRUE),"HH:MM AM/PM")&amp;" - "&amp;TEXT(VLOOKUP(E108,Panchanga!$A$3:$AC$463,4,TRUE),"HH:MM AM/PM")</f>
        <v>05:48 AM - 06:24 PM</v>
      </c>
      <c r="F109" s="29" t="str">
        <f>TEXT(VLOOKUP(F108,Panchanga!$A$3:$AC$463,3,TRUE),"HH:MM AM/PM")&amp;" - "&amp;TEXT(VLOOKUP(F108,Panchanga!$A$3:$AC$463,4,TRUE),"HH:MM AM/PM")</f>
        <v>05:48 AM - 06:24 PM</v>
      </c>
      <c r="G109" s="52" t="str">
        <f>TEXT(VLOOKUP(G108,Panchanga!$A$3:$AC$463,3,TRUE),"HH:MM AM/PM")&amp;" - "&amp;TEXT(VLOOKUP(G108,Panchanga!$A$3:$AC$463,4,TRUE),"HH:MM AM/PM")</f>
        <v>05:47 AM - 06:24 PM</v>
      </c>
    </row>
    <row r="110" spans="1:7" s="20" customFormat="1" ht="36" customHeight="1" x14ac:dyDescent="0.5">
      <c r="A110" s="31" t="str">
        <f>"Su="&amp;VLOOKUP(A108,Panchanga!$A$3:$AC$463,6,TRUE)&amp;",Mo="&amp;VLOOKUP(A108,Panchanga!$A$3:$AC$463,7,TRUE)</f>
        <v>Su=45411.4144274077,Mo=45410.0142359393</v>
      </c>
      <c r="B110" s="32" t="str">
        <f>"Su="&amp;VLOOKUP(B108,Panchanga!$A$3:$AC$463,6,TRUE)&amp;",Mo="&amp;VLOOKUP(B108,Panchanga!$A$3:$AC$463,7,TRUE)</f>
        <v>Su=45412.4564364475,Mo=45411.0139128551</v>
      </c>
      <c r="C110" s="32" t="str">
        <f>"Su="&amp;VLOOKUP(C108,Panchanga!$A$3:$AC$463,6,TRUE)&amp;",Mo="&amp;VLOOKUP(C108,Panchanga!$A$3:$AC$463,7,TRUE)</f>
        <v>Su=45413.4986291017,Mo=45412.0135981468</v>
      </c>
      <c r="D110" s="32" t="str">
        <f>"Su="&amp;VLOOKUP(D108,Panchanga!$A$3:$AC$463,6,TRUE)&amp;",Mo="&amp;VLOOKUP(D108,Panchanga!$A$3:$AC$463,7,TRUE)</f>
        <v>Su=45413.4986291418,Mo=45413.0132920066</v>
      </c>
      <c r="E110" s="51" t="str">
        <f>"Su="&amp;VLOOKUP(E108,Panchanga!$A$3:$AC$463,6,TRUE)&amp;",Mo="&amp;VLOOKUP(E108,Panchanga!$A$3:$AC$463,7,TRUE)</f>
        <v>Su=45414.5400053301,Mo=45414.0129946162</v>
      </c>
      <c r="F110" s="32" t="str">
        <f>"Su="&amp;VLOOKUP(F108,Panchanga!$A$3:$AC$463,6,TRUE)&amp;",Mo="&amp;VLOOKUP(F108,Panchanga!$A$3:$AC$463,7,TRUE)</f>
        <v>Su=45415.5802606071,Mo=45415.0127061419</v>
      </c>
      <c r="G110" s="53" t="str">
        <f>"Su="&amp;VLOOKUP(G108,Panchanga!$A$3:$AC$463,6,TRUE)&amp;",Mo="&amp;VLOOKUP(G108,Panchanga!$A$3:$AC$463,7,TRUE)</f>
        <v>Su=45416.6197014657,Mo=45416.0124267353</v>
      </c>
    </row>
    <row r="111" spans="1:7" s="20" customFormat="1" ht="36" customHeight="1" x14ac:dyDescent="0.5">
      <c r="A111" s="34" t="str">
        <f>VLOOKUP(A108,Panchanga!$A$3:$AC$463,9,TRUE)&amp;"-" &amp; TEXT(VLOOKUP(A108,Panchanga!$A$3:$AC$463,10,TRUE)," HH:MM AM/PM")</f>
        <v>8s0.75- 12:20 AM</v>
      </c>
      <c r="B111" s="35" t="str">
        <f>VLOOKUP(B108,Panchanga!$A$3:$AC$463,9,TRUE)&amp;"-" &amp; TEXT(VLOOKUP(B108,Panchanga!$A$3:$AC$463,10,TRUE)," HH:MM AM/PM")</f>
        <v>8s13.9- 12:20 AM</v>
      </c>
      <c r="C111" s="35" t="str">
        <f>VLOOKUP(C108,Panchanga!$A$3:$AC$463,9,TRUE)&amp;"-" &amp; TEXT(VLOOKUP(C108,Panchanga!$A$3:$AC$463,10,TRUE)," HH:MM AM/PM")</f>
        <v>8s27.3- 12:19 AM</v>
      </c>
      <c r="D111" s="35" t="str">
        <f>VLOOKUP(D108,Panchanga!$A$3:$AC$463,9,TRUE)&amp;"-" &amp; TEXT(VLOOKUP(D108,Panchanga!$A$3:$AC$463,10,TRUE)," HH:MM AM/PM")</f>
        <v>9s10.96- 12:19 AM</v>
      </c>
      <c r="E111" s="43" t="str">
        <f>VLOOKUP(E108,Panchanga!$A$3:$AC$463,9,TRUE)&amp;"-" &amp; TEXT(VLOOKUP(E108,Panchanga!$A$3:$AC$463,10,TRUE)," HH:MM AM/PM")</f>
        <v>9s24.88- 12:18 AM</v>
      </c>
      <c r="F111" s="35" t="str">
        <f>VLOOKUP(F108,Panchanga!$A$3:$AC$463,9,TRUE)&amp;"-" &amp; TEXT(VLOOKUP(F108,Panchanga!$A$3:$AC$463,10,TRUE)," HH:MM AM/PM")</f>
        <v>10s9.05- 12:18 AM</v>
      </c>
      <c r="G111" s="54" t="str">
        <f>VLOOKUP(G108,Panchanga!$A$3:$AC$463,9,TRUE)&amp;"-" &amp; TEXT(VLOOKUP(G108,Panchanga!$A$3:$AC$463,10,TRUE)," HH:MM AM/PM")</f>
        <v>10s23.44- 12:17 AM</v>
      </c>
    </row>
    <row r="112" spans="1:7" s="20" customFormat="1" ht="36" customHeight="1" x14ac:dyDescent="0.5">
      <c r="A112" s="34" t="str">
        <f>VLOOKUP(A108,Panchanga!$A$3:$AC$463,11,TRUE)&amp;" " &amp;VLOOKUP(A108,Panchanga!$A$3:$AC$463,27,TRUE)</f>
        <v>Moola 322.176646848828</v>
      </c>
      <c r="B112" s="35" t="str">
        <f>VLOOKUP(B108,Panchanga!$A$3:$AC$463,11,TRUE)&amp;" " &amp;VLOOKUP(B108,Panchanga!$A$3:$AC$463,27,TRUE)</f>
        <v>Purva Asadha 322.266601965939</v>
      </c>
      <c r="C112" s="35" t="str">
        <f>VLOOKUP(C108,Panchanga!$A$3:$AC$463,11,TRUE)&amp;" " &amp;VLOOKUP(C108,Panchanga!$A$3:$AC$463,27,TRUE)</f>
        <v>Uttara Asadha 322.355505594367</v>
      </c>
      <c r="D112" s="35" t="str">
        <f>VLOOKUP(D108,Panchanga!$A$3:$AC$463,11,TRUE)&amp;" " &amp;VLOOKUP(D108,Panchanga!$A$3:$AC$463,27,TRUE)</f>
        <v>Sravana 322.443341082621</v>
      </c>
      <c r="E112" s="43" t="str">
        <f>VLOOKUP(E108,Panchanga!$A$3:$AC$463,11,TRUE)&amp;" " &amp;VLOOKUP(E108,Panchanga!$A$3:$AC$463,27,TRUE)</f>
        <v>Dhanistha 322.530091394562</v>
      </c>
      <c r="F112" s="35" t="str">
        <f>VLOOKUP(F108,Panchanga!$A$3:$AC$463,11,TRUE)&amp;" " &amp;VLOOKUP(F108,Panchanga!$A$3:$AC$463,27,TRUE)</f>
        <v>Satabhisaj 322.615739117845</v>
      </c>
      <c r="G112" s="54" t="str">
        <f>VLOOKUP(G108,Panchanga!$A$3:$AC$463,11,TRUE)&amp;" " &amp;VLOOKUP(G108,Panchanga!$A$3:$AC$463,27,TRUE)</f>
        <v>Purva Bhadrapada 322.70026652114</v>
      </c>
    </row>
    <row r="113" spans="1:7" s="20" customFormat="1" ht="36" customHeight="1" x14ac:dyDescent="0.5">
      <c r="A113" s="37" t="str">
        <f>VLOOKUP(A108,Panchanga!$A$3:$AC$463,13,TRUE)</f>
        <v>K4 (18.89)</v>
      </c>
      <c r="B113" s="38" t="str">
        <f>VLOOKUP(B108,Panchanga!$A$3:$AC$463,13,TRUE)</f>
        <v>K5 (19.91)</v>
      </c>
      <c r="C113" s="38" t="str">
        <f>VLOOKUP(C108,Panchanga!$A$3:$AC$463,13,TRUE)</f>
        <v>K6 (20.94)</v>
      </c>
      <c r="D113" s="38" t="str">
        <f>VLOOKUP(D108,Panchanga!$A$3:$AC$463,13,TRUE)</f>
        <v>K8 (22)</v>
      </c>
      <c r="E113" s="47" t="str">
        <f>VLOOKUP(E108,Panchanga!$A$3:$AC$463,13,TRUE)</f>
        <v>K9 (23.08)</v>
      </c>
      <c r="F113" s="38" t="str">
        <f>VLOOKUP(F108,Panchanga!$A$3:$AC$463,13,TRUE)</f>
        <v>K10 (24.18)</v>
      </c>
      <c r="G113" s="48" t="str">
        <f>VLOOKUP(G108,Panchanga!$A$3:$AC$463,13,TRUE)</f>
        <v>K11 (25.3)</v>
      </c>
    </row>
    <row r="114" spans="1:7" s="20" customFormat="1" ht="36" customHeight="1" x14ac:dyDescent="0.5">
      <c r="A114" s="37">
        <f>VLOOKUP(A108,Panchanga!$A$3:$AC$463,14,TRUE)</f>
        <v>1.7879999999999967</v>
      </c>
      <c r="B114" s="38">
        <f>VLOOKUP(B108,Panchanga!$A$3:$AC$463,14,TRUE)</f>
        <v>3.8179999999999978</v>
      </c>
      <c r="C114" s="38">
        <f>VLOOKUP(C108,Panchanga!$A$3:$AC$463,14,TRUE)</f>
        <v>5.8896000000000015</v>
      </c>
      <c r="D114" s="38">
        <f>VLOOKUP(D108,Panchanga!$A$3:$AC$463,14,TRUE)</f>
        <v>1.0039999999999978</v>
      </c>
      <c r="E114" s="47">
        <f>VLOOKUP(E108,Panchanga!$A$3:$AC$463,14,TRUE)</f>
        <v>3.1617999999999995</v>
      </c>
      <c r="F114" s="38">
        <f>VLOOKUP(F108,Panchanga!$A$3:$AC$463,14,TRUE)</f>
        <v>5.3616000000000028</v>
      </c>
      <c r="G114" s="48">
        <f>VLOOKUP(G108,Panchanga!$A$3:$AC$463,14,TRUE)</f>
        <v>0.59919999999999618</v>
      </c>
    </row>
    <row r="115" spans="1:7" s="20" customFormat="1" ht="36" customHeight="1" x14ac:dyDescent="0.25">
      <c r="A115" s="73">
        <f>VLOOKUP(A108,Panchanga!$A$3:$AC$463,18,TRUE)</f>
        <v>18.893999999999998</v>
      </c>
      <c r="B115" s="69">
        <f>VLOOKUP(B108,Panchanga!$A$3:$AC$463,18,TRUE)</f>
        <v>19.908999999999999</v>
      </c>
      <c r="C115" s="69">
        <f>VLOOKUP(C108,Panchanga!$A$3:$AC$463,18,TRUE)</f>
        <v>20.944800000000001</v>
      </c>
      <c r="D115" s="69">
        <f>VLOOKUP(D108,Panchanga!$A$3:$AC$463,18,TRUE)</f>
        <v>22.001999999999999</v>
      </c>
      <c r="E115" s="76">
        <f>VLOOKUP(E108,Panchanga!$A$3:$AC$463,18,TRUE)</f>
        <v>23.0809</v>
      </c>
      <c r="F115" s="69">
        <f>VLOOKUP(F108,Panchanga!$A$3:$AC$463,18,TRUE)</f>
        <v>24.180800000000001</v>
      </c>
      <c r="G115" s="74">
        <f>VLOOKUP(G108,Panchanga!$A$3:$AC$463,18,TRUE)</f>
        <v>25.299599999999998</v>
      </c>
    </row>
    <row r="116" spans="1:7" s="20" customFormat="1" ht="36" customHeight="1" x14ac:dyDescent="0.25">
      <c r="A116" s="73"/>
      <c r="B116" s="70"/>
      <c r="C116" s="70"/>
      <c r="D116" s="70"/>
      <c r="E116" s="77"/>
      <c r="F116" s="70"/>
      <c r="G116" s="75"/>
    </row>
    <row r="117" spans="1:7" ht="14.25" customHeight="1" thickBot="1" x14ac:dyDescent="0.55000000000000004">
      <c r="A117" s="45"/>
      <c r="B117" s="46"/>
      <c r="C117" s="46"/>
      <c r="D117" s="46"/>
      <c r="E117" s="40"/>
      <c r="F117" s="46"/>
      <c r="G117" s="41"/>
    </row>
    <row r="118" spans="1:7" s="21" customFormat="1" ht="45" x14ac:dyDescent="0.5">
      <c r="A118" s="58">
        <f>G108+1</f>
        <v>45417</v>
      </c>
      <c r="B118" s="59">
        <f>A118+1</f>
        <v>45418</v>
      </c>
      <c r="C118" s="59"/>
      <c r="D118" s="59"/>
      <c r="E118" s="59"/>
      <c r="F118" s="59"/>
      <c r="G118" s="66"/>
    </row>
    <row r="119" spans="1:7" s="20" customFormat="1" ht="36" customHeight="1" x14ac:dyDescent="0.5">
      <c r="A119" s="28" t="str">
        <f>TEXT(VLOOKUP(A118,Panchanga!$A$3:$AC$463,3,TRUE),"HH:MM AM/PM")&amp;" - "&amp;TEXT(VLOOKUP(A118,Panchanga!$A$3:$AC$463,4,TRUE),"HH:MM AM/PM")</f>
        <v>05:47 AM - 06:25 PM</v>
      </c>
      <c r="B119" s="29" t="str">
        <f>TEXT(VLOOKUP(B118,Panchanga!$A$3:$AC$463,3,TRUE),"HH:MM AM/PM")&amp;" - "&amp;TEXT(VLOOKUP(B118,Panchanga!$A$3:$AC$463,4,TRUE),"HH:MM AM/PM")</f>
        <v>05:47 AM - 06:25 PM</v>
      </c>
      <c r="C119" s="29" t="s">
        <v>33</v>
      </c>
      <c r="D119" s="29"/>
      <c r="E119" s="29"/>
      <c r="F119" s="29"/>
      <c r="G119" s="30"/>
    </row>
    <row r="120" spans="1:7" s="20" customFormat="1" ht="36" customHeight="1" x14ac:dyDescent="0.5">
      <c r="A120" s="31" t="str">
        <f>"Su="&amp;VLOOKUP(A118,Panchanga!$A$3:$AC$463,6,TRUE)&amp;",Mo="&amp;VLOOKUP(A118,Panchanga!$A$3:$AC$463,7,TRUE)</f>
        <v>Su=45417.6590062647,Mo=45417.0121565256</v>
      </c>
      <c r="B120" s="32" t="str">
        <f>"Su="&amp;VLOOKUP(B118,Panchanga!$A$3:$AC$463,6,TRUE)&amp;",Mo="&amp;VLOOKUP(B118,Panchanga!$A$3:$AC$463,7,TRUE)</f>
        <v>Su=45418.6989726235,Mo=45418.0118956221</v>
      </c>
      <c r="C120" s="32" t="s">
        <v>34</v>
      </c>
      <c r="D120" s="32"/>
      <c r="E120" s="32"/>
      <c r="F120" s="32"/>
      <c r="G120" s="33"/>
    </row>
    <row r="121" spans="1:7" s="20" customFormat="1" ht="36" customHeight="1" x14ac:dyDescent="0.5">
      <c r="A121" s="34" t="str">
        <f>VLOOKUP(A118,Panchanga!$A$3:$AC$463,9,TRUE)&amp;"-" &amp; TEXT(VLOOKUP(A118,Panchanga!$A$3:$AC$463,10,TRUE)," HH:MM AM/PM")</f>
        <v>11s8.01- 12:17 AM</v>
      </c>
      <c r="B121" s="35" t="str">
        <f>VLOOKUP(B118,Panchanga!$A$3:$AC$463,9,TRUE)&amp;"-" &amp; TEXT(VLOOKUP(B118,Panchanga!$A$3:$AC$463,10,TRUE)," HH:MM AM/PM")</f>
        <v>11s22.69- 12:17 AM</v>
      </c>
      <c r="C121" s="35" t="s">
        <v>29</v>
      </c>
      <c r="D121" s="35"/>
      <c r="E121" s="35"/>
      <c r="F121" s="35"/>
      <c r="G121" s="36"/>
    </row>
    <row r="122" spans="1:7" s="20" customFormat="1" ht="36" customHeight="1" x14ac:dyDescent="0.5">
      <c r="A122" s="34" t="str">
        <f>VLOOKUP(A118,Panchanga!$A$3:$AC$463,11,TRUE)&amp;" " &amp;VLOOKUP(A118,Panchanga!$A$3:$AC$463,27,TRUE)</f>
        <v>Uttara Bhadrapada 322.783655663296</v>
      </c>
      <c r="B122" s="35" t="str">
        <f>VLOOKUP(B118,Panchanga!$A$3:$AC$463,11,TRUE)&amp;" " &amp;VLOOKUP(B118,Panchanga!$A$3:$AC$463,27,TRUE)</f>
        <v>Revati 322.865888584301</v>
      </c>
      <c r="C122" s="35" t="s">
        <v>35</v>
      </c>
      <c r="D122" s="35"/>
      <c r="E122" s="35"/>
      <c r="F122" s="35"/>
      <c r="G122" s="36"/>
    </row>
    <row r="123" spans="1:7" s="20" customFormat="1" ht="36" customHeight="1" x14ac:dyDescent="0.5">
      <c r="A123" s="37" t="str">
        <f>VLOOKUP(A118,Panchanga!$A$3:$AC$463,13,TRUE)</f>
        <v>K12 (26.43)</v>
      </c>
      <c r="B123" s="38" t="str">
        <f>VLOOKUP(B118,Panchanga!$A$3:$AC$463,13,TRUE)</f>
        <v>K13 (27.58)</v>
      </c>
      <c r="C123" s="38" t="s">
        <v>30</v>
      </c>
      <c r="D123" s="38"/>
      <c r="E123" s="38"/>
      <c r="F123" s="38"/>
      <c r="G123" s="39"/>
    </row>
    <row r="124" spans="1:7" s="20" customFormat="1" ht="36" customHeight="1" x14ac:dyDescent="0.5">
      <c r="A124" s="37">
        <f>VLOOKUP(A118,Panchanga!$A$3:$AC$463,14,TRUE)</f>
        <v>2.8665999999999983</v>
      </c>
      <c r="B124" s="38">
        <f>VLOOKUP(B118,Panchanga!$A$3:$AC$463,14,TRUE)</f>
        <v>5.1518000000000015</v>
      </c>
      <c r="C124" s="38" t="s">
        <v>15</v>
      </c>
      <c r="D124" s="38"/>
      <c r="E124" s="38"/>
      <c r="F124" s="38"/>
      <c r="G124" s="39"/>
    </row>
    <row r="125" spans="1:7" s="20" customFormat="1" ht="36" customHeight="1" x14ac:dyDescent="0.25">
      <c r="A125" s="73">
        <f>VLOOKUP(A118,Panchanga!$A$3:$AC$463,18,TRUE)</f>
        <v>26.433299999999999</v>
      </c>
      <c r="B125" s="69">
        <f>VLOOKUP(B118,Panchanga!$A$3:$AC$463,18,TRUE)</f>
        <v>27.575900000000001</v>
      </c>
      <c r="C125" s="69" t="s">
        <v>36</v>
      </c>
      <c r="D125" s="69"/>
      <c r="E125" s="69"/>
      <c r="F125" s="69"/>
      <c r="G125" s="71"/>
    </row>
    <row r="126" spans="1:7" s="20" customFormat="1" ht="36" customHeight="1" x14ac:dyDescent="0.25">
      <c r="A126" s="73"/>
      <c r="B126" s="70"/>
      <c r="C126" s="70"/>
      <c r="D126" s="70"/>
      <c r="E126" s="70"/>
      <c r="F126" s="70"/>
      <c r="G126" s="72"/>
    </row>
    <row r="127" spans="1:7" ht="14.25" customHeight="1" thickBot="1" x14ac:dyDescent="0.55000000000000004">
      <c r="A127" s="45"/>
      <c r="B127" s="46"/>
      <c r="C127" s="46"/>
      <c r="D127" s="46"/>
      <c r="E127" s="46"/>
      <c r="F127" s="46"/>
      <c r="G127" s="67"/>
    </row>
    <row r="128" spans="1:7" ht="39" customHeight="1" thickBot="1" x14ac:dyDescent="0.55000000000000004">
      <c r="A128" s="42" t="s">
        <v>37</v>
      </c>
      <c r="B128" s="43"/>
      <c r="C128" s="43"/>
      <c r="D128" s="43"/>
      <c r="E128" s="43"/>
      <c r="F128" s="43"/>
      <c r="G128" s="44"/>
    </row>
    <row r="129" spans="1:7" ht="39" customHeight="1" thickBot="1" x14ac:dyDescent="0.5">
      <c r="A129" s="62" t="s">
        <v>28</v>
      </c>
      <c r="B129" s="63">
        <f>Lat</f>
        <v>13.5</v>
      </c>
      <c r="C129" s="64" t="s">
        <v>27</v>
      </c>
      <c r="D129" s="63">
        <f>Long</f>
        <v>80.23</v>
      </c>
      <c r="E129" s="64" t="s">
        <v>0</v>
      </c>
      <c r="F129" s="65">
        <f>TimeZone</f>
        <v>5.5</v>
      </c>
      <c r="G129" s="44"/>
    </row>
    <row r="130" spans="1:7" ht="39" customHeight="1" x14ac:dyDescent="0.5">
      <c r="A130" s="42"/>
      <c r="B130" s="43"/>
      <c r="C130" s="43"/>
      <c r="D130" s="43"/>
      <c r="E130" s="43"/>
      <c r="F130" s="43"/>
      <c r="G130" s="44"/>
    </row>
  </sheetData>
  <mergeCells count="86">
    <mergeCell ref="F50:F51"/>
    <mergeCell ref="G50:G51"/>
    <mergeCell ref="A60:A61"/>
    <mergeCell ref="B60:B61"/>
    <mergeCell ref="C60:C61"/>
    <mergeCell ref="D60:D61"/>
    <mergeCell ref="E60:E61"/>
    <mergeCell ref="F60:F61"/>
    <mergeCell ref="G60:G61"/>
    <mergeCell ref="A50:A51"/>
    <mergeCell ref="B50:B51"/>
    <mergeCell ref="C50:C51"/>
    <mergeCell ref="D50:D51"/>
    <mergeCell ref="E50:E51"/>
    <mergeCell ref="F20:F21"/>
    <mergeCell ref="G20:G21"/>
    <mergeCell ref="F30:F31"/>
    <mergeCell ref="G30:G31"/>
    <mergeCell ref="A40:A41"/>
    <mergeCell ref="B40:B41"/>
    <mergeCell ref="C40:C41"/>
    <mergeCell ref="D40:D41"/>
    <mergeCell ref="E40:E41"/>
    <mergeCell ref="F40:F41"/>
    <mergeCell ref="G40:G41"/>
    <mergeCell ref="A30:A31"/>
    <mergeCell ref="B30:B31"/>
    <mergeCell ref="C30:C31"/>
    <mergeCell ref="D30:D31"/>
    <mergeCell ref="E30:E31"/>
    <mergeCell ref="A20:A21"/>
    <mergeCell ref="B20:B21"/>
    <mergeCell ref="C20:C21"/>
    <mergeCell ref="D20:D21"/>
    <mergeCell ref="E20:E21"/>
    <mergeCell ref="A1:G1"/>
    <mergeCell ref="A10:A11"/>
    <mergeCell ref="B10:B11"/>
    <mergeCell ref="C10:C11"/>
    <mergeCell ref="D10:D11"/>
    <mergeCell ref="E10:E11"/>
    <mergeCell ref="F10:F11"/>
    <mergeCell ref="G10:G11"/>
    <mergeCell ref="A66:G66"/>
    <mergeCell ref="A75:A76"/>
    <mergeCell ref="B75:B76"/>
    <mergeCell ref="C75:C76"/>
    <mergeCell ref="D75:D76"/>
    <mergeCell ref="E75:E76"/>
    <mergeCell ref="F75:F76"/>
    <mergeCell ref="G75:G76"/>
    <mergeCell ref="F85:F86"/>
    <mergeCell ref="G85:G86"/>
    <mergeCell ref="A95:A96"/>
    <mergeCell ref="B95:B96"/>
    <mergeCell ref="C95:C96"/>
    <mergeCell ref="D95:D96"/>
    <mergeCell ref="E95:E96"/>
    <mergeCell ref="F95:F96"/>
    <mergeCell ref="G95:G96"/>
    <mergeCell ref="A85:A86"/>
    <mergeCell ref="B85:B86"/>
    <mergeCell ref="C85:C86"/>
    <mergeCell ref="D85:D86"/>
    <mergeCell ref="E85:E86"/>
    <mergeCell ref="F105:F106"/>
    <mergeCell ref="G105:G106"/>
    <mergeCell ref="A115:A116"/>
    <mergeCell ref="B115:B116"/>
    <mergeCell ref="C115:C116"/>
    <mergeCell ref="D115:D116"/>
    <mergeCell ref="E115:E116"/>
    <mergeCell ref="F115:F116"/>
    <mergeCell ref="G115:G116"/>
    <mergeCell ref="A105:A106"/>
    <mergeCell ref="B105:B106"/>
    <mergeCell ref="C105:C106"/>
    <mergeCell ref="D105:D106"/>
    <mergeCell ref="E105:E106"/>
    <mergeCell ref="F125:F126"/>
    <mergeCell ref="G125:G126"/>
    <mergeCell ref="A125:A126"/>
    <mergeCell ref="B125:B126"/>
    <mergeCell ref="C125:C126"/>
    <mergeCell ref="D125:D126"/>
    <mergeCell ref="E125:E126"/>
  </mergeCells>
  <pageMargins left="0" right="0" top="0" bottom="0.27222112860892389" header="0" footer="0.15312445319335083"/>
  <pageSetup scale="3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Panchanga</vt:lpstr>
      <vt:lpstr>Calendar</vt:lpstr>
      <vt:lpstr>CalLatitude</vt:lpstr>
      <vt:lpstr>CalLongitude</vt:lpstr>
      <vt:lpstr>CalMonth</vt:lpstr>
      <vt:lpstr>CalTimeZone</vt:lpstr>
      <vt:lpstr>Calendar!Lat</vt:lpstr>
      <vt:lpstr>Lat</vt:lpstr>
      <vt:lpstr>Calendar!Long</vt:lpstr>
      <vt:lpstr>Long</vt:lpstr>
      <vt:lpstr>Calendar!Print_Area</vt:lpstr>
      <vt:lpstr>Calendar!TimeZone</vt:lpstr>
      <vt:lpstr>TimeZone</vt:lpstr>
    </vt:vector>
  </TitlesOfParts>
  <Company>Wells Fargo N.A.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Prabhakaran, Sanjay</dc:creator>
  <cp:lastModifiedBy>Sanjay Prabhakaran</cp:lastModifiedBy>
  <cp:lastPrinted>2018-12-10T17:54:40Z</cp:lastPrinted>
  <dcterms:created xsi:type="dcterms:W3CDTF">2018-08-30T12:29:53Z</dcterms:created>
  <dcterms:modified xsi:type="dcterms:W3CDTF">2024-03-12T07:28:06Z</dcterms:modified>
</cp:coreProperties>
</file>